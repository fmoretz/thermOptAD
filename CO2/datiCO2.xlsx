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Questa_cartella_di_lavoro" defaultThemeVersion="164011"/>
  <mc:AlternateContent xmlns:mc="http://schemas.openxmlformats.org/markup-compatibility/2006">
    <mc:Choice Requires="x15">
      <x15ac:absPath xmlns:x15ac="http://schemas.microsoft.com/office/spreadsheetml/2010/11/ac" url="C:\Users\lcozzi\Desktop\"/>
    </mc:Choice>
  </mc:AlternateContent>
  <bookViews>
    <workbookView xWindow="0" yWindow="0" windowWidth="6675" windowHeight="7455" firstSheet="1" activeTab="1"/>
  </bookViews>
  <sheets>
    <sheet name="Dati" sheetId="1" r:id="rId1"/>
    <sheet name="Calcoli eqilib." sheetId="2" r:id="rId2"/>
    <sheet name="Ref. state" sheetId="5" r:id="rId3"/>
    <sheet name="Err. rel." sheetId="4" r:id="rId4"/>
    <sheet name="Heat Capacity" sheetId="6" r:id="rId5"/>
    <sheet name="Surface tension" sheetId="7" r:id="rId6"/>
    <sheet name="Viscosity" sheetId="8" r:id="rId7"/>
    <sheet name="Thermal cond." sheetId="9" r:id="rId8"/>
    <sheet name="Grafici" sheetId="3" r:id="rId9"/>
    <sheet name="References" sheetId="10" r:id="rId10"/>
  </sheets>
  <definedNames>
    <definedName name="solver_adj" localSheetId="1" hidden="1">'Calcoli eqilib.'!$U$168</definedName>
    <definedName name="solver_cvg" localSheetId="1" hidden="1">"""""""0,0001"""""""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"""""""0,075"""""""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'Calcoli eqilib.'!$Z$179</definedName>
    <definedName name="solver_pre" localSheetId="1" hidden="1">"""""""0,000001"""""""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5" i="2" l="1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17" i="2"/>
  <c r="AI77" i="8" l="1"/>
  <c r="R55" i="9" l="1"/>
  <c r="S55" i="9" s="1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5" i="9"/>
  <c r="T6" i="9"/>
  <c r="T7" i="9"/>
  <c r="T8" i="9"/>
  <c r="T9" i="9"/>
  <c r="T10" i="9"/>
  <c r="T11" i="9"/>
  <c r="T12" i="9"/>
  <c r="T13" i="9"/>
  <c r="T14" i="9"/>
  <c r="T15" i="9"/>
  <c r="T16" i="9"/>
  <c r="T4" i="9"/>
  <c r="AO4" i="8"/>
  <c r="T55" i="9" l="1"/>
  <c r="T72" i="9" s="1"/>
  <c r="S72" i="9"/>
  <c r="AT189" i="8"/>
  <c r="AS189" i="8"/>
  <c r="AS16" i="8"/>
  <c r="AT16" i="8" s="1"/>
  <c r="AS17" i="8"/>
  <c r="AT17" i="8"/>
  <c r="AS18" i="8"/>
  <c r="AT18" i="8" s="1"/>
  <c r="AS19" i="8"/>
  <c r="AT19" i="8"/>
  <c r="AS20" i="8"/>
  <c r="AT20" i="8" s="1"/>
  <c r="AS21" i="8"/>
  <c r="AT21" i="8"/>
  <c r="AS22" i="8"/>
  <c r="AT22" i="8" s="1"/>
  <c r="AS23" i="8"/>
  <c r="AT23" i="8"/>
  <c r="AS24" i="8"/>
  <c r="AT24" i="8" s="1"/>
  <c r="AS25" i="8"/>
  <c r="AT25" i="8"/>
  <c r="AS26" i="8"/>
  <c r="AT26" i="8" s="1"/>
  <c r="AS27" i="8"/>
  <c r="AT27" i="8"/>
  <c r="AS28" i="8"/>
  <c r="AT28" i="8" s="1"/>
  <c r="AS29" i="8"/>
  <c r="AT29" i="8"/>
  <c r="AS30" i="8"/>
  <c r="AT30" i="8" s="1"/>
  <c r="AS31" i="8"/>
  <c r="AT31" i="8"/>
  <c r="AS32" i="8"/>
  <c r="AT32" i="8" s="1"/>
  <c r="AS33" i="8"/>
  <c r="AT33" i="8"/>
  <c r="AS34" i="8"/>
  <c r="AT34" i="8" s="1"/>
  <c r="AS35" i="8"/>
  <c r="AT35" i="8"/>
  <c r="AS36" i="8"/>
  <c r="AT36" i="8" s="1"/>
  <c r="AS37" i="8"/>
  <c r="AT37" i="8"/>
  <c r="AS38" i="8"/>
  <c r="AT38" i="8" s="1"/>
  <c r="AS39" i="8"/>
  <c r="AT39" i="8"/>
  <c r="AS40" i="8"/>
  <c r="AT40" i="8" s="1"/>
  <c r="AS41" i="8"/>
  <c r="AT41" i="8"/>
  <c r="AS42" i="8"/>
  <c r="AT42" i="8" s="1"/>
  <c r="AS43" i="8"/>
  <c r="AT43" i="8"/>
  <c r="AS44" i="8"/>
  <c r="AT44" i="8" s="1"/>
  <c r="AS45" i="8"/>
  <c r="AT45" i="8"/>
  <c r="AS46" i="8"/>
  <c r="AT46" i="8" s="1"/>
  <c r="AS47" i="8"/>
  <c r="AT47" i="8"/>
  <c r="AS48" i="8"/>
  <c r="AT48" i="8" s="1"/>
  <c r="AS49" i="8"/>
  <c r="AT49" i="8"/>
  <c r="AS50" i="8"/>
  <c r="AT50" i="8" s="1"/>
  <c r="AS51" i="8"/>
  <c r="AT51" i="8"/>
  <c r="AS52" i="8"/>
  <c r="AT52" i="8" s="1"/>
  <c r="AS53" i="8"/>
  <c r="AT53" i="8"/>
  <c r="AS54" i="8"/>
  <c r="AT54" i="8" s="1"/>
  <c r="AS55" i="8"/>
  <c r="AT55" i="8"/>
  <c r="AS56" i="8"/>
  <c r="AT56" i="8" s="1"/>
  <c r="AS57" i="8"/>
  <c r="AT57" i="8"/>
  <c r="AS58" i="8"/>
  <c r="AT58" i="8" s="1"/>
  <c r="AS59" i="8"/>
  <c r="AT59" i="8"/>
  <c r="AS60" i="8"/>
  <c r="AT60" i="8" s="1"/>
  <c r="AS61" i="8"/>
  <c r="AT61" i="8"/>
  <c r="AS62" i="8"/>
  <c r="AT62" i="8" s="1"/>
  <c r="AS63" i="8"/>
  <c r="AT63" i="8"/>
  <c r="AS64" i="8"/>
  <c r="AT64" i="8" s="1"/>
  <c r="AS65" i="8"/>
  <c r="AT65" i="8"/>
  <c r="AS66" i="8"/>
  <c r="AT66" i="8" s="1"/>
  <c r="AS67" i="8"/>
  <c r="AT67" i="8"/>
  <c r="AS68" i="8"/>
  <c r="AT68" i="8" s="1"/>
  <c r="AS69" i="8"/>
  <c r="AT69" i="8"/>
  <c r="AS70" i="8"/>
  <c r="AT70" i="8" s="1"/>
  <c r="AS71" i="8"/>
  <c r="AT71" i="8"/>
  <c r="AS72" i="8"/>
  <c r="AT72" i="8" s="1"/>
  <c r="AS73" i="8"/>
  <c r="AT73" i="8"/>
  <c r="AS74" i="8"/>
  <c r="AT74" i="8" s="1"/>
  <c r="AS75" i="8"/>
  <c r="AT75" i="8"/>
  <c r="AS76" i="8"/>
  <c r="AT76" i="8" s="1"/>
  <c r="AT5" i="8"/>
  <c r="AT6" i="8"/>
  <c r="AT7" i="8"/>
  <c r="AT8" i="8"/>
  <c r="AT9" i="8"/>
  <c r="AT10" i="8"/>
  <c r="AT11" i="8"/>
  <c r="AT12" i="8"/>
  <c r="AT13" i="8"/>
  <c r="AT14" i="8"/>
  <c r="AT15" i="8"/>
  <c r="AR16" i="8"/>
  <c r="AR17" i="8"/>
  <c r="AR18" i="8"/>
  <c r="AR19" i="8"/>
  <c r="AR20" i="8"/>
  <c r="AR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34" i="8"/>
  <c r="AR35" i="8"/>
  <c r="AR36" i="8"/>
  <c r="AR37" i="8"/>
  <c r="AR38" i="8"/>
  <c r="AR39" i="8"/>
  <c r="AR40" i="8"/>
  <c r="AR41" i="8"/>
  <c r="AR42" i="8"/>
  <c r="AR43" i="8"/>
  <c r="AR44" i="8"/>
  <c r="AR45" i="8"/>
  <c r="AR46" i="8"/>
  <c r="AR47" i="8"/>
  <c r="AR48" i="8"/>
  <c r="AR49" i="8"/>
  <c r="AR50" i="8"/>
  <c r="AR51" i="8"/>
  <c r="AR52" i="8"/>
  <c r="AR53" i="8"/>
  <c r="AR54" i="8"/>
  <c r="AR55" i="8"/>
  <c r="AR56" i="8"/>
  <c r="AR57" i="8"/>
  <c r="AR58" i="8"/>
  <c r="AR59" i="8"/>
  <c r="AR60" i="8"/>
  <c r="AR61" i="8"/>
  <c r="AR62" i="8"/>
  <c r="AR63" i="8"/>
  <c r="AR64" i="8"/>
  <c r="AR65" i="8"/>
  <c r="AR66" i="8"/>
  <c r="AR67" i="8"/>
  <c r="AR68" i="8"/>
  <c r="AR69" i="8"/>
  <c r="AR70" i="8"/>
  <c r="AR71" i="8"/>
  <c r="AR72" i="8"/>
  <c r="AR73" i="8"/>
  <c r="AR74" i="8"/>
  <c r="AR75" i="8"/>
  <c r="AR76" i="8"/>
  <c r="AR5" i="8"/>
  <c r="AR6" i="8"/>
  <c r="AR7" i="8"/>
  <c r="AR8" i="8"/>
  <c r="AS8" i="8" s="1"/>
  <c r="AR9" i="8"/>
  <c r="AR10" i="8"/>
  <c r="AR11" i="8"/>
  <c r="AR12" i="8"/>
  <c r="AR13" i="8"/>
  <c r="AR14" i="8"/>
  <c r="AR15" i="8"/>
  <c r="AR4" i="8"/>
  <c r="AS4" i="8" s="1"/>
  <c r="AT4" i="8" s="1"/>
  <c r="AS5" i="8"/>
  <c r="AS6" i="8"/>
  <c r="AS7" i="8"/>
  <c r="AS9" i="8"/>
  <c r="AS10" i="8"/>
  <c r="AS11" i="8"/>
  <c r="AS12" i="8"/>
  <c r="AS13" i="8"/>
  <c r="AS14" i="8"/>
  <c r="AS15" i="8"/>
  <c r="AQ189" i="8"/>
  <c r="AP189" i="8"/>
  <c r="AO5" i="8"/>
  <c r="AP5" i="8" s="1"/>
  <c r="AQ5" i="8" s="1"/>
  <c r="AO6" i="8"/>
  <c r="AP6" i="8" s="1"/>
  <c r="AQ6" i="8" s="1"/>
  <c r="AO7" i="8"/>
  <c r="AP7" i="8" s="1"/>
  <c r="AQ7" i="8" s="1"/>
  <c r="AO8" i="8"/>
  <c r="AP8" i="8" s="1"/>
  <c r="AQ8" i="8" s="1"/>
  <c r="AO9" i="8"/>
  <c r="AP9" i="8" s="1"/>
  <c r="AQ9" i="8" s="1"/>
  <c r="AO10" i="8"/>
  <c r="AP10" i="8" s="1"/>
  <c r="AQ10" i="8" s="1"/>
  <c r="AO11" i="8"/>
  <c r="AP11" i="8" s="1"/>
  <c r="AQ11" i="8" s="1"/>
  <c r="AO12" i="8"/>
  <c r="AP12" i="8" s="1"/>
  <c r="AQ12" i="8" s="1"/>
  <c r="AO13" i="8"/>
  <c r="AP13" i="8" s="1"/>
  <c r="AQ13" i="8" s="1"/>
  <c r="AO14" i="8"/>
  <c r="AP14" i="8" s="1"/>
  <c r="AQ14" i="8" s="1"/>
  <c r="AO15" i="8"/>
  <c r="AP15" i="8" s="1"/>
  <c r="AQ15" i="8" s="1"/>
  <c r="AO16" i="8"/>
  <c r="AP16" i="8" s="1"/>
  <c r="AQ16" i="8" s="1"/>
  <c r="AO17" i="8"/>
  <c r="AP17" i="8" s="1"/>
  <c r="AQ17" i="8" s="1"/>
  <c r="AO18" i="8"/>
  <c r="AP18" i="8" s="1"/>
  <c r="AQ18" i="8" s="1"/>
  <c r="AO19" i="8"/>
  <c r="AP19" i="8" s="1"/>
  <c r="AQ19" i="8" s="1"/>
  <c r="AO20" i="8"/>
  <c r="AP20" i="8" s="1"/>
  <c r="AQ20" i="8" s="1"/>
  <c r="AO21" i="8"/>
  <c r="AP21" i="8" s="1"/>
  <c r="AQ21" i="8" s="1"/>
  <c r="AO22" i="8"/>
  <c r="AP22" i="8" s="1"/>
  <c r="AQ22" i="8" s="1"/>
  <c r="AO23" i="8"/>
  <c r="AP23" i="8" s="1"/>
  <c r="AQ23" i="8" s="1"/>
  <c r="AO24" i="8"/>
  <c r="AP24" i="8" s="1"/>
  <c r="AQ24" i="8" s="1"/>
  <c r="AO25" i="8"/>
  <c r="AP25" i="8" s="1"/>
  <c r="AQ25" i="8" s="1"/>
  <c r="AO26" i="8"/>
  <c r="AP26" i="8" s="1"/>
  <c r="AQ26" i="8" s="1"/>
  <c r="AO27" i="8"/>
  <c r="AP27" i="8" s="1"/>
  <c r="AQ27" i="8" s="1"/>
  <c r="AO28" i="8"/>
  <c r="AP28" i="8" s="1"/>
  <c r="AQ28" i="8" s="1"/>
  <c r="AO29" i="8"/>
  <c r="AP29" i="8" s="1"/>
  <c r="AQ29" i="8" s="1"/>
  <c r="AO30" i="8"/>
  <c r="AP30" i="8" s="1"/>
  <c r="AQ30" i="8" s="1"/>
  <c r="AO31" i="8"/>
  <c r="AP31" i="8" s="1"/>
  <c r="AQ31" i="8" s="1"/>
  <c r="AO32" i="8"/>
  <c r="AP32" i="8" s="1"/>
  <c r="AQ32" i="8" s="1"/>
  <c r="AO33" i="8"/>
  <c r="AP33" i="8" s="1"/>
  <c r="AQ33" i="8" s="1"/>
  <c r="AO34" i="8"/>
  <c r="AP34" i="8" s="1"/>
  <c r="AQ34" i="8" s="1"/>
  <c r="AO35" i="8"/>
  <c r="AP35" i="8" s="1"/>
  <c r="AQ35" i="8" s="1"/>
  <c r="AO36" i="8"/>
  <c r="AP36" i="8" s="1"/>
  <c r="AQ36" i="8" s="1"/>
  <c r="AO37" i="8"/>
  <c r="AP37" i="8" s="1"/>
  <c r="AQ37" i="8" s="1"/>
  <c r="AO38" i="8"/>
  <c r="AP38" i="8" s="1"/>
  <c r="AQ38" i="8" s="1"/>
  <c r="AO39" i="8"/>
  <c r="AP39" i="8" s="1"/>
  <c r="AQ39" i="8" s="1"/>
  <c r="AO40" i="8"/>
  <c r="AP40" i="8" s="1"/>
  <c r="AQ40" i="8" s="1"/>
  <c r="AO41" i="8"/>
  <c r="AP41" i="8" s="1"/>
  <c r="AQ41" i="8" s="1"/>
  <c r="AO42" i="8"/>
  <c r="AP42" i="8" s="1"/>
  <c r="AQ42" i="8" s="1"/>
  <c r="AO43" i="8"/>
  <c r="AP43" i="8" s="1"/>
  <c r="AQ43" i="8" s="1"/>
  <c r="AO44" i="8"/>
  <c r="AP44" i="8" s="1"/>
  <c r="AQ44" i="8" s="1"/>
  <c r="AO45" i="8"/>
  <c r="AP45" i="8" s="1"/>
  <c r="AQ45" i="8" s="1"/>
  <c r="AO46" i="8"/>
  <c r="AP46" i="8" s="1"/>
  <c r="AQ46" i="8" s="1"/>
  <c r="AO47" i="8"/>
  <c r="AP47" i="8" s="1"/>
  <c r="AQ47" i="8" s="1"/>
  <c r="AO48" i="8"/>
  <c r="AP48" i="8" s="1"/>
  <c r="AQ48" i="8" s="1"/>
  <c r="AO49" i="8"/>
  <c r="AP49" i="8" s="1"/>
  <c r="AQ49" i="8" s="1"/>
  <c r="AO50" i="8"/>
  <c r="AP50" i="8" s="1"/>
  <c r="AQ50" i="8" s="1"/>
  <c r="AO51" i="8"/>
  <c r="AP51" i="8" s="1"/>
  <c r="AQ51" i="8" s="1"/>
  <c r="AO52" i="8"/>
  <c r="AP52" i="8" s="1"/>
  <c r="AQ52" i="8" s="1"/>
  <c r="AO53" i="8"/>
  <c r="AP53" i="8" s="1"/>
  <c r="AQ53" i="8" s="1"/>
  <c r="AO54" i="8"/>
  <c r="AP54" i="8" s="1"/>
  <c r="AQ54" i="8" s="1"/>
  <c r="AO55" i="8"/>
  <c r="AP55" i="8" s="1"/>
  <c r="AQ55" i="8" s="1"/>
  <c r="AO56" i="8"/>
  <c r="AP56" i="8" s="1"/>
  <c r="AQ56" i="8" s="1"/>
  <c r="AO57" i="8"/>
  <c r="AP57" i="8" s="1"/>
  <c r="AQ57" i="8" s="1"/>
  <c r="AO58" i="8"/>
  <c r="AP58" i="8" s="1"/>
  <c r="AQ58" i="8" s="1"/>
  <c r="AO59" i="8"/>
  <c r="AP59" i="8" s="1"/>
  <c r="AQ59" i="8" s="1"/>
  <c r="AO60" i="8"/>
  <c r="AP60" i="8" s="1"/>
  <c r="AQ60" i="8" s="1"/>
  <c r="AO61" i="8"/>
  <c r="AP61" i="8" s="1"/>
  <c r="AQ61" i="8" s="1"/>
  <c r="AO62" i="8"/>
  <c r="AP62" i="8" s="1"/>
  <c r="AQ62" i="8" s="1"/>
  <c r="AO63" i="8"/>
  <c r="AP63" i="8" s="1"/>
  <c r="AQ63" i="8" s="1"/>
  <c r="AO64" i="8"/>
  <c r="AP64" i="8" s="1"/>
  <c r="AQ64" i="8" s="1"/>
  <c r="AO65" i="8"/>
  <c r="AP65" i="8" s="1"/>
  <c r="AQ65" i="8" s="1"/>
  <c r="AO66" i="8"/>
  <c r="AP66" i="8" s="1"/>
  <c r="AQ66" i="8" s="1"/>
  <c r="AO67" i="8"/>
  <c r="AP67" i="8" s="1"/>
  <c r="AQ67" i="8" s="1"/>
  <c r="AO68" i="8"/>
  <c r="AP68" i="8" s="1"/>
  <c r="AQ68" i="8" s="1"/>
  <c r="AO69" i="8"/>
  <c r="AP69" i="8" s="1"/>
  <c r="AQ69" i="8" s="1"/>
  <c r="AO70" i="8"/>
  <c r="AP70" i="8" s="1"/>
  <c r="AQ70" i="8" s="1"/>
  <c r="AO71" i="8"/>
  <c r="AP71" i="8" s="1"/>
  <c r="AQ71" i="8" s="1"/>
  <c r="AO72" i="8"/>
  <c r="AP72" i="8" s="1"/>
  <c r="AQ72" i="8" s="1"/>
  <c r="AO73" i="8"/>
  <c r="AP73" i="8" s="1"/>
  <c r="AQ73" i="8" s="1"/>
  <c r="AO74" i="8"/>
  <c r="AP74" i="8" s="1"/>
  <c r="AQ74" i="8" s="1"/>
  <c r="AO75" i="8"/>
  <c r="AP75" i="8" s="1"/>
  <c r="AQ75" i="8" s="1"/>
  <c r="AO76" i="8"/>
  <c r="AP76" i="8" s="1"/>
  <c r="AQ76" i="8" s="1"/>
  <c r="AP4" i="8"/>
  <c r="AQ4" i="8" s="1"/>
  <c r="AL96" i="8"/>
  <c r="AM96" i="8" s="1"/>
  <c r="AN96" i="8" s="1"/>
  <c r="AL97" i="8"/>
  <c r="AM97" i="8" s="1"/>
  <c r="AN97" i="8" s="1"/>
  <c r="AL98" i="8"/>
  <c r="AM98" i="8" s="1"/>
  <c r="AN98" i="8" s="1"/>
  <c r="AL99" i="8"/>
  <c r="AM99" i="8" s="1"/>
  <c r="AN99" i="8" s="1"/>
  <c r="AL100" i="8"/>
  <c r="AM100" i="8" s="1"/>
  <c r="AN100" i="8" s="1"/>
  <c r="AL95" i="8"/>
  <c r="AM95" i="8" s="1"/>
  <c r="AN95" i="8" s="1"/>
  <c r="AL90" i="8"/>
  <c r="AM90" i="8" s="1"/>
  <c r="AN90" i="8" s="1"/>
  <c r="AL91" i="8"/>
  <c r="AM91" i="8" s="1"/>
  <c r="AN91" i="8" s="1"/>
  <c r="AL92" i="8"/>
  <c r="AM92" i="8" s="1"/>
  <c r="AN92" i="8" s="1"/>
  <c r="AL93" i="8"/>
  <c r="AM93" i="8" s="1"/>
  <c r="AN93" i="8" s="1"/>
  <c r="AL94" i="8"/>
  <c r="AM94" i="8" s="1"/>
  <c r="AN94" i="8" s="1"/>
  <c r="AL84" i="8"/>
  <c r="AM84" i="8" s="1"/>
  <c r="AN84" i="8" s="1"/>
  <c r="AL85" i="8"/>
  <c r="AM85" i="8" s="1"/>
  <c r="AN85" i="8" s="1"/>
  <c r="AL86" i="8"/>
  <c r="AM86" i="8" s="1"/>
  <c r="AN86" i="8" s="1"/>
  <c r="AL87" i="8"/>
  <c r="AM87" i="8" s="1"/>
  <c r="AN87" i="8" s="1"/>
  <c r="AL88" i="8"/>
  <c r="AM88" i="8" s="1"/>
  <c r="AN88" i="8" s="1"/>
  <c r="AL89" i="8"/>
  <c r="AM89" i="8" s="1"/>
  <c r="AN89" i="8" s="1"/>
  <c r="AL83" i="8"/>
  <c r="AM83" i="8" s="1"/>
  <c r="AN83" i="8" s="1"/>
  <c r="AL78" i="8"/>
  <c r="AM78" i="8" s="1"/>
  <c r="AN78" i="8" s="1"/>
  <c r="AL79" i="8"/>
  <c r="AM79" i="8" s="1"/>
  <c r="AN79" i="8" s="1"/>
  <c r="AL80" i="8"/>
  <c r="AM80" i="8" s="1"/>
  <c r="AN80" i="8" s="1"/>
  <c r="AL81" i="8"/>
  <c r="AM81" i="8" s="1"/>
  <c r="AN81" i="8" s="1"/>
  <c r="AL82" i="8"/>
  <c r="AM82" i="8" s="1"/>
  <c r="AN82" i="8" s="1"/>
  <c r="AL77" i="8"/>
  <c r="AM77" i="8" s="1"/>
  <c r="AN77" i="8" l="1"/>
  <c r="AJ77" i="8"/>
  <c r="AI78" i="8"/>
  <c r="AJ78" i="8" s="1"/>
  <c r="AK78" i="8" s="1"/>
  <c r="AI79" i="8"/>
  <c r="AJ79" i="8" s="1"/>
  <c r="AK79" i="8" s="1"/>
  <c r="AI80" i="8"/>
  <c r="AJ80" i="8" s="1"/>
  <c r="AK80" i="8" s="1"/>
  <c r="AI81" i="8"/>
  <c r="AJ81" i="8" s="1"/>
  <c r="AK81" i="8" s="1"/>
  <c r="AI82" i="8"/>
  <c r="AJ82" i="8" s="1"/>
  <c r="AK82" i="8" s="1"/>
  <c r="AI83" i="8"/>
  <c r="AJ83" i="8" s="1"/>
  <c r="AK83" i="8" s="1"/>
  <c r="AI84" i="8"/>
  <c r="AJ84" i="8" s="1"/>
  <c r="AK84" i="8" s="1"/>
  <c r="AI85" i="8"/>
  <c r="AJ85" i="8" s="1"/>
  <c r="AK85" i="8" s="1"/>
  <c r="AI86" i="8"/>
  <c r="AJ86" i="8" s="1"/>
  <c r="AK86" i="8" s="1"/>
  <c r="AI87" i="8"/>
  <c r="AJ87" i="8" s="1"/>
  <c r="AK87" i="8" s="1"/>
  <c r="AI88" i="8"/>
  <c r="AJ88" i="8" s="1"/>
  <c r="AK88" i="8" s="1"/>
  <c r="AI89" i="8"/>
  <c r="AJ89" i="8" s="1"/>
  <c r="AK89" i="8" s="1"/>
  <c r="AI90" i="8"/>
  <c r="AJ90" i="8" s="1"/>
  <c r="AK90" i="8" s="1"/>
  <c r="AI91" i="8"/>
  <c r="AJ91" i="8" s="1"/>
  <c r="AK91" i="8" s="1"/>
  <c r="AI92" i="8"/>
  <c r="AJ92" i="8" s="1"/>
  <c r="AK92" i="8" s="1"/>
  <c r="AI93" i="8"/>
  <c r="AJ93" i="8" s="1"/>
  <c r="AK93" i="8" s="1"/>
  <c r="AI94" i="8"/>
  <c r="AJ94" i="8" s="1"/>
  <c r="AK94" i="8" s="1"/>
  <c r="AI95" i="8"/>
  <c r="AJ95" i="8" s="1"/>
  <c r="AK95" i="8" s="1"/>
  <c r="AI96" i="8"/>
  <c r="AJ96" i="8" s="1"/>
  <c r="AK96" i="8" s="1"/>
  <c r="AI97" i="8"/>
  <c r="AJ97" i="8" s="1"/>
  <c r="AK97" i="8" s="1"/>
  <c r="AI98" i="8"/>
  <c r="AJ98" i="8" s="1"/>
  <c r="AK98" i="8" s="1"/>
  <c r="AI99" i="8"/>
  <c r="AJ99" i="8" s="1"/>
  <c r="AK99" i="8" s="1"/>
  <c r="AI100" i="8"/>
  <c r="AJ100" i="8" s="1"/>
  <c r="AK100" i="8" s="1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H78" i="8"/>
  <c r="AF78" i="8" s="1"/>
  <c r="AG78" i="8" s="1"/>
  <c r="AH78" i="8" s="1"/>
  <c r="H79" i="8"/>
  <c r="H80" i="8"/>
  <c r="AF80" i="8" s="1"/>
  <c r="AG80" i="8" s="1"/>
  <c r="AH80" i="8" s="1"/>
  <c r="H81" i="8"/>
  <c r="AF81" i="8" s="1"/>
  <c r="AG81" i="8" s="1"/>
  <c r="AH81" i="8" s="1"/>
  <c r="H82" i="8"/>
  <c r="AF82" i="8" s="1"/>
  <c r="AG82" i="8" s="1"/>
  <c r="AH82" i="8" s="1"/>
  <c r="H83" i="8"/>
  <c r="AF83" i="8" s="1"/>
  <c r="AG83" i="8" s="1"/>
  <c r="AH83" i="8" s="1"/>
  <c r="H84" i="8"/>
  <c r="AF84" i="8" s="1"/>
  <c r="AG84" i="8" s="1"/>
  <c r="AH84" i="8" s="1"/>
  <c r="H85" i="8"/>
  <c r="AF85" i="8" s="1"/>
  <c r="AG85" i="8" s="1"/>
  <c r="AH85" i="8" s="1"/>
  <c r="H86" i="8"/>
  <c r="AF86" i="8" s="1"/>
  <c r="AG86" i="8" s="1"/>
  <c r="AH86" i="8" s="1"/>
  <c r="H87" i="8"/>
  <c r="AF87" i="8" s="1"/>
  <c r="AG87" i="8" s="1"/>
  <c r="AH87" i="8" s="1"/>
  <c r="H88" i="8"/>
  <c r="AF88" i="8" s="1"/>
  <c r="AG88" i="8" s="1"/>
  <c r="AH88" i="8" s="1"/>
  <c r="H89" i="8"/>
  <c r="AF89" i="8" s="1"/>
  <c r="AG89" i="8" s="1"/>
  <c r="AH89" i="8" s="1"/>
  <c r="H90" i="8"/>
  <c r="AF90" i="8" s="1"/>
  <c r="AG90" i="8" s="1"/>
  <c r="AH90" i="8" s="1"/>
  <c r="H91" i="8"/>
  <c r="AF91" i="8" s="1"/>
  <c r="AG91" i="8" s="1"/>
  <c r="AH91" i="8" s="1"/>
  <c r="H92" i="8"/>
  <c r="AF92" i="8" s="1"/>
  <c r="AG92" i="8" s="1"/>
  <c r="AH92" i="8" s="1"/>
  <c r="H93" i="8"/>
  <c r="AF93" i="8" s="1"/>
  <c r="AG93" i="8" s="1"/>
  <c r="AH93" i="8" s="1"/>
  <c r="H94" i="8"/>
  <c r="AF94" i="8" s="1"/>
  <c r="AG94" i="8" s="1"/>
  <c r="AH94" i="8" s="1"/>
  <c r="H95" i="8"/>
  <c r="H96" i="8"/>
  <c r="AF96" i="8" s="1"/>
  <c r="AG96" i="8" s="1"/>
  <c r="AH96" i="8" s="1"/>
  <c r="H97" i="8"/>
  <c r="AF97" i="8" s="1"/>
  <c r="AG97" i="8" s="1"/>
  <c r="AH97" i="8" s="1"/>
  <c r="H98" i="8"/>
  <c r="H99" i="8"/>
  <c r="AF99" i="8" s="1"/>
  <c r="AG99" i="8" s="1"/>
  <c r="AH99" i="8" s="1"/>
  <c r="H100" i="8"/>
  <c r="AF100" i="8" s="1"/>
  <c r="AG100" i="8" s="1"/>
  <c r="AH100" i="8" s="1"/>
  <c r="H101" i="8"/>
  <c r="AF101" i="8" s="1"/>
  <c r="H102" i="8"/>
  <c r="AF102" i="8" s="1"/>
  <c r="H103" i="8"/>
  <c r="H104" i="8"/>
  <c r="AF104" i="8" s="1"/>
  <c r="H105" i="8"/>
  <c r="AF105" i="8" s="1"/>
  <c r="H106" i="8"/>
  <c r="H107" i="8"/>
  <c r="AF107" i="8" s="1"/>
  <c r="H108" i="8"/>
  <c r="AF108" i="8" s="1"/>
  <c r="H109" i="8"/>
  <c r="AF109" i="8" s="1"/>
  <c r="H110" i="8"/>
  <c r="AF110" i="8" s="1"/>
  <c r="H111" i="8"/>
  <c r="AF111" i="8" s="1"/>
  <c r="H112" i="8"/>
  <c r="AF112" i="8" s="1"/>
  <c r="H113" i="8"/>
  <c r="AF113" i="8" s="1"/>
  <c r="H114" i="8"/>
  <c r="H115" i="8"/>
  <c r="AF115" i="8" s="1"/>
  <c r="H116" i="8"/>
  <c r="AF116" i="8" s="1"/>
  <c r="H117" i="8"/>
  <c r="AF117" i="8" s="1"/>
  <c r="H118" i="8"/>
  <c r="AF118" i="8" s="1"/>
  <c r="H119" i="8"/>
  <c r="AF119" i="8" s="1"/>
  <c r="H120" i="8"/>
  <c r="AF120" i="8" s="1"/>
  <c r="H121" i="8"/>
  <c r="AF121" i="8" s="1"/>
  <c r="H122" i="8"/>
  <c r="H123" i="8"/>
  <c r="H124" i="8"/>
  <c r="AF124" i="8" s="1"/>
  <c r="H125" i="8"/>
  <c r="AF125" i="8" s="1"/>
  <c r="H126" i="8"/>
  <c r="AF126" i="8" s="1"/>
  <c r="H127" i="8"/>
  <c r="AF127" i="8" s="1"/>
  <c r="H128" i="8"/>
  <c r="H129" i="8"/>
  <c r="AF129" i="8" s="1"/>
  <c r="H130" i="8"/>
  <c r="AF130" i="8" s="1"/>
  <c r="H131" i="8"/>
  <c r="AF131" i="8" s="1"/>
  <c r="H132" i="8"/>
  <c r="AF132" i="8" s="1"/>
  <c r="H133" i="8"/>
  <c r="AF133" i="8" s="1"/>
  <c r="H134" i="8"/>
  <c r="AF134" i="8" s="1"/>
  <c r="H135" i="8"/>
  <c r="H136" i="8"/>
  <c r="AF136" i="8" s="1"/>
  <c r="H137" i="8"/>
  <c r="AF137" i="8" s="1"/>
  <c r="H138" i="8"/>
  <c r="AF138" i="8" s="1"/>
  <c r="H139" i="8"/>
  <c r="AF139" i="8" s="1"/>
  <c r="H140" i="8"/>
  <c r="AF140" i="8" s="1"/>
  <c r="H141" i="8"/>
  <c r="AF141" i="8" s="1"/>
  <c r="H142" i="8"/>
  <c r="AF142" i="8" s="1"/>
  <c r="H143" i="8"/>
  <c r="AF143" i="8" s="1"/>
  <c r="H144" i="8"/>
  <c r="AF144" i="8" s="1"/>
  <c r="H145" i="8"/>
  <c r="AF145" i="8" s="1"/>
  <c r="H146" i="8"/>
  <c r="H147" i="8"/>
  <c r="H148" i="8"/>
  <c r="AF148" i="8" s="1"/>
  <c r="H149" i="8"/>
  <c r="AF149" i="8" s="1"/>
  <c r="H150" i="8"/>
  <c r="AF150" i="8" s="1"/>
  <c r="H151" i="8"/>
  <c r="AF151" i="8" s="1"/>
  <c r="H152" i="8"/>
  <c r="AF152" i="8" s="1"/>
  <c r="H153" i="8"/>
  <c r="AF153" i="8" s="1"/>
  <c r="H154" i="8"/>
  <c r="H155" i="8"/>
  <c r="AF155" i="8" s="1"/>
  <c r="H156" i="8"/>
  <c r="AF156" i="8" s="1"/>
  <c r="H157" i="8"/>
  <c r="AF157" i="8" s="1"/>
  <c r="H158" i="8"/>
  <c r="AF158" i="8" s="1"/>
  <c r="H159" i="8"/>
  <c r="H160" i="8"/>
  <c r="AF160" i="8" s="1"/>
  <c r="H161" i="8"/>
  <c r="AF161" i="8" s="1"/>
  <c r="H162" i="8"/>
  <c r="H163" i="8"/>
  <c r="AF163" i="8" s="1"/>
  <c r="H164" i="8"/>
  <c r="AF164" i="8" s="1"/>
  <c r="H165" i="8"/>
  <c r="AF165" i="8" s="1"/>
  <c r="H166" i="8"/>
  <c r="AF166" i="8" s="1"/>
  <c r="H167" i="8"/>
  <c r="AF167" i="8" s="1"/>
  <c r="H168" i="8"/>
  <c r="AF168" i="8" s="1"/>
  <c r="H169" i="8"/>
  <c r="AF169" i="8" s="1"/>
  <c r="H170" i="8"/>
  <c r="H171" i="8"/>
  <c r="AF171" i="8" s="1"/>
  <c r="H172" i="8"/>
  <c r="AF172" i="8" s="1"/>
  <c r="H173" i="8"/>
  <c r="AF173" i="8" s="1"/>
  <c r="H174" i="8"/>
  <c r="AF174" i="8" s="1"/>
  <c r="H175" i="8"/>
  <c r="AF175" i="8" s="1"/>
  <c r="H176" i="8"/>
  <c r="AF176" i="8" s="1"/>
  <c r="H177" i="8"/>
  <c r="AF177" i="8" s="1"/>
  <c r="H178" i="8"/>
  <c r="H179" i="8"/>
  <c r="H180" i="8"/>
  <c r="AF180" i="8" s="1"/>
  <c r="H181" i="8"/>
  <c r="AF181" i="8" s="1"/>
  <c r="H182" i="8"/>
  <c r="AF182" i="8" s="1"/>
  <c r="H183" i="8"/>
  <c r="AF183" i="8" s="1"/>
  <c r="H184" i="8"/>
  <c r="AF184" i="8" s="1"/>
  <c r="H185" i="8"/>
  <c r="AF185" i="8" s="1"/>
  <c r="H186" i="8"/>
  <c r="H187" i="8"/>
  <c r="AF187" i="8" s="1"/>
  <c r="H188" i="8"/>
  <c r="AF188" i="8" s="1"/>
  <c r="H77" i="8"/>
  <c r="AF77" i="8" s="1"/>
  <c r="AG77" i="8" s="1"/>
  <c r="AC142" i="8"/>
  <c r="AF79" i="8"/>
  <c r="AG79" i="8" s="1"/>
  <c r="AH79" i="8" s="1"/>
  <c r="AF95" i="8"/>
  <c r="AG95" i="8" s="1"/>
  <c r="AH95" i="8" s="1"/>
  <c r="AF98" i="8"/>
  <c r="AG98" i="8" s="1"/>
  <c r="AH98" i="8" s="1"/>
  <c r="AF103" i="8"/>
  <c r="AF106" i="8"/>
  <c r="AF114" i="8"/>
  <c r="AF122" i="8"/>
  <c r="AF123" i="8"/>
  <c r="AF128" i="8"/>
  <c r="AF135" i="8"/>
  <c r="AF146" i="8"/>
  <c r="AF147" i="8"/>
  <c r="AF154" i="8"/>
  <c r="AF159" i="8"/>
  <c r="AF162" i="8"/>
  <c r="AF170" i="8"/>
  <c r="AF178" i="8"/>
  <c r="AF179" i="8"/>
  <c r="AF186" i="8"/>
  <c r="AC78" i="8"/>
  <c r="AD78" i="8" s="1"/>
  <c r="AE78" i="8" s="1"/>
  <c r="AC79" i="8"/>
  <c r="AD79" i="8" s="1"/>
  <c r="AE79" i="8" s="1"/>
  <c r="AC80" i="8"/>
  <c r="AD80" i="8" s="1"/>
  <c r="AE80" i="8" s="1"/>
  <c r="AC81" i="8"/>
  <c r="AD81" i="8" s="1"/>
  <c r="AE81" i="8" s="1"/>
  <c r="AC82" i="8"/>
  <c r="AD82" i="8" s="1"/>
  <c r="AE82" i="8" s="1"/>
  <c r="AC83" i="8"/>
  <c r="AD83" i="8" s="1"/>
  <c r="AE83" i="8" s="1"/>
  <c r="AC84" i="8"/>
  <c r="AD84" i="8" s="1"/>
  <c r="AE84" i="8" s="1"/>
  <c r="AC85" i="8"/>
  <c r="AD85" i="8" s="1"/>
  <c r="AE85" i="8" s="1"/>
  <c r="AC86" i="8"/>
  <c r="AD86" i="8" s="1"/>
  <c r="AE86" i="8" s="1"/>
  <c r="AC87" i="8"/>
  <c r="AD87" i="8" s="1"/>
  <c r="AE87" i="8" s="1"/>
  <c r="AC88" i="8"/>
  <c r="AD88" i="8" s="1"/>
  <c r="AE88" i="8" s="1"/>
  <c r="AC89" i="8"/>
  <c r="AD89" i="8" s="1"/>
  <c r="AE89" i="8" s="1"/>
  <c r="AC90" i="8"/>
  <c r="AD90" i="8" s="1"/>
  <c r="AE90" i="8" s="1"/>
  <c r="AC91" i="8"/>
  <c r="AD91" i="8" s="1"/>
  <c r="AE91" i="8" s="1"/>
  <c r="AC92" i="8"/>
  <c r="AD92" i="8" s="1"/>
  <c r="AE92" i="8" s="1"/>
  <c r="AC93" i="8"/>
  <c r="AD93" i="8" s="1"/>
  <c r="AE93" i="8" s="1"/>
  <c r="AC94" i="8"/>
  <c r="AD94" i="8" s="1"/>
  <c r="AE94" i="8" s="1"/>
  <c r="AC95" i="8"/>
  <c r="AD95" i="8" s="1"/>
  <c r="AE95" i="8" s="1"/>
  <c r="AC96" i="8"/>
  <c r="AD96" i="8" s="1"/>
  <c r="AE96" i="8" s="1"/>
  <c r="AC97" i="8"/>
  <c r="AD97" i="8" s="1"/>
  <c r="AE97" i="8" s="1"/>
  <c r="AC98" i="8"/>
  <c r="AD98" i="8" s="1"/>
  <c r="AE98" i="8" s="1"/>
  <c r="AC99" i="8"/>
  <c r="AD99" i="8" s="1"/>
  <c r="AE99" i="8" s="1"/>
  <c r="AC100" i="8"/>
  <c r="AD100" i="8" s="1"/>
  <c r="AE100" i="8" s="1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77" i="8"/>
  <c r="AD77" i="8" s="1"/>
  <c r="I4" i="8"/>
  <c r="U4" i="8"/>
  <c r="AK77" i="8" l="1"/>
  <c r="AH77" i="8"/>
  <c r="AE77" i="8"/>
  <c r="Y178" i="8"/>
  <c r="AD178" i="8" s="1"/>
  <c r="AE178" i="8" s="1"/>
  <c r="Y188" i="8"/>
  <c r="AG188" i="8" s="1"/>
  <c r="AH188" i="8" s="1"/>
  <c r="Y187" i="8"/>
  <c r="Y186" i="8"/>
  <c r="Y185" i="8"/>
  <c r="AG185" i="8" s="1"/>
  <c r="AH185" i="8" s="1"/>
  <c r="Y184" i="8"/>
  <c r="AG184" i="8" s="1"/>
  <c r="AH184" i="8" s="1"/>
  <c r="Y183" i="8"/>
  <c r="Y182" i="8"/>
  <c r="Y181" i="8"/>
  <c r="AD181" i="8" s="1"/>
  <c r="AE181" i="8" s="1"/>
  <c r="Y180" i="8"/>
  <c r="AD180" i="8" s="1"/>
  <c r="AE180" i="8" s="1"/>
  <c r="Y179" i="8"/>
  <c r="AD179" i="8" s="1"/>
  <c r="AE179" i="8" s="1"/>
  <c r="U180" i="8"/>
  <c r="U181" i="8"/>
  <c r="U182" i="8"/>
  <c r="U183" i="8"/>
  <c r="U184" i="8"/>
  <c r="U185" i="8"/>
  <c r="U186" i="8"/>
  <c r="U187" i="8"/>
  <c r="U188" i="8"/>
  <c r="R180" i="8"/>
  <c r="R181" i="8"/>
  <c r="R182" i="8"/>
  <c r="R183" i="8"/>
  <c r="R184" i="8"/>
  <c r="R185" i="8"/>
  <c r="R186" i="8"/>
  <c r="R187" i="8"/>
  <c r="R188" i="8"/>
  <c r="Q180" i="8"/>
  <c r="Q181" i="8"/>
  <c r="Q182" i="8"/>
  <c r="Q183" i="8"/>
  <c r="Q184" i="8"/>
  <c r="Q185" i="8"/>
  <c r="Q186" i="8"/>
  <c r="Q187" i="8"/>
  <c r="Q188" i="8"/>
  <c r="I180" i="8"/>
  <c r="S180" i="8" s="1"/>
  <c r="I181" i="8"/>
  <c r="S181" i="8" s="1"/>
  <c r="I182" i="8"/>
  <c r="S182" i="8" s="1"/>
  <c r="I183" i="8"/>
  <c r="S183" i="8" s="1"/>
  <c r="I184" i="8"/>
  <c r="S184" i="8" s="1"/>
  <c r="I185" i="8"/>
  <c r="S185" i="8" s="1"/>
  <c r="I186" i="8"/>
  <c r="S186" i="8" s="1"/>
  <c r="I187" i="8"/>
  <c r="S187" i="8" s="1"/>
  <c r="I188" i="8"/>
  <c r="S188" i="8" s="1"/>
  <c r="E187" i="8"/>
  <c r="E186" i="8"/>
  <c r="E185" i="8"/>
  <c r="E184" i="8"/>
  <c r="E183" i="8"/>
  <c r="E182" i="8"/>
  <c r="E181" i="8"/>
  <c r="E180" i="8"/>
  <c r="E179" i="8"/>
  <c r="E178" i="8"/>
  <c r="E188" i="8"/>
  <c r="U178" i="8"/>
  <c r="U179" i="8"/>
  <c r="R178" i="8"/>
  <c r="R179" i="8"/>
  <c r="Q178" i="8"/>
  <c r="Q179" i="8"/>
  <c r="I178" i="8"/>
  <c r="S178" i="8" s="1"/>
  <c r="I179" i="8"/>
  <c r="S179" i="8" s="1"/>
  <c r="Y177" i="8"/>
  <c r="AG177" i="8" s="1"/>
  <c r="AH177" i="8" s="1"/>
  <c r="Y176" i="8"/>
  <c r="AJ176" i="8" s="1"/>
  <c r="AK176" i="8" s="1"/>
  <c r="Y175" i="8"/>
  <c r="AJ175" i="8" s="1"/>
  <c r="AK175" i="8" s="1"/>
  <c r="Y174" i="8"/>
  <c r="AJ174" i="8" s="1"/>
  <c r="AK174" i="8" s="1"/>
  <c r="Y173" i="8"/>
  <c r="AJ173" i="8" s="1"/>
  <c r="AK173" i="8" s="1"/>
  <c r="Y172" i="8"/>
  <c r="Y171" i="8"/>
  <c r="AG171" i="8" s="1"/>
  <c r="AH171" i="8" s="1"/>
  <c r="Y170" i="8"/>
  <c r="AG170" i="8" s="1"/>
  <c r="AH170" i="8" s="1"/>
  <c r="Y169" i="8"/>
  <c r="Y168" i="8"/>
  <c r="AD168" i="8" s="1"/>
  <c r="AE168" i="8" s="1"/>
  <c r="Y167" i="8"/>
  <c r="AJ167" i="8" s="1"/>
  <c r="AK167" i="8" s="1"/>
  <c r="Y166" i="8"/>
  <c r="AD166" i="8" s="1"/>
  <c r="AE166" i="8" s="1"/>
  <c r="U171" i="8"/>
  <c r="U172" i="8"/>
  <c r="U173" i="8"/>
  <c r="U174" i="8"/>
  <c r="U175" i="8"/>
  <c r="U176" i="8"/>
  <c r="U177" i="8"/>
  <c r="I171" i="8"/>
  <c r="S171" i="8" s="1"/>
  <c r="I172" i="8"/>
  <c r="S172" i="8" s="1"/>
  <c r="I173" i="8"/>
  <c r="S173" i="8" s="1"/>
  <c r="I174" i="8"/>
  <c r="S174" i="8" s="1"/>
  <c r="I175" i="8"/>
  <c r="S175" i="8" s="1"/>
  <c r="I176" i="8"/>
  <c r="S176" i="8" s="1"/>
  <c r="I177" i="8"/>
  <c r="S177" i="8" s="1"/>
  <c r="Q171" i="8"/>
  <c r="Q172" i="8"/>
  <c r="Q173" i="8"/>
  <c r="Q174" i="8"/>
  <c r="Q175" i="8"/>
  <c r="Q176" i="8"/>
  <c r="Q177" i="8"/>
  <c r="R171" i="8"/>
  <c r="R172" i="8"/>
  <c r="R173" i="8"/>
  <c r="R174" i="8"/>
  <c r="R175" i="8"/>
  <c r="R176" i="8"/>
  <c r="R177" i="8"/>
  <c r="E176" i="8"/>
  <c r="E175" i="8"/>
  <c r="E174" i="8"/>
  <c r="E173" i="8"/>
  <c r="E172" i="8"/>
  <c r="E171" i="8"/>
  <c r="E170" i="8"/>
  <c r="E169" i="8"/>
  <c r="E168" i="8"/>
  <c r="E177" i="8"/>
  <c r="E167" i="8"/>
  <c r="E166" i="8"/>
  <c r="U166" i="8"/>
  <c r="U167" i="8"/>
  <c r="U168" i="8"/>
  <c r="U169" i="8"/>
  <c r="U170" i="8"/>
  <c r="R166" i="8"/>
  <c r="R167" i="8"/>
  <c r="R168" i="8"/>
  <c r="R169" i="8"/>
  <c r="R170" i="8"/>
  <c r="Q166" i="8"/>
  <c r="Q167" i="8"/>
  <c r="Q168" i="8"/>
  <c r="Q169" i="8"/>
  <c r="Q170" i="8"/>
  <c r="I167" i="8"/>
  <c r="S167" i="8" s="1"/>
  <c r="I168" i="8"/>
  <c r="S168" i="8" s="1"/>
  <c r="I169" i="8"/>
  <c r="S169" i="8" s="1"/>
  <c r="I170" i="8"/>
  <c r="S170" i="8" s="1"/>
  <c r="I166" i="8"/>
  <c r="S166" i="8" s="1"/>
  <c r="Y165" i="8"/>
  <c r="Y164" i="8"/>
  <c r="AG164" i="8" s="1"/>
  <c r="AH164" i="8" s="1"/>
  <c r="Y163" i="8"/>
  <c r="AJ163" i="8" s="1"/>
  <c r="AK163" i="8" s="1"/>
  <c r="Y162" i="8"/>
  <c r="Y161" i="8"/>
  <c r="AG161" i="8" s="1"/>
  <c r="AH161" i="8" s="1"/>
  <c r="Y160" i="8"/>
  <c r="AJ160" i="8" s="1"/>
  <c r="AK160" i="8" s="1"/>
  <c r="Y159" i="8"/>
  <c r="Y158" i="8"/>
  <c r="AD158" i="8" s="1"/>
  <c r="AE158" i="8" s="1"/>
  <c r="Y157" i="8"/>
  <c r="AD157" i="8" s="1"/>
  <c r="AE157" i="8" s="1"/>
  <c r="Y156" i="8"/>
  <c r="AD156" i="8" s="1"/>
  <c r="AE156" i="8" s="1"/>
  <c r="Y155" i="8"/>
  <c r="AD155" i="8" s="1"/>
  <c r="AE155" i="8" s="1"/>
  <c r="Y154" i="8"/>
  <c r="AD154" i="8" s="1"/>
  <c r="AE154" i="8" s="1"/>
  <c r="E164" i="8"/>
  <c r="E163" i="8"/>
  <c r="E162" i="8"/>
  <c r="E161" i="8"/>
  <c r="E160" i="8"/>
  <c r="E159" i="8"/>
  <c r="E158" i="8"/>
  <c r="E157" i="8"/>
  <c r="E156" i="8"/>
  <c r="E165" i="8"/>
  <c r="E155" i="8"/>
  <c r="E154" i="8"/>
  <c r="U158" i="8"/>
  <c r="U159" i="8"/>
  <c r="U160" i="8"/>
  <c r="U161" i="8"/>
  <c r="U162" i="8"/>
  <c r="U163" i="8"/>
  <c r="U164" i="8"/>
  <c r="U165" i="8"/>
  <c r="R158" i="8"/>
  <c r="R159" i="8"/>
  <c r="R160" i="8"/>
  <c r="R161" i="8"/>
  <c r="R162" i="8"/>
  <c r="R163" i="8"/>
  <c r="R164" i="8"/>
  <c r="R165" i="8"/>
  <c r="Q158" i="8"/>
  <c r="Q159" i="8"/>
  <c r="Q160" i="8"/>
  <c r="Q161" i="8"/>
  <c r="Q162" i="8"/>
  <c r="Q163" i="8"/>
  <c r="Q164" i="8"/>
  <c r="Q165" i="8"/>
  <c r="I158" i="8"/>
  <c r="S158" i="8" s="1"/>
  <c r="I159" i="8"/>
  <c r="S159" i="8" s="1"/>
  <c r="I160" i="8"/>
  <c r="S160" i="8" s="1"/>
  <c r="I161" i="8"/>
  <c r="S161" i="8" s="1"/>
  <c r="I162" i="8"/>
  <c r="S162" i="8" s="1"/>
  <c r="T162" i="8" s="1"/>
  <c r="Z162" i="8" s="1"/>
  <c r="I163" i="8"/>
  <c r="S163" i="8" s="1"/>
  <c r="T163" i="8" s="1"/>
  <c r="Z163" i="8" s="1"/>
  <c r="I164" i="8"/>
  <c r="S164" i="8" s="1"/>
  <c r="I165" i="8"/>
  <c r="S165" i="8" s="1"/>
  <c r="U154" i="8"/>
  <c r="U155" i="8"/>
  <c r="U156" i="8"/>
  <c r="U157" i="8"/>
  <c r="R154" i="8"/>
  <c r="R155" i="8"/>
  <c r="R156" i="8"/>
  <c r="R157" i="8"/>
  <c r="Q154" i="8"/>
  <c r="Q155" i="8"/>
  <c r="Q156" i="8"/>
  <c r="Q157" i="8"/>
  <c r="I154" i="8"/>
  <c r="S154" i="8" s="1"/>
  <c r="I155" i="8"/>
  <c r="S155" i="8" s="1"/>
  <c r="I156" i="8"/>
  <c r="S156" i="8" s="1"/>
  <c r="I157" i="8"/>
  <c r="S157" i="8" s="1"/>
  <c r="Y153" i="8"/>
  <c r="Y152" i="8"/>
  <c r="Y151" i="8"/>
  <c r="Y150" i="8"/>
  <c r="Y149" i="8"/>
  <c r="Y148" i="8"/>
  <c r="AJ148" i="8" s="1"/>
  <c r="AK148" i="8" s="1"/>
  <c r="Y147" i="8"/>
  <c r="AJ147" i="8" s="1"/>
  <c r="AK147" i="8" s="1"/>
  <c r="Y146" i="8"/>
  <c r="Y145" i="8"/>
  <c r="AD145" i="8" s="1"/>
  <c r="AE145" i="8" s="1"/>
  <c r="Y144" i="8"/>
  <c r="AD144" i="8" s="1"/>
  <c r="AE144" i="8" s="1"/>
  <c r="Y143" i="8"/>
  <c r="AD143" i="8" s="1"/>
  <c r="AE143" i="8" s="1"/>
  <c r="Y142" i="8"/>
  <c r="AD142" i="8" s="1"/>
  <c r="AE142" i="8" s="1"/>
  <c r="U142" i="8"/>
  <c r="U143" i="8"/>
  <c r="U144" i="8"/>
  <c r="U145" i="8"/>
  <c r="U146" i="8"/>
  <c r="U147" i="8"/>
  <c r="U148" i="8"/>
  <c r="U149" i="8"/>
  <c r="U150" i="8"/>
  <c r="U151" i="8"/>
  <c r="U152" i="8"/>
  <c r="U153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I142" i="8"/>
  <c r="S142" i="8" s="1"/>
  <c r="I143" i="8"/>
  <c r="S143" i="8" s="1"/>
  <c r="I144" i="8"/>
  <c r="S144" i="8" s="1"/>
  <c r="I145" i="8"/>
  <c r="S145" i="8" s="1"/>
  <c r="I146" i="8"/>
  <c r="S146" i="8" s="1"/>
  <c r="T146" i="8" s="1"/>
  <c r="I147" i="8"/>
  <c r="S147" i="8" s="1"/>
  <c r="T147" i="8" s="1"/>
  <c r="I148" i="8"/>
  <c r="S148" i="8" s="1"/>
  <c r="I149" i="8"/>
  <c r="S149" i="8" s="1"/>
  <c r="I150" i="8"/>
  <c r="S150" i="8" s="1"/>
  <c r="I151" i="8"/>
  <c r="S151" i="8" s="1"/>
  <c r="I152" i="8"/>
  <c r="S152" i="8" s="1"/>
  <c r="I153" i="8"/>
  <c r="S153" i="8" s="1"/>
  <c r="E153" i="8"/>
  <c r="E152" i="8"/>
  <c r="E151" i="8"/>
  <c r="E150" i="8"/>
  <c r="E149" i="8"/>
  <c r="E148" i="8"/>
  <c r="E147" i="8"/>
  <c r="E146" i="8"/>
  <c r="E145" i="8"/>
  <c r="E144" i="8"/>
  <c r="E143" i="8"/>
  <c r="E142" i="8"/>
  <c r="Y129" i="8"/>
  <c r="AD129" i="8" s="1"/>
  <c r="AE129" i="8" s="1"/>
  <c r="Y141" i="8"/>
  <c r="Y140" i="8"/>
  <c r="AD140" i="8" s="1"/>
  <c r="AE140" i="8" s="1"/>
  <c r="Y139" i="8"/>
  <c r="AD139" i="8" s="1"/>
  <c r="AE139" i="8" s="1"/>
  <c r="Y138" i="8"/>
  <c r="AD138" i="8" s="1"/>
  <c r="AE138" i="8" s="1"/>
  <c r="Y137" i="8"/>
  <c r="AD137" i="8" s="1"/>
  <c r="AE137" i="8" s="1"/>
  <c r="Y136" i="8"/>
  <c r="AD136" i="8" s="1"/>
  <c r="AE136" i="8" s="1"/>
  <c r="Y135" i="8"/>
  <c r="AJ135" i="8" s="1"/>
  <c r="AK135" i="8" s="1"/>
  <c r="Y134" i="8"/>
  <c r="AD134" i="8" s="1"/>
  <c r="AE134" i="8" s="1"/>
  <c r="Y133" i="8"/>
  <c r="AD133" i="8" s="1"/>
  <c r="AE133" i="8" s="1"/>
  <c r="Y132" i="8"/>
  <c r="AD132" i="8" s="1"/>
  <c r="AE132" i="8" s="1"/>
  <c r="Y131" i="8"/>
  <c r="AJ131" i="8" s="1"/>
  <c r="AK131" i="8" s="1"/>
  <c r="Y130" i="8"/>
  <c r="AD130" i="8" s="1"/>
  <c r="AE130" i="8" s="1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I129" i="8"/>
  <c r="S129" i="8" s="1"/>
  <c r="I130" i="8"/>
  <c r="S130" i="8" s="1"/>
  <c r="I131" i="8"/>
  <c r="S131" i="8" s="1"/>
  <c r="I132" i="8"/>
  <c r="S132" i="8" s="1"/>
  <c r="I133" i="8"/>
  <c r="S133" i="8" s="1"/>
  <c r="I134" i="8"/>
  <c r="S134" i="8" s="1"/>
  <c r="I135" i="8"/>
  <c r="S135" i="8" s="1"/>
  <c r="I136" i="8"/>
  <c r="S136" i="8" s="1"/>
  <c r="I137" i="8"/>
  <c r="S137" i="8" s="1"/>
  <c r="I138" i="8"/>
  <c r="S138" i="8" s="1"/>
  <c r="I139" i="8"/>
  <c r="S139" i="8" s="1"/>
  <c r="I140" i="8"/>
  <c r="S140" i="8" s="1"/>
  <c r="I141" i="8"/>
  <c r="S141" i="8" s="1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AJ157" i="8" l="1"/>
  <c r="AK157" i="8" s="1"/>
  <c r="AJ155" i="8"/>
  <c r="AK155" i="8" s="1"/>
  <c r="AJ170" i="8"/>
  <c r="AK170" i="8" s="1"/>
  <c r="AG154" i="8"/>
  <c r="AH154" i="8" s="1"/>
  <c r="AG136" i="8"/>
  <c r="AH136" i="8" s="1"/>
  <c r="AJ179" i="8"/>
  <c r="AK179" i="8" s="1"/>
  <c r="AG145" i="8"/>
  <c r="AH145" i="8" s="1"/>
  <c r="AJ138" i="8"/>
  <c r="AK138" i="8" s="1"/>
  <c r="AG180" i="8"/>
  <c r="AH180" i="8" s="1"/>
  <c r="AG175" i="8"/>
  <c r="AH175" i="8" s="1"/>
  <c r="AJ154" i="8"/>
  <c r="AK154" i="8" s="1"/>
  <c r="AD141" i="8"/>
  <c r="AE141" i="8" s="1"/>
  <c r="AL140" i="8"/>
  <c r="AM140" i="8" s="1"/>
  <c r="AN140" i="8" s="1"/>
  <c r="AL137" i="8"/>
  <c r="AM137" i="8" s="1"/>
  <c r="AN137" i="8" s="1"/>
  <c r="AL133" i="8"/>
  <c r="AM133" i="8" s="1"/>
  <c r="AN133" i="8" s="1"/>
  <c r="AL130" i="8"/>
  <c r="AM130" i="8" s="1"/>
  <c r="AN130" i="8" s="1"/>
  <c r="AL139" i="8"/>
  <c r="AM139" i="8" s="1"/>
  <c r="AN139" i="8" s="1"/>
  <c r="AL136" i="8"/>
  <c r="AM136" i="8" s="1"/>
  <c r="AN136" i="8" s="1"/>
  <c r="AL129" i="8"/>
  <c r="AM129" i="8" s="1"/>
  <c r="AN129" i="8" s="1"/>
  <c r="AL131" i="8"/>
  <c r="AM131" i="8" s="1"/>
  <c r="AN131" i="8" s="1"/>
  <c r="AL138" i="8"/>
  <c r="AM138" i="8" s="1"/>
  <c r="AN138" i="8" s="1"/>
  <c r="AL132" i="8"/>
  <c r="AM132" i="8" s="1"/>
  <c r="AN132" i="8" s="1"/>
  <c r="AL135" i="8"/>
  <c r="AM135" i="8" s="1"/>
  <c r="AN135" i="8" s="1"/>
  <c r="AL141" i="8"/>
  <c r="AM141" i="8" s="1"/>
  <c r="AN141" i="8" s="1"/>
  <c r="AL134" i="8"/>
  <c r="AM134" i="8" s="1"/>
  <c r="AN134" i="8" s="1"/>
  <c r="AD152" i="8"/>
  <c r="AE152" i="8" s="1"/>
  <c r="AL152" i="8"/>
  <c r="AM152" i="8" s="1"/>
  <c r="AN152" i="8" s="1"/>
  <c r="AD182" i="8"/>
  <c r="AE182" i="8" s="1"/>
  <c r="AL182" i="8"/>
  <c r="AM182" i="8" s="1"/>
  <c r="AN182" i="8" s="1"/>
  <c r="AD186" i="8"/>
  <c r="AE186" i="8" s="1"/>
  <c r="AL186" i="8"/>
  <c r="AM186" i="8" s="1"/>
  <c r="AN186" i="8" s="1"/>
  <c r="AG137" i="8"/>
  <c r="AH137" i="8" s="1"/>
  <c r="AG148" i="8"/>
  <c r="AH148" i="8" s="1"/>
  <c r="AJ144" i="8"/>
  <c r="AK144" i="8" s="1"/>
  <c r="AD149" i="8"/>
  <c r="AE149" i="8" s="1"/>
  <c r="AL149" i="8"/>
  <c r="AM149" i="8" s="1"/>
  <c r="AN149" i="8" s="1"/>
  <c r="AD153" i="8"/>
  <c r="AE153" i="8" s="1"/>
  <c r="AL144" i="8"/>
  <c r="AM144" i="8" s="1"/>
  <c r="AN144" i="8" s="1"/>
  <c r="AL143" i="8"/>
  <c r="AM143" i="8" s="1"/>
  <c r="AN143" i="8" s="1"/>
  <c r="AL142" i="8"/>
  <c r="AM142" i="8" s="1"/>
  <c r="AN142" i="8" s="1"/>
  <c r="AL153" i="8"/>
  <c r="AM153" i="8" s="1"/>
  <c r="AN153" i="8" s="1"/>
  <c r="AL145" i="8"/>
  <c r="AM145" i="8" s="1"/>
  <c r="AN145" i="8" s="1"/>
  <c r="AD161" i="8"/>
  <c r="AE161" i="8" s="1"/>
  <c r="AL161" i="8"/>
  <c r="AM161" i="8" s="1"/>
  <c r="AN161" i="8" s="1"/>
  <c r="AD165" i="8"/>
  <c r="AE165" i="8" s="1"/>
  <c r="AL157" i="8"/>
  <c r="AM157" i="8" s="1"/>
  <c r="AN157" i="8" s="1"/>
  <c r="AL155" i="8"/>
  <c r="AM155" i="8" s="1"/>
  <c r="AN155" i="8" s="1"/>
  <c r="AL156" i="8"/>
  <c r="AM156" i="8" s="1"/>
  <c r="AN156" i="8" s="1"/>
  <c r="AL158" i="8"/>
  <c r="AM158" i="8" s="1"/>
  <c r="AN158" i="8" s="1"/>
  <c r="AL154" i="8"/>
  <c r="AM154" i="8" s="1"/>
  <c r="AN154" i="8" s="1"/>
  <c r="AL165" i="8"/>
  <c r="AM165" i="8" s="1"/>
  <c r="AN165" i="8" s="1"/>
  <c r="AD169" i="8"/>
  <c r="AE169" i="8" s="1"/>
  <c r="AL169" i="8"/>
  <c r="AM169" i="8" s="1"/>
  <c r="AN169" i="8" s="1"/>
  <c r="AD173" i="8"/>
  <c r="AE173" i="8" s="1"/>
  <c r="AL173" i="8"/>
  <c r="AM173" i="8" s="1"/>
  <c r="AN173" i="8" s="1"/>
  <c r="AD177" i="8"/>
  <c r="AE177" i="8" s="1"/>
  <c r="AL168" i="8"/>
  <c r="AM168" i="8" s="1"/>
  <c r="AN168" i="8" s="1"/>
  <c r="AL167" i="8"/>
  <c r="AM167" i="8" s="1"/>
  <c r="AN167" i="8" s="1"/>
  <c r="AL166" i="8"/>
  <c r="AM166" i="8" s="1"/>
  <c r="AN166" i="8" s="1"/>
  <c r="AL177" i="8"/>
  <c r="AM177" i="8" s="1"/>
  <c r="AN177" i="8" s="1"/>
  <c r="AD183" i="8"/>
  <c r="AE183" i="8" s="1"/>
  <c r="AL183" i="8"/>
  <c r="AM183" i="8" s="1"/>
  <c r="AN183" i="8" s="1"/>
  <c r="AD187" i="8"/>
  <c r="AE187" i="8" s="1"/>
  <c r="AL187" i="8"/>
  <c r="AM187" i="8" s="1"/>
  <c r="AN187" i="8" s="1"/>
  <c r="AG130" i="8"/>
  <c r="AH130" i="8" s="1"/>
  <c r="AG158" i="8"/>
  <c r="AH158" i="8" s="1"/>
  <c r="AG174" i="8"/>
  <c r="AH174" i="8" s="1"/>
  <c r="AG142" i="8"/>
  <c r="AH142" i="8" s="1"/>
  <c r="AG141" i="8"/>
  <c r="AH141" i="8" s="1"/>
  <c r="AG187" i="8"/>
  <c r="AH187" i="8" s="1"/>
  <c r="AJ129" i="8"/>
  <c r="AK129" i="8" s="1"/>
  <c r="AJ145" i="8"/>
  <c r="AK145" i="8" s="1"/>
  <c r="AJ161" i="8"/>
  <c r="AK161" i="8" s="1"/>
  <c r="AJ177" i="8"/>
  <c r="AK177" i="8" s="1"/>
  <c r="AJ142" i="8"/>
  <c r="AK142" i="8" s="1"/>
  <c r="AJ158" i="8"/>
  <c r="AK158" i="8" s="1"/>
  <c r="AG140" i="8"/>
  <c r="AH140" i="8" s="1"/>
  <c r="AG134" i="8"/>
  <c r="AH134" i="8" s="1"/>
  <c r="AJ139" i="8"/>
  <c r="AK139" i="8" s="1"/>
  <c r="AJ183" i="8"/>
  <c r="AK183" i="8" s="1"/>
  <c r="AG160" i="8"/>
  <c r="AH160" i="8" s="1"/>
  <c r="AJ187" i="8"/>
  <c r="AK187" i="8" s="1"/>
  <c r="AG156" i="8"/>
  <c r="AH156" i="8" s="1"/>
  <c r="AJ132" i="8"/>
  <c r="AK132" i="8" s="1"/>
  <c r="AJ164" i="8"/>
  <c r="AK164" i="8" s="1"/>
  <c r="AJ180" i="8"/>
  <c r="AK180" i="8" s="1"/>
  <c r="AG149" i="8"/>
  <c r="AH149" i="8" s="1"/>
  <c r="AG165" i="8"/>
  <c r="AH165" i="8" s="1"/>
  <c r="AG181" i="8"/>
  <c r="AH181" i="8" s="1"/>
  <c r="AD148" i="8"/>
  <c r="AE148" i="8" s="1"/>
  <c r="AL148" i="8"/>
  <c r="AM148" i="8" s="1"/>
  <c r="AN148" i="8" s="1"/>
  <c r="AD172" i="8"/>
  <c r="AE172" i="8" s="1"/>
  <c r="AL172" i="8"/>
  <c r="AM172" i="8" s="1"/>
  <c r="AN172" i="8" s="1"/>
  <c r="AG186" i="8"/>
  <c r="AH186" i="8" s="1"/>
  <c r="AJ186" i="8"/>
  <c r="AK186" i="8" s="1"/>
  <c r="AG152" i="8"/>
  <c r="AH152" i="8" s="1"/>
  <c r="AD131" i="8"/>
  <c r="AE131" i="8" s="1"/>
  <c r="AG131" i="8"/>
  <c r="AH131" i="8" s="1"/>
  <c r="AD135" i="8"/>
  <c r="AE135" i="8" s="1"/>
  <c r="AG135" i="8"/>
  <c r="AH135" i="8" s="1"/>
  <c r="AD146" i="8"/>
  <c r="AE146" i="8" s="1"/>
  <c r="AL146" i="8"/>
  <c r="AM146" i="8" s="1"/>
  <c r="AN146" i="8" s="1"/>
  <c r="AD150" i="8"/>
  <c r="AE150" i="8" s="1"/>
  <c r="AL150" i="8"/>
  <c r="AM150" i="8" s="1"/>
  <c r="AN150" i="8" s="1"/>
  <c r="AD162" i="8"/>
  <c r="AE162" i="8" s="1"/>
  <c r="AL162" i="8"/>
  <c r="AM162" i="8" s="1"/>
  <c r="AN162" i="8" s="1"/>
  <c r="AD170" i="8"/>
  <c r="AE170" i="8" s="1"/>
  <c r="AL170" i="8"/>
  <c r="AM170" i="8" s="1"/>
  <c r="AN170" i="8" s="1"/>
  <c r="AD174" i="8"/>
  <c r="AE174" i="8" s="1"/>
  <c r="AL174" i="8"/>
  <c r="AM174" i="8" s="1"/>
  <c r="AN174" i="8" s="1"/>
  <c r="AD184" i="8"/>
  <c r="AE184" i="8" s="1"/>
  <c r="AL184" i="8"/>
  <c r="AM184" i="8" s="1"/>
  <c r="AN184" i="8" s="1"/>
  <c r="AD188" i="8"/>
  <c r="AE188" i="8" s="1"/>
  <c r="AL180" i="8"/>
  <c r="AM180" i="8" s="1"/>
  <c r="AN180" i="8" s="1"/>
  <c r="AL179" i="8"/>
  <c r="AM179" i="8" s="1"/>
  <c r="AN179" i="8" s="1"/>
  <c r="AL178" i="8"/>
  <c r="AM178" i="8" s="1"/>
  <c r="AN178" i="8" s="1"/>
  <c r="AL181" i="8"/>
  <c r="AM181" i="8" s="1"/>
  <c r="AN181" i="8" s="1"/>
  <c r="AL188" i="8"/>
  <c r="AM188" i="8" s="1"/>
  <c r="AN188" i="8" s="1"/>
  <c r="AG146" i="8"/>
  <c r="AH146" i="8" s="1"/>
  <c r="AG162" i="8"/>
  <c r="AH162" i="8" s="1"/>
  <c r="AG178" i="8"/>
  <c r="AH178" i="8" s="1"/>
  <c r="AG129" i="8"/>
  <c r="AH129" i="8" s="1"/>
  <c r="AG143" i="8"/>
  <c r="AH143" i="8" s="1"/>
  <c r="AJ133" i="8"/>
  <c r="AK133" i="8" s="1"/>
  <c r="AJ149" i="8"/>
  <c r="AK149" i="8" s="1"/>
  <c r="AJ165" i="8"/>
  <c r="AK165" i="8" s="1"/>
  <c r="AJ181" i="8"/>
  <c r="AK181" i="8" s="1"/>
  <c r="AG138" i="8"/>
  <c r="AH138" i="8" s="1"/>
  <c r="AJ130" i="8"/>
  <c r="AK130" i="8" s="1"/>
  <c r="AJ146" i="8"/>
  <c r="AK146" i="8" s="1"/>
  <c r="AJ162" i="8"/>
  <c r="AK162" i="8" s="1"/>
  <c r="AJ178" i="8"/>
  <c r="AK178" i="8" s="1"/>
  <c r="AG179" i="8"/>
  <c r="AH179" i="8" s="1"/>
  <c r="AJ143" i="8"/>
  <c r="AK143" i="8" s="1"/>
  <c r="AG168" i="8"/>
  <c r="AH168" i="8" s="1"/>
  <c r="AJ136" i="8"/>
  <c r="AK136" i="8" s="1"/>
  <c r="AJ152" i="8"/>
  <c r="AK152" i="8" s="1"/>
  <c r="AJ168" i="8"/>
  <c r="AK168" i="8" s="1"/>
  <c r="AJ184" i="8"/>
  <c r="AK184" i="8" s="1"/>
  <c r="AG153" i="8"/>
  <c r="AH153" i="8" s="1"/>
  <c r="AG169" i="8"/>
  <c r="AH169" i="8" s="1"/>
  <c r="AD160" i="8"/>
  <c r="AE160" i="8" s="1"/>
  <c r="AL160" i="8"/>
  <c r="AM160" i="8" s="1"/>
  <c r="AN160" i="8" s="1"/>
  <c r="AD164" i="8"/>
  <c r="AE164" i="8" s="1"/>
  <c r="AL164" i="8"/>
  <c r="AM164" i="8" s="1"/>
  <c r="AN164" i="8" s="1"/>
  <c r="AD176" i="8"/>
  <c r="AE176" i="8" s="1"/>
  <c r="AL176" i="8"/>
  <c r="AM176" i="8" s="1"/>
  <c r="AN176" i="8" s="1"/>
  <c r="AJ141" i="8"/>
  <c r="AK141" i="8" s="1"/>
  <c r="AD147" i="8"/>
  <c r="AE147" i="8" s="1"/>
  <c r="AL147" i="8"/>
  <c r="AM147" i="8" s="1"/>
  <c r="AN147" i="8" s="1"/>
  <c r="AG147" i="8"/>
  <c r="AH147" i="8" s="1"/>
  <c r="AD151" i="8"/>
  <c r="AE151" i="8" s="1"/>
  <c r="AL151" i="8"/>
  <c r="AM151" i="8" s="1"/>
  <c r="AN151" i="8" s="1"/>
  <c r="AG151" i="8"/>
  <c r="AH151" i="8" s="1"/>
  <c r="AD159" i="8"/>
  <c r="AE159" i="8" s="1"/>
  <c r="AL159" i="8"/>
  <c r="AM159" i="8" s="1"/>
  <c r="AN159" i="8" s="1"/>
  <c r="AD163" i="8"/>
  <c r="AE163" i="8" s="1"/>
  <c r="AL163" i="8"/>
  <c r="AM163" i="8" s="1"/>
  <c r="AN163" i="8" s="1"/>
  <c r="AG163" i="8"/>
  <c r="AH163" i="8" s="1"/>
  <c r="AD167" i="8"/>
  <c r="AE167" i="8" s="1"/>
  <c r="AG167" i="8"/>
  <c r="AH167" i="8" s="1"/>
  <c r="AD171" i="8"/>
  <c r="AE171" i="8" s="1"/>
  <c r="AL171" i="8"/>
  <c r="AM171" i="8" s="1"/>
  <c r="AN171" i="8" s="1"/>
  <c r="AD175" i="8"/>
  <c r="AE175" i="8" s="1"/>
  <c r="AL175" i="8"/>
  <c r="AM175" i="8" s="1"/>
  <c r="AN175" i="8" s="1"/>
  <c r="AD185" i="8"/>
  <c r="AE185" i="8" s="1"/>
  <c r="AL185" i="8"/>
  <c r="AM185" i="8" s="1"/>
  <c r="AN185" i="8" s="1"/>
  <c r="AG150" i="8"/>
  <c r="AH150" i="8" s="1"/>
  <c r="AG166" i="8"/>
  <c r="AH166" i="8" s="1"/>
  <c r="AG182" i="8"/>
  <c r="AH182" i="8" s="1"/>
  <c r="AG133" i="8"/>
  <c r="AH133" i="8" s="1"/>
  <c r="AG159" i="8"/>
  <c r="AH159" i="8" s="1"/>
  <c r="AJ137" i="8"/>
  <c r="AK137" i="8" s="1"/>
  <c r="AJ153" i="8"/>
  <c r="AK153" i="8" s="1"/>
  <c r="AJ169" i="8"/>
  <c r="AK169" i="8" s="1"/>
  <c r="AJ185" i="8"/>
  <c r="AK185" i="8" s="1"/>
  <c r="AJ134" i="8"/>
  <c r="AK134" i="8" s="1"/>
  <c r="AJ150" i="8"/>
  <c r="AK150" i="8" s="1"/>
  <c r="AJ166" i="8"/>
  <c r="AK166" i="8" s="1"/>
  <c r="AJ182" i="8"/>
  <c r="AK182" i="8" s="1"/>
  <c r="AG139" i="8"/>
  <c r="AH139" i="8" s="1"/>
  <c r="AG155" i="8"/>
  <c r="AH155" i="8" s="1"/>
  <c r="AJ151" i="8"/>
  <c r="AK151" i="8" s="1"/>
  <c r="AJ171" i="8"/>
  <c r="AK171" i="8" s="1"/>
  <c r="AG144" i="8"/>
  <c r="AH144" i="8" s="1"/>
  <c r="AG172" i="8"/>
  <c r="AH172" i="8" s="1"/>
  <c r="AJ159" i="8"/>
  <c r="AK159" i="8" s="1"/>
  <c r="AG132" i="8"/>
  <c r="AH132" i="8" s="1"/>
  <c r="AG176" i="8"/>
  <c r="AH176" i="8" s="1"/>
  <c r="AJ140" i="8"/>
  <c r="AK140" i="8" s="1"/>
  <c r="AJ156" i="8"/>
  <c r="AK156" i="8" s="1"/>
  <c r="AJ172" i="8"/>
  <c r="AK172" i="8" s="1"/>
  <c r="AJ188" i="8"/>
  <c r="AK188" i="8" s="1"/>
  <c r="AG157" i="8"/>
  <c r="AH157" i="8" s="1"/>
  <c r="AG173" i="8"/>
  <c r="AH173" i="8" s="1"/>
  <c r="AG183" i="8"/>
  <c r="AH183" i="8" s="1"/>
  <c r="AA163" i="8"/>
  <c r="AB163" i="8" s="1"/>
  <c r="T172" i="8"/>
  <c r="Z172" i="8" s="1"/>
  <c r="AA172" i="8" s="1"/>
  <c r="AB172" i="8" s="1"/>
  <c r="AA162" i="8"/>
  <c r="AB162" i="8" s="1"/>
  <c r="T177" i="8"/>
  <c r="Z177" i="8" s="1"/>
  <c r="AA177" i="8" s="1"/>
  <c r="AB177" i="8" s="1"/>
  <c r="T187" i="8"/>
  <c r="Z187" i="8" s="1"/>
  <c r="AA187" i="8" s="1"/>
  <c r="AB187" i="8" s="1"/>
  <c r="T183" i="8"/>
  <c r="Z183" i="8" s="1"/>
  <c r="AA183" i="8" s="1"/>
  <c r="AB183" i="8" s="1"/>
  <c r="T188" i="8"/>
  <c r="Z188" i="8" s="1"/>
  <c r="AA188" i="8" s="1"/>
  <c r="AB188" i="8" s="1"/>
  <c r="T184" i="8"/>
  <c r="Z184" i="8" s="1"/>
  <c r="AA184" i="8" s="1"/>
  <c r="AB184" i="8" s="1"/>
  <c r="T180" i="8"/>
  <c r="Z180" i="8" s="1"/>
  <c r="AA180" i="8" s="1"/>
  <c r="AB180" i="8" s="1"/>
  <c r="T136" i="8"/>
  <c r="Z136" i="8" s="1"/>
  <c r="AA136" i="8" s="1"/>
  <c r="AB136" i="8" s="1"/>
  <c r="T132" i="8"/>
  <c r="Z132" i="8" s="1"/>
  <c r="AA132" i="8" s="1"/>
  <c r="AB132" i="8" s="1"/>
  <c r="T150" i="8"/>
  <c r="Z150" i="8" s="1"/>
  <c r="AA150" i="8" s="1"/>
  <c r="AB150" i="8" s="1"/>
  <c r="T142" i="8"/>
  <c r="Z142" i="8" s="1"/>
  <c r="AA142" i="8" s="1"/>
  <c r="AB142" i="8" s="1"/>
  <c r="T154" i="8"/>
  <c r="Z154" i="8" s="1"/>
  <c r="AA154" i="8" s="1"/>
  <c r="AB154" i="8" s="1"/>
  <c r="T182" i="8"/>
  <c r="Z182" i="8" s="1"/>
  <c r="AA182" i="8" s="1"/>
  <c r="AB182" i="8" s="1"/>
  <c r="T185" i="8"/>
  <c r="Z185" i="8" s="1"/>
  <c r="AA185" i="8" s="1"/>
  <c r="AB185" i="8" s="1"/>
  <c r="T181" i="8"/>
  <c r="Z181" i="8" s="1"/>
  <c r="AA181" i="8" s="1"/>
  <c r="AB181" i="8" s="1"/>
  <c r="T151" i="8"/>
  <c r="Z151" i="8" s="1"/>
  <c r="AA151" i="8" s="1"/>
  <c r="AB151" i="8" s="1"/>
  <c r="T143" i="8"/>
  <c r="Z143" i="8" s="1"/>
  <c r="AA143" i="8" s="1"/>
  <c r="AB143" i="8" s="1"/>
  <c r="T155" i="8"/>
  <c r="Z155" i="8" s="1"/>
  <c r="AA155" i="8" s="1"/>
  <c r="AB155" i="8" s="1"/>
  <c r="T173" i="8"/>
  <c r="Z173" i="8" s="1"/>
  <c r="AA173" i="8" s="1"/>
  <c r="AB173" i="8" s="1"/>
  <c r="T179" i="8"/>
  <c r="Z179" i="8" s="1"/>
  <c r="AA179" i="8" s="1"/>
  <c r="AB179" i="8" s="1"/>
  <c r="Z146" i="8"/>
  <c r="AA146" i="8" s="1"/>
  <c r="AB146" i="8" s="1"/>
  <c r="Z147" i="8"/>
  <c r="AA147" i="8" s="1"/>
  <c r="AB147" i="8" s="1"/>
  <c r="T135" i="8"/>
  <c r="Z135" i="8" s="1"/>
  <c r="AA135" i="8" s="1"/>
  <c r="AB135" i="8" s="1"/>
  <c r="T141" i="8"/>
  <c r="Z141" i="8" s="1"/>
  <c r="AA141" i="8" s="1"/>
  <c r="AB141" i="8" s="1"/>
  <c r="T137" i="8"/>
  <c r="Z137" i="8" s="1"/>
  <c r="AA137" i="8" s="1"/>
  <c r="AB137" i="8" s="1"/>
  <c r="T133" i="8"/>
  <c r="Z133" i="8" s="1"/>
  <c r="AA133" i="8" s="1"/>
  <c r="AB133" i="8" s="1"/>
  <c r="T129" i="8"/>
  <c r="Z129" i="8" s="1"/>
  <c r="AA129" i="8" s="1"/>
  <c r="AB129" i="8" s="1"/>
  <c r="T159" i="8"/>
  <c r="Z159" i="8" s="1"/>
  <c r="AA159" i="8" s="1"/>
  <c r="AB159" i="8" s="1"/>
  <c r="T169" i="8"/>
  <c r="Z169" i="8" s="1"/>
  <c r="AA169" i="8" s="1"/>
  <c r="AB169" i="8" s="1"/>
  <c r="T186" i="8"/>
  <c r="Z186" i="8" s="1"/>
  <c r="AA186" i="8" s="1"/>
  <c r="AB186" i="8" s="1"/>
  <c r="T139" i="8"/>
  <c r="Z139" i="8" s="1"/>
  <c r="AA139" i="8" s="1"/>
  <c r="AB139" i="8" s="1"/>
  <c r="T131" i="8"/>
  <c r="Z131" i="8" s="1"/>
  <c r="AA131" i="8" s="1"/>
  <c r="AB131" i="8" s="1"/>
  <c r="T140" i="8"/>
  <c r="Z140" i="8" s="1"/>
  <c r="AA140" i="8" s="1"/>
  <c r="AB140" i="8" s="1"/>
  <c r="T158" i="8"/>
  <c r="Z158" i="8" s="1"/>
  <c r="AA158" i="8" s="1"/>
  <c r="AB158" i="8" s="1"/>
  <c r="T168" i="8"/>
  <c r="Z168" i="8" s="1"/>
  <c r="AA168" i="8" s="1"/>
  <c r="AB168" i="8" s="1"/>
  <c r="T175" i="8"/>
  <c r="Z175" i="8" s="1"/>
  <c r="AA175" i="8" s="1"/>
  <c r="AB175" i="8" s="1"/>
  <c r="T167" i="8"/>
  <c r="Z167" i="8" s="1"/>
  <c r="AA167" i="8" s="1"/>
  <c r="AB167" i="8" s="1"/>
  <c r="T176" i="8"/>
  <c r="Z176" i="8" s="1"/>
  <c r="AA176" i="8" s="1"/>
  <c r="AB176" i="8" s="1"/>
  <c r="T171" i="8"/>
  <c r="Z171" i="8" s="1"/>
  <c r="AA171" i="8" s="1"/>
  <c r="AB171" i="8" s="1"/>
  <c r="T178" i="8"/>
  <c r="Z178" i="8" s="1"/>
  <c r="AA178" i="8" s="1"/>
  <c r="AB178" i="8" s="1"/>
  <c r="T153" i="8"/>
  <c r="Z153" i="8" s="1"/>
  <c r="AA153" i="8" s="1"/>
  <c r="AB153" i="8" s="1"/>
  <c r="T149" i="8"/>
  <c r="Z149" i="8" s="1"/>
  <c r="AA149" i="8" s="1"/>
  <c r="AB149" i="8" s="1"/>
  <c r="T145" i="8"/>
  <c r="Z145" i="8" s="1"/>
  <c r="AA145" i="8" s="1"/>
  <c r="AB145" i="8" s="1"/>
  <c r="T157" i="8"/>
  <c r="Z157" i="8" s="1"/>
  <c r="AA157" i="8" s="1"/>
  <c r="AB157" i="8" s="1"/>
  <c r="T165" i="8"/>
  <c r="Z165" i="8" s="1"/>
  <c r="AA165" i="8" s="1"/>
  <c r="AB165" i="8" s="1"/>
  <c r="T161" i="8"/>
  <c r="Z161" i="8" s="1"/>
  <c r="AA161" i="8" s="1"/>
  <c r="AB161" i="8" s="1"/>
  <c r="T138" i="8"/>
  <c r="Z138" i="8" s="1"/>
  <c r="AA138" i="8" s="1"/>
  <c r="AB138" i="8" s="1"/>
  <c r="T134" i="8"/>
  <c r="Z134" i="8" s="1"/>
  <c r="AA134" i="8" s="1"/>
  <c r="AB134" i="8" s="1"/>
  <c r="T130" i="8"/>
  <c r="Z130" i="8" s="1"/>
  <c r="AA130" i="8" s="1"/>
  <c r="AB130" i="8" s="1"/>
  <c r="T152" i="8"/>
  <c r="Z152" i="8" s="1"/>
  <c r="AA152" i="8" s="1"/>
  <c r="AB152" i="8" s="1"/>
  <c r="T148" i="8"/>
  <c r="Z148" i="8" s="1"/>
  <c r="AA148" i="8" s="1"/>
  <c r="AB148" i="8" s="1"/>
  <c r="T144" i="8"/>
  <c r="Z144" i="8" s="1"/>
  <c r="AA144" i="8" s="1"/>
  <c r="AB144" i="8" s="1"/>
  <c r="T156" i="8"/>
  <c r="Z156" i="8" s="1"/>
  <c r="AA156" i="8" s="1"/>
  <c r="AB156" i="8" s="1"/>
  <c r="T164" i="8"/>
  <c r="Z164" i="8" s="1"/>
  <c r="AA164" i="8" s="1"/>
  <c r="AB164" i="8" s="1"/>
  <c r="T160" i="8"/>
  <c r="Z160" i="8" s="1"/>
  <c r="AA160" i="8" s="1"/>
  <c r="AB160" i="8" s="1"/>
  <c r="T170" i="8"/>
  <c r="Z170" i="8" s="1"/>
  <c r="AA170" i="8" s="1"/>
  <c r="AB170" i="8" s="1"/>
  <c r="T166" i="8"/>
  <c r="Z166" i="8" s="1"/>
  <c r="AA166" i="8" s="1"/>
  <c r="AB166" i="8" s="1"/>
  <c r="T174" i="8"/>
  <c r="Z174" i="8" s="1"/>
  <c r="AA174" i="8" s="1"/>
  <c r="AB174" i="8" s="1"/>
  <c r="Y128" i="8"/>
  <c r="Y127" i="8"/>
  <c r="Y126" i="8"/>
  <c r="Y125" i="8"/>
  <c r="Y124" i="8"/>
  <c r="Y123" i="8"/>
  <c r="Y122" i="8"/>
  <c r="Y121" i="8"/>
  <c r="Y120" i="8"/>
  <c r="Y119" i="8"/>
  <c r="Y118" i="8"/>
  <c r="U119" i="8"/>
  <c r="U120" i="8"/>
  <c r="U121" i="8"/>
  <c r="U122" i="8"/>
  <c r="U123" i="8"/>
  <c r="U124" i="8"/>
  <c r="U125" i="8"/>
  <c r="U126" i="8"/>
  <c r="U127" i="8"/>
  <c r="U128" i="8"/>
  <c r="U118" i="8"/>
  <c r="R119" i="8"/>
  <c r="R120" i="8"/>
  <c r="R121" i="8"/>
  <c r="R122" i="8"/>
  <c r="R123" i="8"/>
  <c r="R124" i="8"/>
  <c r="R125" i="8"/>
  <c r="R126" i="8"/>
  <c r="R127" i="8"/>
  <c r="R128" i="8"/>
  <c r="R118" i="8"/>
  <c r="Q128" i="8"/>
  <c r="Q119" i="8"/>
  <c r="Q120" i="8"/>
  <c r="Q121" i="8"/>
  <c r="Q122" i="8"/>
  <c r="Q123" i="8"/>
  <c r="Q124" i="8"/>
  <c r="Q125" i="8"/>
  <c r="Q126" i="8"/>
  <c r="Q127" i="8"/>
  <c r="Q118" i="8"/>
  <c r="I119" i="8"/>
  <c r="S119" i="8" s="1"/>
  <c r="I120" i="8"/>
  <c r="S120" i="8" s="1"/>
  <c r="I121" i="8"/>
  <c r="S121" i="8" s="1"/>
  <c r="I122" i="8"/>
  <c r="S122" i="8" s="1"/>
  <c r="I123" i="8"/>
  <c r="S123" i="8" s="1"/>
  <c r="I124" i="8"/>
  <c r="S124" i="8" s="1"/>
  <c r="I125" i="8"/>
  <c r="S125" i="8" s="1"/>
  <c r="I126" i="8"/>
  <c r="S126" i="8" s="1"/>
  <c r="I127" i="8"/>
  <c r="S127" i="8" s="1"/>
  <c r="I128" i="8"/>
  <c r="S128" i="8" s="1"/>
  <c r="I118" i="8"/>
  <c r="S118" i="8" s="1"/>
  <c r="E128" i="8"/>
  <c r="E127" i="8"/>
  <c r="E126" i="8"/>
  <c r="E125" i="8"/>
  <c r="E124" i="8"/>
  <c r="E123" i="8"/>
  <c r="E122" i="8"/>
  <c r="E121" i="8"/>
  <c r="E120" i="8"/>
  <c r="E119" i="8"/>
  <c r="E118" i="8"/>
  <c r="Y117" i="8"/>
  <c r="Y116" i="8"/>
  <c r="Y115" i="8"/>
  <c r="Y114" i="8"/>
  <c r="Y113" i="8"/>
  <c r="Y112" i="8"/>
  <c r="Y111" i="8"/>
  <c r="Y110" i="8"/>
  <c r="Y109" i="8"/>
  <c r="Y108" i="8"/>
  <c r="Y107" i="8"/>
  <c r="Y106" i="8"/>
  <c r="Y105" i="8"/>
  <c r="Y104" i="8"/>
  <c r="Y103" i="8"/>
  <c r="Y102" i="8"/>
  <c r="Y101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77" i="8"/>
  <c r="U76" i="8"/>
  <c r="U71" i="8"/>
  <c r="U72" i="8"/>
  <c r="U73" i="8"/>
  <c r="U74" i="8"/>
  <c r="U75" i="8"/>
  <c r="U61" i="8"/>
  <c r="U62" i="8"/>
  <c r="U63" i="8"/>
  <c r="U64" i="8"/>
  <c r="U65" i="8"/>
  <c r="U66" i="8"/>
  <c r="U67" i="8"/>
  <c r="U68" i="8"/>
  <c r="U69" i="8"/>
  <c r="U70" i="8"/>
  <c r="U54" i="8"/>
  <c r="U55" i="8"/>
  <c r="U56" i="8"/>
  <c r="U57" i="8"/>
  <c r="U58" i="8"/>
  <c r="U59" i="8"/>
  <c r="U60" i="8"/>
  <c r="U46" i="8"/>
  <c r="U47" i="8"/>
  <c r="U48" i="8"/>
  <c r="U49" i="8"/>
  <c r="U50" i="8"/>
  <c r="U51" i="8"/>
  <c r="U52" i="8"/>
  <c r="U53" i="8"/>
  <c r="U35" i="8"/>
  <c r="U36" i="8"/>
  <c r="U37" i="8"/>
  <c r="U38" i="8"/>
  <c r="U39" i="8"/>
  <c r="U40" i="8"/>
  <c r="U41" i="8"/>
  <c r="U42" i="8"/>
  <c r="U43" i="8"/>
  <c r="U44" i="8"/>
  <c r="U45" i="8"/>
  <c r="U26" i="8"/>
  <c r="U27" i="8"/>
  <c r="U28" i="8"/>
  <c r="U29" i="8"/>
  <c r="U30" i="8"/>
  <c r="U31" i="8"/>
  <c r="U32" i="8"/>
  <c r="U33" i="8"/>
  <c r="U34" i="8"/>
  <c r="U18" i="8"/>
  <c r="U19" i="8"/>
  <c r="U20" i="8"/>
  <c r="U21" i="8"/>
  <c r="U22" i="8"/>
  <c r="U23" i="8"/>
  <c r="U24" i="8"/>
  <c r="U25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R112" i="8"/>
  <c r="R113" i="8"/>
  <c r="R114" i="8"/>
  <c r="R115" i="8"/>
  <c r="R116" i="8"/>
  <c r="R117" i="8"/>
  <c r="Q112" i="8"/>
  <c r="Q113" i="8"/>
  <c r="Q114" i="8"/>
  <c r="Q115" i="8"/>
  <c r="Q116" i="8"/>
  <c r="Q117" i="8"/>
  <c r="I112" i="8"/>
  <c r="S112" i="8" s="1"/>
  <c r="I113" i="8"/>
  <c r="S113" i="8" s="1"/>
  <c r="I114" i="8"/>
  <c r="S114" i="8" s="1"/>
  <c r="I115" i="8"/>
  <c r="S115" i="8" s="1"/>
  <c r="I116" i="8"/>
  <c r="S116" i="8" s="1"/>
  <c r="I117" i="8"/>
  <c r="S117" i="8" s="1"/>
  <c r="AD109" i="8" l="1"/>
  <c r="AE109" i="8" s="1"/>
  <c r="AG109" i="8"/>
  <c r="AH109" i="8" s="1"/>
  <c r="AJ109" i="8"/>
  <c r="AK109" i="8" s="1"/>
  <c r="AD117" i="8"/>
  <c r="AE117" i="8" s="1"/>
  <c r="AL117" i="8"/>
  <c r="AM117" i="8" s="1"/>
  <c r="AN117" i="8" s="1"/>
  <c r="AG117" i="8"/>
  <c r="AH117" i="8" s="1"/>
  <c r="AJ117" i="8"/>
  <c r="AK117" i="8" s="1"/>
  <c r="AD106" i="8"/>
  <c r="AE106" i="8" s="1"/>
  <c r="AG106" i="8"/>
  <c r="AH106" i="8" s="1"/>
  <c r="AJ106" i="8"/>
  <c r="AK106" i="8" s="1"/>
  <c r="AD114" i="8"/>
  <c r="AE114" i="8" s="1"/>
  <c r="AL114" i="8"/>
  <c r="AM114" i="8" s="1"/>
  <c r="AN114" i="8" s="1"/>
  <c r="AG114" i="8"/>
  <c r="AH114" i="8" s="1"/>
  <c r="AJ114" i="8"/>
  <c r="AK114" i="8" s="1"/>
  <c r="AD105" i="8"/>
  <c r="AE105" i="8" s="1"/>
  <c r="AJ105" i="8"/>
  <c r="AK105" i="8" s="1"/>
  <c r="AG105" i="8"/>
  <c r="AH105" i="8" s="1"/>
  <c r="AD113" i="8"/>
  <c r="AE113" i="8" s="1"/>
  <c r="AL113" i="8"/>
  <c r="AM113" i="8" s="1"/>
  <c r="AN113" i="8" s="1"/>
  <c r="AG113" i="8"/>
  <c r="AH113" i="8" s="1"/>
  <c r="AJ113" i="8"/>
  <c r="AK113" i="8" s="1"/>
  <c r="AD118" i="8"/>
  <c r="AE118" i="8" s="1"/>
  <c r="AL118" i="8"/>
  <c r="AM118" i="8" s="1"/>
  <c r="AN118" i="8" s="1"/>
  <c r="AG118" i="8"/>
  <c r="AH118" i="8" s="1"/>
  <c r="AJ118" i="8"/>
  <c r="AK118" i="8" s="1"/>
  <c r="AD110" i="8"/>
  <c r="AE110" i="8" s="1"/>
  <c r="AL104" i="8"/>
  <c r="AM104" i="8" s="1"/>
  <c r="AN104" i="8" s="1"/>
  <c r="AL108" i="8"/>
  <c r="AM108" i="8" s="1"/>
  <c r="AN108" i="8" s="1"/>
  <c r="AL109" i="8"/>
  <c r="AM109" i="8" s="1"/>
  <c r="AN109" i="8" s="1"/>
  <c r="AL102" i="8"/>
  <c r="AM102" i="8" s="1"/>
  <c r="AN102" i="8" s="1"/>
  <c r="AL107" i="8"/>
  <c r="AM107" i="8" s="1"/>
  <c r="AN107" i="8" s="1"/>
  <c r="AL103" i="8"/>
  <c r="AM103" i="8" s="1"/>
  <c r="AN103" i="8" s="1"/>
  <c r="AL110" i="8"/>
  <c r="AM110" i="8" s="1"/>
  <c r="AN110" i="8" s="1"/>
  <c r="AL105" i="8"/>
  <c r="AM105" i="8" s="1"/>
  <c r="AN105" i="8" s="1"/>
  <c r="AL101" i="8"/>
  <c r="AM101" i="8" s="1"/>
  <c r="AL106" i="8"/>
  <c r="AM106" i="8" s="1"/>
  <c r="AN106" i="8" s="1"/>
  <c r="AG110" i="8"/>
  <c r="AH110" i="8" s="1"/>
  <c r="AJ110" i="8"/>
  <c r="AK110" i="8" s="1"/>
  <c r="AD103" i="8"/>
  <c r="AE103" i="8" s="1"/>
  <c r="AJ103" i="8"/>
  <c r="AK103" i="8" s="1"/>
  <c r="AG103" i="8"/>
  <c r="AH103" i="8" s="1"/>
  <c r="AD107" i="8"/>
  <c r="AE107" i="8" s="1"/>
  <c r="AJ107" i="8"/>
  <c r="AK107" i="8" s="1"/>
  <c r="AG107" i="8"/>
  <c r="AH107" i="8" s="1"/>
  <c r="AD111" i="8"/>
  <c r="AE111" i="8" s="1"/>
  <c r="AL111" i="8"/>
  <c r="AM111" i="8" s="1"/>
  <c r="AN111" i="8" s="1"/>
  <c r="AG111" i="8"/>
  <c r="AH111" i="8" s="1"/>
  <c r="AJ111" i="8"/>
  <c r="AK111" i="8" s="1"/>
  <c r="AD115" i="8"/>
  <c r="AE115" i="8" s="1"/>
  <c r="AL115" i="8"/>
  <c r="AM115" i="8" s="1"/>
  <c r="AN115" i="8" s="1"/>
  <c r="AJ115" i="8"/>
  <c r="AK115" i="8" s="1"/>
  <c r="AG115" i="8"/>
  <c r="AH115" i="8" s="1"/>
  <c r="AD120" i="8"/>
  <c r="AE120" i="8" s="1"/>
  <c r="AL120" i="8"/>
  <c r="AM120" i="8" s="1"/>
  <c r="AN120" i="8" s="1"/>
  <c r="AJ120" i="8"/>
  <c r="AK120" i="8" s="1"/>
  <c r="AG120" i="8"/>
  <c r="AH120" i="8" s="1"/>
  <c r="AD124" i="8"/>
  <c r="AE124" i="8" s="1"/>
  <c r="AL124" i="8"/>
  <c r="AM124" i="8" s="1"/>
  <c r="AN124" i="8" s="1"/>
  <c r="AJ124" i="8"/>
  <c r="AK124" i="8" s="1"/>
  <c r="AG124" i="8"/>
  <c r="AH124" i="8" s="1"/>
  <c r="AD128" i="8"/>
  <c r="AE128" i="8" s="1"/>
  <c r="AL128" i="8"/>
  <c r="AM128" i="8" s="1"/>
  <c r="AN128" i="8" s="1"/>
  <c r="AG128" i="8"/>
  <c r="AH128" i="8" s="1"/>
  <c r="AJ128" i="8"/>
  <c r="AK128" i="8" s="1"/>
  <c r="AD101" i="8"/>
  <c r="AG101" i="8"/>
  <c r="AJ101" i="8"/>
  <c r="AD122" i="8"/>
  <c r="AE122" i="8" s="1"/>
  <c r="AL122" i="8"/>
  <c r="AM122" i="8" s="1"/>
  <c r="AN122" i="8" s="1"/>
  <c r="AG122" i="8"/>
  <c r="AH122" i="8" s="1"/>
  <c r="AJ122" i="8"/>
  <c r="AK122" i="8" s="1"/>
  <c r="AD126" i="8"/>
  <c r="AE126" i="8" s="1"/>
  <c r="AL126" i="8"/>
  <c r="AM126" i="8" s="1"/>
  <c r="AN126" i="8" s="1"/>
  <c r="AJ126" i="8"/>
  <c r="AK126" i="8" s="1"/>
  <c r="AG126" i="8"/>
  <c r="AH126" i="8" s="1"/>
  <c r="AD102" i="8"/>
  <c r="AE102" i="8" s="1"/>
  <c r="AJ102" i="8"/>
  <c r="AK102" i="8" s="1"/>
  <c r="AG102" i="8"/>
  <c r="AH102" i="8" s="1"/>
  <c r="AD119" i="8"/>
  <c r="AE119" i="8" s="1"/>
  <c r="AL119" i="8"/>
  <c r="AM119" i="8" s="1"/>
  <c r="AN119" i="8" s="1"/>
  <c r="AJ119" i="8"/>
  <c r="AK119" i="8" s="1"/>
  <c r="AG119" i="8"/>
  <c r="AH119" i="8" s="1"/>
  <c r="AD123" i="8"/>
  <c r="AE123" i="8" s="1"/>
  <c r="AL123" i="8"/>
  <c r="AM123" i="8" s="1"/>
  <c r="AN123" i="8" s="1"/>
  <c r="AJ123" i="8"/>
  <c r="AK123" i="8" s="1"/>
  <c r="AG123" i="8"/>
  <c r="AH123" i="8" s="1"/>
  <c r="AD127" i="8"/>
  <c r="AE127" i="8" s="1"/>
  <c r="AL127" i="8"/>
  <c r="AM127" i="8" s="1"/>
  <c r="AN127" i="8" s="1"/>
  <c r="AG127" i="8"/>
  <c r="AH127" i="8" s="1"/>
  <c r="AJ127" i="8"/>
  <c r="AK127" i="8" s="1"/>
  <c r="AD104" i="8"/>
  <c r="AE104" i="8" s="1"/>
  <c r="AJ104" i="8"/>
  <c r="AK104" i="8" s="1"/>
  <c r="AG104" i="8"/>
  <c r="AH104" i="8" s="1"/>
  <c r="AD108" i="8"/>
  <c r="AE108" i="8" s="1"/>
  <c r="AJ108" i="8"/>
  <c r="AK108" i="8" s="1"/>
  <c r="AG108" i="8"/>
  <c r="AH108" i="8" s="1"/>
  <c r="AD112" i="8"/>
  <c r="AE112" i="8" s="1"/>
  <c r="AL112" i="8"/>
  <c r="AM112" i="8" s="1"/>
  <c r="AN112" i="8" s="1"/>
  <c r="AJ112" i="8"/>
  <c r="AK112" i="8" s="1"/>
  <c r="AG112" i="8"/>
  <c r="AH112" i="8" s="1"/>
  <c r="AD116" i="8"/>
  <c r="AE116" i="8" s="1"/>
  <c r="AL116" i="8"/>
  <c r="AM116" i="8" s="1"/>
  <c r="AN116" i="8" s="1"/>
  <c r="AJ116" i="8"/>
  <c r="AK116" i="8" s="1"/>
  <c r="AG116" i="8"/>
  <c r="AH116" i="8" s="1"/>
  <c r="AD121" i="8"/>
  <c r="AE121" i="8" s="1"/>
  <c r="AL121" i="8"/>
  <c r="AM121" i="8" s="1"/>
  <c r="AN121" i="8" s="1"/>
  <c r="AJ121" i="8"/>
  <c r="AK121" i="8" s="1"/>
  <c r="AG121" i="8"/>
  <c r="AH121" i="8" s="1"/>
  <c r="AD125" i="8"/>
  <c r="AE125" i="8" s="1"/>
  <c r="AL125" i="8"/>
  <c r="AM125" i="8" s="1"/>
  <c r="AN125" i="8" s="1"/>
  <c r="AJ125" i="8"/>
  <c r="AK125" i="8" s="1"/>
  <c r="AG125" i="8"/>
  <c r="AH125" i="8" s="1"/>
  <c r="AE101" i="8"/>
  <c r="T127" i="8"/>
  <c r="Z127" i="8" s="1"/>
  <c r="AA127" i="8" s="1"/>
  <c r="AB127" i="8" s="1"/>
  <c r="T123" i="8"/>
  <c r="Z123" i="8" s="1"/>
  <c r="AA123" i="8" s="1"/>
  <c r="AB123" i="8" s="1"/>
  <c r="T119" i="8"/>
  <c r="Z119" i="8" s="1"/>
  <c r="AA119" i="8" s="1"/>
  <c r="AB119" i="8" s="1"/>
  <c r="T118" i="8"/>
  <c r="Z118" i="8" s="1"/>
  <c r="AA118" i="8" s="1"/>
  <c r="AB118" i="8" s="1"/>
  <c r="T124" i="8"/>
  <c r="Z124" i="8" s="1"/>
  <c r="AA124" i="8" s="1"/>
  <c r="AB124" i="8" s="1"/>
  <c r="T120" i="8"/>
  <c r="Z120" i="8" s="1"/>
  <c r="AA120" i="8" s="1"/>
  <c r="AB120" i="8" s="1"/>
  <c r="T126" i="8"/>
  <c r="Z126" i="8" s="1"/>
  <c r="AA126" i="8" s="1"/>
  <c r="AB126" i="8" s="1"/>
  <c r="T122" i="8"/>
  <c r="Z122" i="8" s="1"/>
  <c r="AA122" i="8" s="1"/>
  <c r="AB122" i="8" s="1"/>
  <c r="T128" i="8"/>
  <c r="Z128" i="8" s="1"/>
  <c r="AA128" i="8" s="1"/>
  <c r="AB128" i="8" s="1"/>
  <c r="T115" i="8"/>
  <c r="T117" i="8"/>
  <c r="Z117" i="8" s="1"/>
  <c r="AA117" i="8" s="1"/>
  <c r="AB117" i="8" s="1"/>
  <c r="T113" i="8"/>
  <c r="Z113" i="8" s="1"/>
  <c r="AA113" i="8" s="1"/>
  <c r="AB113" i="8" s="1"/>
  <c r="T125" i="8"/>
  <c r="Z125" i="8" s="1"/>
  <c r="AA125" i="8" s="1"/>
  <c r="AB125" i="8" s="1"/>
  <c r="T121" i="8"/>
  <c r="Z121" i="8" s="1"/>
  <c r="AA121" i="8" s="1"/>
  <c r="AB121" i="8" s="1"/>
  <c r="T114" i="8"/>
  <c r="Z114" i="8" s="1"/>
  <c r="AA114" i="8" s="1"/>
  <c r="AB114" i="8" s="1"/>
  <c r="T116" i="8"/>
  <c r="Z116" i="8" s="1"/>
  <c r="AA116" i="8" s="1"/>
  <c r="AB116" i="8" s="1"/>
  <c r="T112" i="8"/>
  <c r="Z112" i="8" s="1"/>
  <c r="AA112" i="8" s="1"/>
  <c r="AB112" i="8" s="1"/>
  <c r="R4" i="8"/>
  <c r="S4" i="8"/>
  <c r="AK101" i="8" l="1"/>
  <c r="AK189" i="8" s="1"/>
  <c r="AJ189" i="8"/>
  <c r="AN101" i="8"/>
  <c r="AN189" i="8" s="1"/>
  <c r="AM189" i="8"/>
  <c r="AH101" i="8"/>
  <c r="AH189" i="8" s="1"/>
  <c r="AG189" i="8"/>
  <c r="AD189" i="8"/>
  <c r="AE189" i="8"/>
  <c r="Z115" i="8"/>
  <c r="AA115" i="8" s="1"/>
  <c r="AB115" i="8" s="1"/>
  <c r="Q71" i="9"/>
  <c r="O71" i="9"/>
  <c r="H71" i="9"/>
  <c r="E71" i="9"/>
  <c r="C71" i="9"/>
  <c r="B71" i="9"/>
  <c r="Q70" i="9"/>
  <c r="O70" i="9"/>
  <c r="H70" i="9"/>
  <c r="E70" i="9"/>
  <c r="C70" i="9"/>
  <c r="B70" i="9"/>
  <c r="Q69" i="9"/>
  <c r="O69" i="9"/>
  <c r="H69" i="9"/>
  <c r="E69" i="9"/>
  <c r="C69" i="9"/>
  <c r="B69" i="9"/>
  <c r="K69" i="9" s="1"/>
  <c r="Q68" i="9"/>
  <c r="O68" i="9"/>
  <c r="H68" i="9"/>
  <c r="E68" i="9"/>
  <c r="C68" i="9"/>
  <c r="B68" i="9"/>
  <c r="Q67" i="9"/>
  <c r="O67" i="9"/>
  <c r="H67" i="9"/>
  <c r="E67" i="9"/>
  <c r="C67" i="9"/>
  <c r="B67" i="9"/>
  <c r="Q66" i="9"/>
  <c r="O66" i="9"/>
  <c r="H66" i="9"/>
  <c r="E66" i="9"/>
  <c r="C66" i="9"/>
  <c r="B66" i="9"/>
  <c r="Q65" i="9"/>
  <c r="O65" i="9"/>
  <c r="H65" i="9"/>
  <c r="E65" i="9"/>
  <c r="C65" i="9"/>
  <c r="B65" i="9"/>
  <c r="K65" i="9" s="1"/>
  <c r="Q64" i="9"/>
  <c r="O64" i="9"/>
  <c r="H64" i="9"/>
  <c r="E64" i="9"/>
  <c r="C64" i="9"/>
  <c r="B64" i="9"/>
  <c r="Q63" i="9"/>
  <c r="O63" i="9"/>
  <c r="H63" i="9"/>
  <c r="E63" i="9"/>
  <c r="C63" i="9"/>
  <c r="B63" i="9"/>
  <c r="Q62" i="9"/>
  <c r="O62" i="9"/>
  <c r="H62" i="9"/>
  <c r="E62" i="9"/>
  <c r="C62" i="9"/>
  <c r="B62" i="9"/>
  <c r="Q61" i="9"/>
  <c r="O61" i="9"/>
  <c r="H61" i="9"/>
  <c r="E61" i="9"/>
  <c r="C61" i="9"/>
  <c r="B61" i="9"/>
  <c r="K61" i="9" s="1"/>
  <c r="Q60" i="9"/>
  <c r="O60" i="9"/>
  <c r="H60" i="9"/>
  <c r="E60" i="9"/>
  <c r="C60" i="9"/>
  <c r="B60" i="9"/>
  <c r="Q59" i="9"/>
  <c r="O59" i="9"/>
  <c r="H59" i="9"/>
  <c r="E59" i="9"/>
  <c r="C59" i="9"/>
  <c r="B59" i="9"/>
  <c r="Q58" i="9"/>
  <c r="O58" i="9"/>
  <c r="H58" i="9"/>
  <c r="E58" i="9"/>
  <c r="C58" i="9"/>
  <c r="B58" i="9"/>
  <c r="Q57" i="9"/>
  <c r="O57" i="9"/>
  <c r="H57" i="9"/>
  <c r="E57" i="9"/>
  <c r="C57" i="9"/>
  <c r="B57" i="9"/>
  <c r="K57" i="9" s="1"/>
  <c r="Q56" i="9"/>
  <c r="O56" i="9"/>
  <c r="H56" i="9"/>
  <c r="E56" i="9"/>
  <c r="C56" i="9"/>
  <c r="B56" i="9"/>
  <c r="Q55" i="9"/>
  <c r="O55" i="9"/>
  <c r="H55" i="9"/>
  <c r="E55" i="9"/>
  <c r="C55" i="9"/>
  <c r="B55" i="9"/>
  <c r="Q54" i="9"/>
  <c r="O54" i="9"/>
  <c r="H54" i="9"/>
  <c r="E54" i="9"/>
  <c r="C54" i="9"/>
  <c r="B54" i="9"/>
  <c r="Q53" i="9"/>
  <c r="O53" i="9"/>
  <c r="H53" i="9"/>
  <c r="E53" i="9"/>
  <c r="C53" i="9"/>
  <c r="B53" i="9"/>
  <c r="K53" i="9" s="1"/>
  <c r="Q52" i="9"/>
  <c r="O52" i="9"/>
  <c r="H52" i="9"/>
  <c r="E52" i="9"/>
  <c r="C52" i="9"/>
  <c r="B52" i="9"/>
  <c r="Q51" i="9"/>
  <c r="O51" i="9"/>
  <c r="H51" i="9"/>
  <c r="E51" i="9"/>
  <c r="C51" i="9"/>
  <c r="B51" i="9"/>
  <c r="Q50" i="9"/>
  <c r="O50" i="9"/>
  <c r="H50" i="9"/>
  <c r="E50" i="9"/>
  <c r="C50" i="9"/>
  <c r="B50" i="9"/>
  <c r="Q49" i="9"/>
  <c r="O49" i="9"/>
  <c r="H49" i="9"/>
  <c r="E49" i="9"/>
  <c r="C49" i="9"/>
  <c r="B49" i="9"/>
  <c r="K49" i="9" s="1"/>
  <c r="Q48" i="9"/>
  <c r="O48" i="9"/>
  <c r="H48" i="9"/>
  <c r="E48" i="9"/>
  <c r="C48" i="9"/>
  <c r="B48" i="9"/>
  <c r="Q47" i="9"/>
  <c r="O47" i="9"/>
  <c r="H47" i="9"/>
  <c r="E47" i="9"/>
  <c r="C47" i="9"/>
  <c r="B47" i="9"/>
  <c r="Q46" i="9"/>
  <c r="O46" i="9"/>
  <c r="H46" i="9"/>
  <c r="E46" i="9"/>
  <c r="C46" i="9"/>
  <c r="B46" i="9"/>
  <c r="Q45" i="9"/>
  <c r="O45" i="9"/>
  <c r="H45" i="9"/>
  <c r="E45" i="9"/>
  <c r="C45" i="9"/>
  <c r="B45" i="9"/>
  <c r="K45" i="9" s="1"/>
  <c r="Q44" i="9"/>
  <c r="O44" i="9"/>
  <c r="H44" i="9"/>
  <c r="E44" i="9"/>
  <c r="C44" i="9"/>
  <c r="B44" i="9"/>
  <c r="Q43" i="9"/>
  <c r="O43" i="9"/>
  <c r="H43" i="9"/>
  <c r="E43" i="9"/>
  <c r="C43" i="9"/>
  <c r="B43" i="9"/>
  <c r="Q42" i="9"/>
  <c r="O42" i="9"/>
  <c r="H42" i="9"/>
  <c r="E42" i="9"/>
  <c r="C42" i="9"/>
  <c r="B42" i="9"/>
  <c r="Q41" i="9"/>
  <c r="O41" i="9"/>
  <c r="H41" i="9"/>
  <c r="E41" i="9"/>
  <c r="C41" i="9"/>
  <c r="B41" i="9"/>
  <c r="K41" i="9" s="1"/>
  <c r="Q40" i="9"/>
  <c r="O40" i="9"/>
  <c r="H40" i="9"/>
  <c r="E40" i="9"/>
  <c r="C40" i="9"/>
  <c r="B40" i="9"/>
  <c r="Q39" i="9"/>
  <c r="O39" i="9"/>
  <c r="H39" i="9"/>
  <c r="E39" i="9"/>
  <c r="C39" i="9"/>
  <c r="B39" i="9"/>
  <c r="O38" i="9"/>
  <c r="H38" i="9"/>
  <c r="B38" i="9"/>
  <c r="K38" i="9" s="1"/>
  <c r="O37" i="9"/>
  <c r="H37" i="9"/>
  <c r="B37" i="9"/>
  <c r="K37" i="9" s="1"/>
  <c r="O36" i="9"/>
  <c r="H36" i="9"/>
  <c r="B36" i="9"/>
  <c r="K36" i="9" s="1"/>
  <c r="O35" i="9"/>
  <c r="H35" i="9"/>
  <c r="B35" i="9"/>
  <c r="K35" i="9" s="1"/>
  <c r="O34" i="9"/>
  <c r="H34" i="9"/>
  <c r="B34" i="9"/>
  <c r="K34" i="9" s="1"/>
  <c r="O33" i="9"/>
  <c r="H33" i="9"/>
  <c r="B33" i="9"/>
  <c r="K33" i="9" s="1"/>
  <c r="O32" i="9"/>
  <c r="H32" i="9"/>
  <c r="B32" i="9"/>
  <c r="K32" i="9" s="1"/>
  <c r="O31" i="9"/>
  <c r="H31" i="9"/>
  <c r="B31" i="9"/>
  <c r="K31" i="9" s="1"/>
  <c r="O30" i="9"/>
  <c r="H30" i="9"/>
  <c r="B30" i="9"/>
  <c r="K30" i="9" s="1"/>
  <c r="O29" i="9"/>
  <c r="H29" i="9"/>
  <c r="B29" i="9"/>
  <c r="K29" i="9" s="1"/>
  <c r="O28" i="9"/>
  <c r="H28" i="9"/>
  <c r="B28" i="9"/>
  <c r="K28" i="9" s="1"/>
  <c r="O27" i="9"/>
  <c r="H27" i="9"/>
  <c r="B27" i="9"/>
  <c r="K27" i="9" s="1"/>
  <c r="O26" i="9"/>
  <c r="H26" i="9"/>
  <c r="B26" i="9"/>
  <c r="K26" i="9" s="1"/>
  <c r="O25" i="9"/>
  <c r="H25" i="9"/>
  <c r="B25" i="9"/>
  <c r="K25" i="9" s="1"/>
  <c r="O24" i="9"/>
  <c r="H24" i="9"/>
  <c r="B24" i="9"/>
  <c r="K24" i="9" s="1"/>
  <c r="O23" i="9"/>
  <c r="H23" i="9"/>
  <c r="B23" i="9"/>
  <c r="K23" i="9" s="1"/>
  <c r="O22" i="9"/>
  <c r="H22" i="9"/>
  <c r="B22" i="9"/>
  <c r="K22" i="9" s="1"/>
  <c r="O21" i="9"/>
  <c r="H21" i="9"/>
  <c r="B21" i="9"/>
  <c r="K21" i="9" s="1"/>
  <c r="O20" i="9"/>
  <c r="H20" i="9"/>
  <c r="B20" i="9"/>
  <c r="K20" i="9" s="1"/>
  <c r="O19" i="9"/>
  <c r="H19" i="9"/>
  <c r="B19" i="9"/>
  <c r="K19" i="9" s="1"/>
  <c r="O18" i="9"/>
  <c r="H18" i="9"/>
  <c r="B18" i="9"/>
  <c r="K18" i="9" s="1"/>
  <c r="O17" i="9"/>
  <c r="H17" i="9"/>
  <c r="B17" i="9"/>
  <c r="O16" i="9"/>
  <c r="H16" i="9"/>
  <c r="B16" i="9"/>
  <c r="M16" i="9" s="1"/>
  <c r="O15" i="9"/>
  <c r="H15" i="9"/>
  <c r="B15" i="9"/>
  <c r="M15" i="9" s="1"/>
  <c r="O14" i="9"/>
  <c r="H14" i="9"/>
  <c r="B14" i="9"/>
  <c r="O13" i="9"/>
  <c r="H13" i="9"/>
  <c r="B13" i="9"/>
  <c r="O12" i="9"/>
  <c r="H12" i="9"/>
  <c r="B12" i="9"/>
  <c r="M12" i="9" s="1"/>
  <c r="O11" i="9"/>
  <c r="H11" i="9"/>
  <c r="B11" i="9"/>
  <c r="M11" i="9" s="1"/>
  <c r="O10" i="9"/>
  <c r="H10" i="9"/>
  <c r="B10" i="9"/>
  <c r="O9" i="9"/>
  <c r="H9" i="9"/>
  <c r="B9" i="9"/>
  <c r="O8" i="9"/>
  <c r="H8" i="9"/>
  <c r="B8" i="9"/>
  <c r="M8" i="9" s="1"/>
  <c r="O7" i="9"/>
  <c r="H7" i="9"/>
  <c r="B7" i="9"/>
  <c r="M7" i="9" s="1"/>
  <c r="O6" i="9"/>
  <c r="H6" i="9"/>
  <c r="B6" i="9"/>
  <c r="O5" i="9"/>
  <c r="H5" i="9"/>
  <c r="B5" i="9"/>
  <c r="O4" i="9"/>
  <c r="H4" i="9"/>
  <c r="B4" i="9"/>
  <c r="M4" i="9" s="1"/>
  <c r="R111" i="8"/>
  <c r="Q111" i="8"/>
  <c r="I111" i="8"/>
  <c r="S111" i="8" s="1"/>
  <c r="R110" i="8"/>
  <c r="Q110" i="8"/>
  <c r="I110" i="8"/>
  <c r="S110" i="8" s="1"/>
  <c r="R109" i="8"/>
  <c r="Q109" i="8"/>
  <c r="I109" i="8"/>
  <c r="S109" i="8" s="1"/>
  <c r="R108" i="8"/>
  <c r="Q108" i="8"/>
  <c r="I108" i="8"/>
  <c r="S108" i="8" s="1"/>
  <c r="R107" i="8"/>
  <c r="Q107" i="8"/>
  <c r="I107" i="8"/>
  <c r="S107" i="8" s="1"/>
  <c r="R106" i="8"/>
  <c r="Q106" i="8"/>
  <c r="I106" i="8"/>
  <c r="S106" i="8" s="1"/>
  <c r="R105" i="8"/>
  <c r="Q105" i="8"/>
  <c r="I105" i="8"/>
  <c r="S105" i="8" s="1"/>
  <c r="R104" i="8"/>
  <c r="Q104" i="8"/>
  <c r="I104" i="8"/>
  <c r="S104" i="8" s="1"/>
  <c r="R103" i="8"/>
  <c r="Q103" i="8"/>
  <c r="I103" i="8"/>
  <c r="S103" i="8" s="1"/>
  <c r="R102" i="8"/>
  <c r="Q102" i="8"/>
  <c r="I102" i="8"/>
  <c r="S102" i="8" s="1"/>
  <c r="R101" i="8"/>
  <c r="Q101" i="8"/>
  <c r="I101" i="8"/>
  <c r="S101" i="8" s="1"/>
  <c r="R100" i="8"/>
  <c r="Q100" i="8"/>
  <c r="I100" i="8"/>
  <c r="S100" i="8" s="1"/>
  <c r="R99" i="8"/>
  <c r="Q99" i="8"/>
  <c r="I99" i="8"/>
  <c r="S99" i="8" s="1"/>
  <c r="R98" i="8"/>
  <c r="Q98" i="8"/>
  <c r="I98" i="8"/>
  <c r="S98" i="8" s="1"/>
  <c r="R97" i="8"/>
  <c r="Q97" i="8"/>
  <c r="I97" i="8"/>
  <c r="S97" i="8" s="1"/>
  <c r="R96" i="8"/>
  <c r="Q96" i="8"/>
  <c r="I96" i="8"/>
  <c r="S96" i="8" s="1"/>
  <c r="R95" i="8"/>
  <c r="Q95" i="8"/>
  <c r="I95" i="8"/>
  <c r="S95" i="8" s="1"/>
  <c r="R94" i="8"/>
  <c r="Q94" i="8"/>
  <c r="I94" i="8"/>
  <c r="S94" i="8" s="1"/>
  <c r="R93" i="8"/>
  <c r="Q93" i="8"/>
  <c r="I93" i="8"/>
  <c r="S93" i="8" s="1"/>
  <c r="R92" i="8"/>
  <c r="Q92" i="8"/>
  <c r="I92" i="8"/>
  <c r="S92" i="8" s="1"/>
  <c r="R91" i="8"/>
  <c r="Q91" i="8"/>
  <c r="I91" i="8"/>
  <c r="S91" i="8" s="1"/>
  <c r="R90" i="8"/>
  <c r="Q90" i="8"/>
  <c r="I90" i="8"/>
  <c r="S90" i="8" s="1"/>
  <c r="R89" i="8"/>
  <c r="Q89" i="8"/>
  <c r="I89" i="8"/>
  <c r="S89" i="8" s="1"/>
  <c r="R88" i="8"/>
  <c r="Q88" i="8"/>
  <c r="I88" i="8"/>
  <c r="S88" i="8" s="1"/>
  <c r="R87" i="8"/>
  <c r="Q87" i="8"/>
  <c r="I87" i="8"/>
  <c r="S87" i="8" s="1"/>
  <c r="R86" i="8"/>
  <c r="Q86" i="8"/>
  <c r="I86" i="8"/>
  <c r="S86" i="8" s="1"/>
  <c r="R85" i="8"/>
  <c r="Q85" i="8"/>
  <c r="I85" i="8"/>
  <c r="S85" i="8" s="1"/>
  <c r="R84" i="8"/>
  <c r="Q84" i="8"/>
  <c r="I84" i="8"/>
  <c r="S84" i="8" s="1"/>
  <c r="R83" i="8"/>
  <c r="Q83" i="8"/>
  <c r="I83" i="8"/>
  <c r="S83" i="8" s="1"/>
  <c r="R82" i="8"/>
  <c r="Q82" i="8"/>
  <c r="I82" i="8"/>
  <c r="S82" i="8" s="1"/>
  <c r="R81" i="8"/>
  <c r="Q81" i="8"/>
  <c r="I81" i="8"/>
  <c r="S81" i="8" s="1"/>
  <c r="R80" i="8"/>
  <c r="Q80" i="8"/>
  <c r="I80" i="8"/>
  <c r="S80" i="8" s="1"/>
  <c r="R79" i="8"/>
  <c r="Q79" i="8"/>
  <c r="I79" i="8"/>
  <c r="S79" i="8" s="1"/>
  <c r="R78" i="8"/>
  <c r="Q78" i="8"/>
  <c r="I78" i="8"/>
  <c r="S78" i="8" s="1"/>
  <c r="R77" i="8"/>
  <c r="Q77" i="8"/>
  <c r="I77" i="8"/>
  <c r="S77" i="8" s="1"/>
  <c r="R76" i="8"/>
  <c r="Q76" i="8"/>
  <c r="I76" i="8"/>
  <c r="S76" i="8" s="1"/>
  <c r="R75" i="8"/>
  <c r="Q75" i="8"/>
  <c r="I75" i="8"/>
  <c r="S75" i="8" s="1"/>
  <c r="R74" i="8"/>
  <c r="Q74" i="8"/>
  <c r="I74" i="8"/>
  <c r="S74" i="8" s="1"/>
  <c r="R73" i="8"/>
  <c r="Q73" i="8"/>
  <c r="I73" i="8"/>
  <c r="S73" i="8" s="1"/>
  <c r="R72" i="8"/>
  <c r="Q72" i="8"/>
  <c r="I72" i="8"/>
  <c r="S72" i="8" s="1"/>
  <c r="R71" i="8"/>
  <c r="Q71" i="8"/>
  <c r="I71" i="8"/>
  <c r="S71" i="8" s="1"/>
  <c r="R70" i="8"/>
  <c r="Q70" i="8"/>
  <c r="I70" i="8"/>
  <c r="S70" i="8" s="1"/>
  <c r="R69" i="8"/>
  <c r="Q69" i="8"/>
  <c r="I69" i="8"/>
  <c r="S69" i="8" s="1"/>
  <c r="R68" i="8"/>
  <c r="Q68" i="8"/>
  <c r="I68" i="8"/>
  <c r="S68" i="8" s="1"/>
  <c r="R67" i="8"/>
  <c r="Q67" i="8"/>
  <c r="I67" i="8"/>
  <c r="S67" i="8" s="1"/>
  <c r="R66" i="8"/>
  <c r="Q66" i="8"/>
  <c r="I66" i="8"/>
  <c r="S66" i="8" s="1"/>
  <c r="R65" i="8"/>
  <c r="Q65" i="8"/>
  <c r="I65" i="8"/>
  <c r="S65" i="8" s="1"/>
  <c r="R64" i="8"/>
  <c r="Q64" i="8"/>
  <c r="I64" i="8"/>
  <c r="S64" i="8" s="1"/>
  <c r="R63" i="8"/>
  <c r="Q63" i="8"/>
  <c r="I63" i="8"/>
  <c r="S63" i="8" s="1"/>
  <c r="R62" i="8"/>
  <c r="Q62" i="8"/>
  <c r="I62" i="8"/>
  <c r="S62" i="8" s="1"/>
  <c r="R61" i="8"/>
  <c r="Q61" i="8"/>
  <c r="I61" i="8"/>
  <c r="S61" i="8" s="1"/>
  <c r="R60" i="8"/>
  <c r="Q60" i="8"/>
  <c r="I60" i="8"/>
  <c r="S60" i="8" s="1"/>
  <c r="R59" i="8"/>
  <c r="Q59" i="8"/>
  <c r="I59" i="8"/>
  <c r="S59" i="8" s="1"/>
  <c r="R58" i="8"/>
  <c r="Q58" i="8"/>
  <c r="I58" i="8"/>
  <c r="S58" i="8" s="1"/>
  <c r="R57" i="8"/>
  <c r="Q57" i="8"/>
  <c r="I57" i="8"/>
  <c r="S57" i="8" s="1"/>
  <c r="R56" i="8"/>
  <c r="Q56" i="8"/>
  <c r="I56" i="8"/>
  <c r="S56" i="8" s="1"/>
  <c r="R55" i="8"/>
  <c r="Q55" i="8"/>
  <c r="I55" i="8"/>
  <c r="S55" i="8" s="1"/>
  <c r="R54" i="8"/>
  <c r="Q54" i="8"/>
  <c r="I54" i="8"/>
  <c r="S54" i="8" s="1"/>
  <c r="R53" i="8"/>
  <c r="Q53" i="8"/>
  <c r="I53" i="8"/>
  <c r="S53" i="8" s="1"/>
  <c r="R52" i="8"/>
  <c r="Q52" i="8"/>
  <c r="I52" i="8"/>
  <c r="S52" i="8" s="1"/>
  <c r="R51" i="8"/>
  <c r="Q51" i="8"/>
  <c r="I51" i="8"/>
  <c r="S51" i="8" s="1"/>
  <c r="R50" i="8"/>
  <c r="Q50" i="8"/>
  <c r="I50" i="8"/>
  <c r="S50" i="8" s="1"/>
  <c r="R49" i="8"/>
  <c r="Q49" i="8"/>
  <c r="I49" i="8"/>
  <c r="S49" i="8" s="1"/>
  <c r="R48" i="8"/>
  <c r="Q48" i="8"/>
  <c r="I48" i="8"/>
  <c r="S48" i="8" s="1"/>
  <c r="R47" i="8"/>
  <c r="Q47" i="8"/>
  <c r="I47" i="8"/>
  <c r="S47" i="8" s="1"/>
  <c r="R46" i="8"/>
  <c r="Q46" i="8"/>
  <c r="I46" i="8"/>
  <c r="S46" i="8" s="1"/>
  <c r="R45" i="8"/>
  <c r="Q45" i="8"/>
  <c r="I45" i="8"/>
  <c r="S45" i="8" s="1"/>
  <c r="R44" i="8"/>
  <c r="Q44" i="8"/>
  <c r="I44" i="8"/>
  <c r="S44" i="8" s="1"/>
  <c r="R43" i="8"/>
  <c r="Q43" i="8"/>
  <c r="I43" i="8"/>
  <c r="S43" i="8" s="1"/>
  <c r="R42" i="8"/>
  <c r="Q42" i="8"/>
  <c r="I42" i="8"/>
  <c r="S42" i="8" s="1"/>
  <c r="R41" i="8"/>
  <c r="Q41" i="8"/>
  <c r="I41" i="8"/>
  <c r="S41" i="8" s="1"/>
  <c r="R40" i="8"/>
  <c r="Q40" i="8"/>
  <c r="I40" i="8"/>
  <c r="S40" i="8" s="1"/>
  <c r="R39" i="8"/>
  <c r="Q39" i="8"/>
  <c r="I39" i="8"/>
  <c r="S39" i="8" s="1"/>
  <c r="R38" i="8"/>
  <c r="Q38" i="8"/>
  <c r="I38" i="8"/>
  <c r="S38" i="8" s="1"/>
  <c r="R37" i="8"/>
  <c r="Q37" i="8"/>
  <c r="I37" i="8"/>
  <c r="S37" i="8" s="1"/>
  <c r="R36" i="8"/>
  <c r="Q36" i="8"/>
  <c r="I36" i="8"/>
  <c r="S36" i="8" s="1"/>
  <c r="R35" i="8"/>
  <c r="Q35" i="8"/>
  <c r="I35" i="8"/>
  <c r="S35" i="8" s="1"/>
  <c r="R34" i="8"/>
  <c r="Q34" i="8"/>
  <c r="I34" i="8"/>
  <c r="S34" i="8" s="1"/>
  <c r="R33" i="8"/>
  <c r="Q33" i="8"/>
  <c r="I33" i="8"/>
  <c r="S33" i="8" s="1"/>
  <c r="R32" i="8"/>
  <c r="Q32" i="8"/>
  <c r="I32" i="8"/>
  <c r="S32" i="8" s="1"/>
  <c r="R31" i="8"/>
  <c r="Q31" i="8"/>
  <c r="I31" i="8"/>
  <c r="S31" i="8" s="1"/>
  <c r="R30" i="8"/>
  <c r="Q30" i="8"/>
  <c r="I30" i="8"/>
  <c r="S30" i="8" s="1"/>
  <c r="R29" i="8"/>
  <c r="Q29" i="8"/>
  <c r="I29" i="8"/>
  <c r="S29" i="8" s="1"/>
  <c r="R28" i="8"/>
  <c r="Q28" i="8"/>
  <c r="I28" i="8"/>
  <c r="S28" i="8" s="1"/>
  <c r="R27" i="8"/>
  <c r="Q27" i="8"/>
  <c r="I27" i="8"/>
  <c r="S27" i="8" s="1"/>
  <c r="R26" i="8"/>
  <c r="Q26" i="8"/>
  <c r="I26" i="8"/>
  <c r="S26" i="8" s="1"/>
  <c r="R25" i="8"/>
  <c r="Q25" i="8"/>
  <c r="I25" i="8"/>
  <c r="S25" i="8" s="1"/>
  <c r="R24" i="8"/>
  <c r="Q24" i="8"/>
  <c r="I24" i="8"/>
  <c r="S24" i="8" s="1"/>
  <c r="R23" i="8"/>
  <c r="Q23" i="8"/>
  <c r="I23" i="8"/>
  <c r="S23" i="8" s="1"/>
  <c r="R22" i="8"/>
  <c r="Q22" i="8"/>
  <c r="I22" i="8"/>
  <c r="S22" i="8" s="1"/>
  <c r="R21" i="8"/>
  <c r="Q21" i="8"/>
  <c r="I21" i="8"/>
  <c r="S21" i="8" s="1"/>
  <c r="R20" i="8"/>
  <c r="Q20" i="8"/>
  <c r="I20" i="8"/>
  <c r="S20" i="8" s="1"/>
  <c r="R19" i="8"/>
  <c r="Q19" i="8"/>
  <c r="I19" i="8"/>
  <c r="S19" i="8" s="1"/>
  <c r="R18" i="8"/>
  <c r="Q18" i="8"/>
  <c r="I18" i="8"/>
  <c r="S18" i="8" s="1"/>
  <c r="R17" i="8"/>
  <c r="Q17" i="8"/>
  <c r="I17" i="8"/>
  <c r="S17" i="8" s="1"/>
  <c r="R16" i="8"/>
  <c r="Q16" i="8"/>
  <c r="I16" i="8"/>
  <c r="S16" i="8" s="1"/>
  <c r="R15" i="8"/>
  <c r="Q15" i="8"/>
  <c r="I15" i="8"/>
  <c r="S15" i="8" s="1"/>
  <c r="R14" i="8"/>
  <c r="Q14" i="8"/>
  <c r="I14" i="8"/>
  <c r="S14" i="8" s="1"/>
  <c r="R13" i="8"/>
  <c r="Q13" i="8"/>
  <c r="I13" i="8"/>
  <c r="S13" i="8" s="1"/>
  <c r="R12" i="8"/>
  <c r="Q12" i="8"/>
  <c r="I12" i="8"/>
  <c r="S12" i="8" s="1"/>
  <c r="R11" i="8"/>
  <c r="Q11" i="8"/>
  <c r="I11" i="8"/>
  <c r="S11" i="8" s="1"/>
  <c r="R10" i="8"/>
  <c r="Q10" i="8"/>
  <c r="I10" i="8"/>
  <c r="S10" i="8" s="1"/>
  <c r="R9" i="8"/>
  <c r="Q9" i="8"/>
  <c r="I9" i="8"/>
  <c r="S9" i="8" s="1"/>
  <c r="R8" i="8"/>
  <c r="Q8" i="8"/>
  <c r="I8" i="8"/>
  <c r="S8" i="8" s="1"/>
  <c r="R7" i="8"/>
  <c r="Q7" i="8"/>
  <c r="I7" i="8"/>
  <c r="S7" i="8" s="1"/>
  <c r="R6" i="8"/>
  <c r="Q6" i="8"/>
  <c r="I6" i="8"/>
  <c r="S6" i="8" s="1"/>
  <c r="R5" i="8"/>
  <c r="Q5" i="8"/>
  <c r="I5" i="8"/>
  <c r="S5" i="8" s="1"/>
  <c r="Q4" i="8"/>
  <c r="T74" i="7"/>
  <c r="S74" i="7"/>
  <c r="T73" i="7"/>
  <c r="S73" i="7"/>
  <c r="E73" i="7"/>
  <c r="T72" i="7"/>
  <c r="S72" i="7"/>
  <c r="E72" i="7"/>
  <c r="T71" i="7"/>
  <c r="S71" i="7"/>
  <c r="E71" i="7"/>
  <c r="T70" i="7"/>
  <c r="S70" i="7"/>
  <c r="E70" i="7"/>
  <c r="T69" i="7"/>
  <c r="S69" i="7"/>
  <c r="E69" i="7"/>
  <c r="T68" i="7"/>
  <c r="S68" i="7"/>
  <c r="E68" i="7"/>
  <c r="T67" i="7"/>
  <c r="S67" i="7"/>
  <c r="E67" i="7"/>
  <c r="T66" i="7"/>
  <c r="S66" i="7"/>
  <c r="E66" i="7"/>
  <c r="T65" i="7"/>
  <c r="S65" i="7"/>
  <c r="E65" i="7"/>
  <c r="T64" i="7"/>
  <c r="S64" i="7"/>
  <c r="E64" i="7"/>
  <c r="T63" i="7"/>
  <c r="S63" i="7"/>
  <c r="E63" i="7"/>
  <c r="T62" i="7"/>
  <c r="S62" i="7"/>
  <c r="E62" i="7"/>
  <c r="T61" i="7"/>
  <c r="S61" i="7"/>
  <c r="E61" i="7"/>
  <c r="T60" i="7"/>
  <c r="S60" i="7"/>
  <c r="E60" i="7"/>
  <c r="T59" i="7"/>
  <c r="S59" i="7"/>
  <c r="E59" i="7"/>
  <c r="T58" i="7"/>
  <c r="S58" i="7"/>
  <c r="E58" i="7"/>
  <c r="T57" i="7"/>
  <c r="S57" i="7"/>
  <c r="E57" i="7"/>
  <c r="T56" i="7"/>
  <c r="S56" i="7"/>
  <c r="E56" i="7"/>
  <c r="T55" i="7"/>
  <c r="S55" i="7"/>
  <c r="E55" i="7"/>
  <c r="T54" i="7"/>
  <c r="S54" i="7"/>
  <c r="E54" i="7"/>
  <c r="T53" i="7"/>
  <c r="S53" i="7"/>
  <c r="E53" i="7"/>
  <c r="T52" i="7"/>
  <c r="S52" i="7"/>
  <c r="E52" i="7"/>
  <c r="T51" i="7"/>
  <c r="S51" i="7"/>
  <c r="E51" i="7"/>
  <c r="T50" i="7"/>
  <c r="S50" i="7"/>
  <c r="E50" i="7"/>
  <c r="T49" i="7"/>
  <c r="S49" i="7"/>
  <c r="E49" i="7"/>
  <c r="T48" i="7"/>
  <c r="S48" i="7"/>
  <c r="E48" i="7"/>
  <c r="T47" i="7"/>
  <c r="S47" i="7"/>
  <c r="E47" i="7"/>
  <c r="T46" i="7"/>
  <c r="S46" i="7"/>
  <c r="E46" i="7"/>
  <c r="T45" i="7"/>
  <c r="S45" i="7"/>
  <c r="E45" i="7"/>
  <c r="T44" i="7"/>
  <c r="S44" i="7"/>
  <c r="E44" i="7"/>
  <c r="T43" i="7"/>
  <c r="S43" i="7"/>
  <c r="E43" i="7"/>
  <c r="T42" i="7"/>
  <c r="S42" i="7"/>
  <c r="E42" i="7"/>
  <c r="T41" i="7"/>
  <c r="S41" i="7"/>
  <c r="E41" i="7"/>
  <c r="T40" i="7"/>
  <c r="S40" i="7"/>
  <c r="AG38" i="7"/>
  <c r="AF38" i="7"/>
  <c r="AD38" i="7"/>
  <c r="AC38" i="7"/>
  <c r="AA38" i="7"/>
  <c r="Z38" i="7"/>
  <c r="X38" i="7"/>
  <c r="W38" i="7"/>
  <c r="U38" i="7"/>
  <c r="T38" i="7"/>
  <c r="R38" i="7"/>
  <c r="Q38" i="7"/>
  <c r="O38" i="7"/>
  <c r="N38" i="7"/>
  <c r="AG37" i="7"/>
  <c r="AF37" i="7"/>
  <c r="AD37" i="7"/>
  <c r="AC37" i="7"/>
  <c r="AA37" i="7"/>
  <c r="Z37" i="7"/>
  <c r="X37" i="7"/>
  <c r="W37" i="7"/>
  <c r="U37" i="7"/>
  <c r="T37" i="7"/>
  <c r="R37" i="7"/>
  <c r="Q37" i="7"/>
  <c r="O37" i="7"/>
  <c r="N37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5" i="6"/>
  <c r="H25" i="6"/>
  <c r="D25" i="6"/>
  <c r="J24" i="6"/>
  <c r="H24" i="6"/>
  <c r="D24" i="6"/>
  <c r="J23" i="6"/>
  <c r="H23" i="6"/>
  <c r="D23" i="6"/>
  <c r="J22" i="6"/>
  <c r="H22" i="6"/>
  <c r="D22" i="6"/>
  <c r="J21" i="6"/>
  <c r="H21" i="6"/>
  <c r="D21" i="6"/>
  <c r="J20" i="6"/>
  <c r="H20" i="6"/>
  <c r="D20" i="6"/>
  <c r="J19" i="6"/>
  <c r="H19" i="6"/>
  <c r="D19" i="6"/>
  <c r="J18" i="6"/>
  <c r="H18" i="6"/>
  <c r="D18" i="6"/>
  <c r="J17" i="6"/>
  <c r="H17" i="6"/>
  <c r="D17" i="6"/>
  <c r="J16" i="6"/>
  <c r="H16" i="6"/>
  <c r="D16" i="6"/>
  <c r="J15" i="6"/>
  <c r="H15" i="6"/>
  <c r="D15" i="6"/>
  <c r="J14" i="6"/>
  <c r="H14" i="6"/>
  <c r="D14" i="6"/>
  <c r="J13" i="6"/>
  <c r="H13" i="6"/>
  <c r="D13" i="6"/>
  <c r="J12" i="6"/>
  <c r="H12" i="6"/>
  <c r="D12" i="6"/>
  <c r="J11" i="6"/>
  <c r="H11" i="6"/>
  <c r="D11" i="6"/>
  <c r="J10" i="6"/>
  <c r="H10" i="6"/>
  <c r="D10" i="6"/>
  <c r="J9" i="6"/>
  <c r="H9" i="6"/>
  <c r="D9" i="6"/>
  <c r="J8" i="6"/>
  <c r="H8" i="6"/>
  <c r="D8" i="6"/>
  <c r="J7" i="6"/>
  <c r="H7" i="6"/>
  <c r="D7" i="6"/>
  <c r="J6" i="6"/>
  <c r="H6" i="6"/>
  <c r="D6" i="6"/>
  <c r="J5" i="6"/>
  <c r="H5" i="6"/>
  <c r="D5" i="6"/>
  <c r="J4" i="6"/>
  <c r="H4" i="6"/>
  <c r="D4" i="6"/>
  <c r="X333" i="4"/>
  <c r="X332" i="4"/>
  <c r="X331" i="4"/>
  <c r="X330" i="4"/>
  <c r="X329" i="4"/>
  <c r="X328" i="4"/>
  <c r="X327" i="4"/>
  <c r="X326" i="4"/>
  <c r="X325" i="4"/>
  <c r="X324" i="4"/>
  <c r="X323" i="4"/>
  <c r="X322" i="4"/>
  <c r="X321" i="4"/>
  <c r="X320" i="4"/>
  <c r="X319" i="4"/>
  <c r="X318" i="4"/>
  <c r="X317" i="4"/>
  <c r="X316" i="4"/>
  <c r="X315" i="4"/>
  <c r="X314" i="4"/>
  <c r="X313" i="4"/>
  <c r="X312" i="4"/>
  <c r="X311" i="4"/>
  <c r="X310" i="4"/>
  <c r="X309" i="4"/>
  <c r="X308" i="4"/>
  <c r="X307" i="4"/>
  <c r="X306" i="4"/>
  <c r="X305" i="4"/>
  <c r="X304" i="4"/>
  <c r="X303" i="4"/>
  <c r="X302" i="4"/>
  <c r="X301" i="4"/>
  <c r="X300" i="4"/>
  <c r="X299" i="4"/>
  <c r="X298" i="4"/>
  <c r="X297" i="4"/>
  <c r="X296" i="4"/>
  <c r="X295" i="4"/>
  <c r="X294" i="4"/>
  <c r="X293" i="4"/>
  <c r="X292" i="4"/>
  <c r="X291" i="4"/>
  <c r="X290" i="4"/>
  <c r="X289" i="4"/>
  <c r="X288" i="4"/>
  <c r="X287" i="4"/>
  <c r="X286" i="4"/>
  <c r="X285" i="4"/>
  <c r="X284" i="4"/>
  <c r="X283" i="4"/>
  <c r="X282" i="4"/>
  <c r="X281" i="4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X265" i="4"/>
  <c r="X264" i="4"/>
  <c r="X263" i="4"/>
  <c r="X262" i="4"/>
  <c r="X261" i="4"/>
  <c r="X260" i="4"/>
  <c r="X259" i="4"/>
  <c r="X258" i="4"/>
  <c r="X257" i="4"/>
  <c r="X256" i="4"/>
  <c r="X255" i="4"/>
  <c r="X254" i="4"/>
  <c r="X253" i="4"/>
  <c r="X252" i="4"/>
  <c r="X251" i="4"/>
  <c r="X250" i="4"/>
  <c r="X249" i="4"/>
  <c r="X248" i="4"/>
  <c r="X247" i="4"/>
  <c r="X246" i="4"/>
  <c r="X245" i="4"/>
  <c r="X244" i="4"/>
  <c r="X243" i="4"/>
  <c r="X242" i="4"/>
  <c r="X241" i="4"/>
  <c r="X240" i="4"/>
  <c r="X239" i="4"/>
  <c r="X238" i="4"/>
  <c r="X237" i="4"/>
  <c r="X236" i="4"/>
  <c r="X235" i="4"/>
  <c r="X234" i="4"/>
  <c r="X233" i="4"/>
  <c r="X232" i="4"/>
  <c r="X231" i="4"/>
  <c r="X230" i="4"/>
  <c r="X229" i="4"/>
  <c r="X228" i="4"/>
  <c r="X227" i="4"/>
  <c r="X226" i="4"/>
  <c r="X225" i="4"/>
  <c r="X224" i="4"/>
  <c r="X223" i="4"/>
  <c r="X222" i="4"/>
  <c r="X221" i="4"/>
  <c r="X220" i="4"/>
  <c r="X219" i="4"/>
  <c r="X218" i="4"/>
  <c r="X217" i="4"/>
  <c r="X216" i="4"/>
  <c r="X215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R143" i="4"/>
  <c r="Q143" i="4"/>
  <c r="P143" i="4"/>
  <c r="O143" i="4"/>
  <c r="X142" i="4"/>
  <c r="R142" i="4"/>
  <c r="Q142" i="4"/>
  <c r="P142" i="4"/>
  <c r="O142" i="4"/>
  <c r="X141" i="4"/>
  <c r="R141" i="4"/>
  <c r="Q141" i="4"/>
  <c r="P141" i="4"/>
  <c r="O141" i="4"/>
  <c r="X140" i="4"/>
  <c r="R140" i="4"/>
  <c r="Q140" i="4"/>
  <c r="P140" i="4"/>
  <c r="O140" i="4"/>
  <c r="X139" i="4"/>
  <c r="R139" i="4"/>
  <c r="Q139" i="4"/>
  <c r="P139" i="4"/>
  <c r="O139" i="4"/>
  <c r="X138" i="4"/>
  <c r="R138" i="4"/>
  <c r="Q138" i="4"/>
  <c r="P138" i="4"/>
  <c r="O138" i="4"/>
  <c r="X137" i="4"/>
  <c r="R137" i="4"/>
  <c r="Q137" i="4"/>
  <c r="P137" i="4"/>
  <c r="O137" i="4"/>
  <c r="X136" i="4"/>
  <c r="R136" i="4"/>
  <c r="Q136" i="4"/>
  <c r="P136" i="4"/>
  <c r="O136" i="4"/>
  <c r="X135" i="4"/>
  <c r="R135" i="4"/>
  <c r="Q135" i="4"/>
  <c r="P135" i="4"/>
  <c r="O135" i="4"/>
  <c r="X134" i="4"/>
  <c r="R134" i="4"/>
  <c r="Q134" i="4"/>
  <c r="P134" i="4"/>
  <c r="O134" i="4"/>
  <c r="X133" i="4"/>
  <c r="R133" i="4"/>
  <c r="Q133" i="4"/>
  <c r="P133" i="4"/>
  <c r="O133" i="4"/>
  <c r="X132" i="4"/>
  <c r="R132" i="4"/>
  <c r="Q132" i="4"/>
  <c r="P132" i="4"/>
  <c r="O132" i="4"/>
  <c r="X131" i="4"/>
  <c r="R131" i="4"/>
  <c r="Q131" i="4"/>
  <c r="P131" i="4"/>
  <c r="O131" i="4"/>
  <c r="X130" i="4"/>
  <c r="R130" i="4"/>
  <c r="Q130" i="4"/>
  <c r="P130" i="4"/>
  <c r="O130" i="4"/>
  <c r="X129" i="4"/>
  <c r="R129" i="4"/>
  <c r="Q129" i="4"/>
  <c r="P129" i="4"/>
  <c r="O129" i="4"/>
  <c r="X128" i="4"/>
  <c r="R128" i="4"/>
  <c r="Q128" i="4"/>
  <c r="P128" i="4"/>
  <c r="O128" i="4"/>
  <c r="X127" i="4"/>
  <c r="R127" i="4"/>
  <c r="Q127" i="4"/>
  <c r="P127" i="4"/>
  <c r="O127" i="4"/>
  <c r="X126" i="4"/>
  <c r="R126" i="4"/>
  <c r="Q126" i="4"/>
  <c r="P126" i="4"/>
  <c r="O126" i="4"/>
  <c r="X125" i="4"/>
  <c r="R125" i="4"/>
  <c r="Q125" i="4"/>
  <c r="P125" i="4"/>
  <c r="O125" i="4"/>
  <c r="X124" i="4"/>
  <c r="R124" i="4"/>
  <c r="Q124" i="4"/>
  <c r="P124" i="4"/>
  <c r="O124" i="4"/>
  <c r="D124" i="4"/>
  <c r="X123" i="4"/>
  <c r="R123" i="4"/>
  <c r="Q123" i="4"/>
  <c r="P123" i="4"/>
  <c r="O123" i="4"/>
  <c r="D123" i="4"/>
  <c r="X122" i="4"/>
  <c r="R122" i="4"/>
  <c r="Q122" i="4"/>
  <c r="P122" i="4"/>
  <c r="O122" i="4"/>
  <c r="D122" i="4"/>
  <c r="X121" i="4"/>
  <c r="R121" i="4"/>
  <c r="Q121" i="4"/>
  <c r="P121" i="4"/>
  <c r="O121" i="4"/>
  <c r="D121" i="4"/>
  <c r="X120" i="4"/>
  <c r="R120" i="4"/>
  <c r="Q120" i="4"/>
  <c r="P120" i="4"/>
  <c r="O120" i="4"/>
  <c r="D120" i="4"/>
  <c r="X119" i="4"/>
  <c r="R119" i="4"/>
  <c r="Q119" i="4"/>
  <c r="P119" i="4"/>
  <c r="O119" i="4"/>
  <c r="D119" i="4"/>
  <c r="X118" i="4"/>
  <c r="R118" i="4"/>
  <c r="Q118" i="4"/>
  <c r="P118" i="4"/>
  <c r="O118" i="4"/>
  <c r="D118" i="4"/>
  <c r="X117" i="4"/>
  <c r="R117" i="4"/>
  <c r="Q117" i="4"/>
  <c r="P117" i="4"/>
  <c r="O117" i="4"/>
  <c r="D117" i="4"/>
  <c r="X116" i="4"/>
  <c r="R116" i="4"/>
  <c r="Q116" i="4"/>
  <c r="P116" i="4"/>
  <c r="O116" i="4"/>
  <c r="D116" i="4"/>
  <c r="X115" i="4"/>
  <c r="R115" i="4"/>
  <c r="Q115" i="4"/>
  <c r="P115" i="4"/>
  <c r="O115" i="4"/>
  <c r="D115" i="4"/>
  <c r="X114" i="4"/>
  <c r="R114" i="4"/>
  <c r="Q114" i="4"/>
  <c r="P114" i="4"/>
  <c r="O114" i="4"/>
  <c r="H114" i="4"/>
  <c r="D114" i="4"/>
  <c r="X113" i="4"/>
  <c r="R113" i="4"/>
  <c r="Q113" i="4"/>
  <c r="P113" i="4"/>
  <c r="O113" i="4"/>
  <c r="H113" i="4"/>
  <c r="D113" i="4"/>
  <c r="X112" i="4"/>
  <c r="R112" i="4"/>
  <c r="Q112" i="4"/>
  <c r="P112" i="4"/>
  <c r="O112" i="4"/>
  <c r="H112" i="4"/>
  <c r="D112" i="4"/>
  <c r="X111" i="4"/>
  <c r="R111" i="4"/>
  <c r="Q111" i="4"/>
  <c r="P111" i="4"/>
  <c r="O111" i="4"/>
  <c r="H111" i="4"/>
  <c r="D111" i="4"/>
  <c r="X110" i="4"/>
  <c r="R110" i="4"/>
  <c r="Q110" i="4"/>
  <c r="P110" i="4"/>
  <c r="O110" i="4"/>
  <c r="H110" i="4"/>
  <c r="D110" i="4"/>
  <c r="X109" i="4"/>
  <c r="R109" i="4"/>
  <c r="Q109" i="4"/>
  <c r="P109" i="4"/>
  <c r="O109" i="4"/>
  <c r="H109" i="4"/>
  <c r="D109" i="4"/>
  <c r="X108" i="4"/>
  <c r="R108" i="4"/>
  <c r="Q108" i="4"/>
  <c r="P108" i="4"/>
  <c r="O108" i="4"/>
  <c r="H108" i="4"/>
  <c r="X107" i="4"/>
  <c r="R107" i="4"/>
  <c r="Q107" i="4"/>
  <c r="P107" i="4"/>
  <c r="O107" i="4"/>
  <c r="H107" i="4"/>
  <c r="G107" i="4"/>
  <c r="F107" i="4"/>
  <c r="D107" i="4"/>
  <c r="B107" i="4"/>
  <c r="X106" i="4"/>
  <c r="R106" i="4"/>
  <c r="Q106" i="4"/>
  <c r="P106" i="4"/>
  <c r="O106" i="4"/>
  <c r="H106" i="4"/>
  <c r="G106" i="4"/>
  <c r="F106" i="4"/>
  <c r="D106" i="4"/>
  <c r="B106" i="4"/>
  <c r="X105" i="4"/>
  <c r="R105" i="4"/>
  <c r="Q105" i="4"/>
  <c r="P105" i="4"/>
  <c r="O105" i="4"/>
  <c r="H105" i="4"/>
  <c r="G105" i="4"/>
  <c r="F105" i="4"/>
  <c r="D105" i="4"/>
  <c r="B105" i="4"/>
  <c r="X104" i="4"/>
  <c r="R104" i="4"/>
  <c r="Q104" i="4"/>
  <c r="P104" i="4"/>
  <c r="O104" i="4"/>
  <c r="H104" i="4"/>
  <c r="G104" i="4"/>
  <c r="F104" i="4"/>
  <c r="D104" i="4"/>
  <c r="B104" i="4"/>
  <c r="X103" i="4"/>
  <c r="R103" i="4"/>
  <c r="Q103" i="4"/>
  <c r="P103" i="4"/>
  <c r="O103" i="4"/>
  <c r="H103" i="4"/>
  <c r="G103" i="4"/>
  <c r="F103" i="4"/>
  <c r="D103" i="4"/>
  <c r="B103" i="4"/>
  <c r="X102" i="4"/>
  <c r="R102" i="4"/>
  <c r="Q102" i="4"/>
  <c r="P102" i="4"/>
  <c r="O102" i="4"/>
  <c r="H102" i="4"/>
  <c r="G102" i="4"/>
  <c r="F102" i="4"/>
  <c r="D102" i="4"/>
  <c r="B102" i="4"/>
  <c r="X101" i="4"/>
  <c r="R101" i="4"/>
  <c r="Q101" i="4"/>
  <c r="P101" i="4"/>
  <c r="O101" i="4"/>
  <c r="G101" i="4"/>
  <c r="F101" i="4"/>
  <c r="D101" i="4"/>
  <c r="B101" i="4"/>
  <c r="X100" i="4"/>
  <c r="R100" i="4"/>
  <c r="Q100" i="4"/>
  <c r="P100" i="4"/>
  <c r="O100" i="4"/>
  <c r="H100" i="4"/>
  <c r="G100" i="4"/>
  <c r="F100" i="4"/>
  <c r="D100" i="4"/>
  <c r="B100" i="4"/>
  <c r="X99" i="4"/>
  <c r="R99" i="4"/>
  <c r="Q99" i="4"/>
  <c r="P99" i="4"/>
  <c r="O99" i="4"/>
  <c r="G99" i="4"/>
  <c r="F99" i="4"/>
  <c r="D99" i="4"/>
  <c r="B99" i="4"/>
  <c r="X98" i="4"/>
  <c r="R98" i="4"/>
  <c r="Q98" i="4"/>
  <c r="P98" i="4"/>
  <c r="O98" i="4"/>
  <c r="G98" i="4"/>
  <c r="F98" i="4"/>
  <c r="D98" i="4"/>
  <c r="B98" i="4"/>
  <c r="X97" i="4"/>
  <c r="R97" i="4"/>
  <c r="Q97" i="4"/>
  <c r="P97" i="4"/>
  <c r="O97" i="4"/>
  <c r="G97" i="4"/>
  <c r="F97" i="4"/>
  <c r="D97" i="4"/>
  <c r="B97" i="4"/>
  <c r="X96" i="4"/>
  <c r="R96" i="4"/>
  <c r="Q96" i="4"/>
  <c r="P96" i="4"/>
  <c r="O96" i="4"/>
  <c r="G96" i="4"/>
  <c r="F96" i="4"/>
  <c r="D96" i="4"/>
  <c r="B96" i="4"/>
  <c r="X95" i="4"/>
  <c r="R95" i="4"/>
  <c r="Q95" i="4"/>
  <c r="P95" i="4"/>
  <c r="O95" i="4"/>
  <c r="H95" i="4"/>
  <c r="G95" i="4"/>
  <c r="F95" i="4"/>
  <c r="D95" i="4"/>
  <c r="B95" i="4"/>
  <c r="X94" i="4"/>
  <c r="R94" i="4"/>
  <c r="Q94" i="4"/>
  <c r="P94" i="4"/>
  <c r="O94" i="4"/>
  <c r="H94" i="4"/>
  <c r="G94" i="4"/>
  <c r="F94" i="4"/>
  <c r="D94" i="4"/>
  <c r="B94" i="4"/>
  <c r="X93" i="4"/>
  <c r="R93" i="4"/>
  <c r="Q93" i="4"/>
  <c r="P93" i="4"/>
  <c r="O93" i="4"/>
  <c r="G93" i="4"/>
  <c r="F93" i="4"/>
  <c r="D93" i="4"/>
  <c r="B93" i="4"/>
  <c r="X92" i="4"/>
  <c r="R92" i="4"/>
  <c r="Q92" i="4"/>
  <c r="P92" i="4"/>
  <c r="O92" i="4"/>
  <c r="G92" i="4"/>
  <c r="F92" i="4"/>
  <c r="D92" i="4"/>
  <c r="B92" i="4"/>
  <c r="X91" i="4"/>
  <c r="R91" i="4"/>
  <c r="Q91" i="4"/>
  <c r="P91" i="4"/>
  <c r="O91" i="4"/>
  <c r="X90" i="4"/>
  <c r="R90" i="4"/>
  <c r="Q90" i="4"/>
  <c r="P90" i="4"/>
  <c r="O90" i="4"/>
  <c r="X89" i="4"/>
  <c r="R89" i="4"/>
  <c r="Q89" i="4"/>
  <c r="P89" i="4"/>
  <c r="O89" i="4"/>
  <c r="X88" i="4"/>
  <c r="R88" i="4"/>
  <c r="Q88" i="4"/>
  <c r="P88" i="4"/>
  <c r="O88" i="4"/>
  <c r="X87" i="4"/>
  <c r="R87" i="4"/>
  <c r="Q87" i="4"/>
  <c r="P87" i="4"/>
  <c r="O87" i="4"/>
  <c r="I87" i="4"/>
  <c r="H87" i="4"/>
  <c r="G87" i="4"/>
  <c r="F87" i="4"/>
  <c r="X86" i="4"/>
  <c r="R86" i="4"/>
  <c r="Q86" i="4"/>
  <c r="P86" i="4"/>
  <c r="O86" i="4"/>
  <c r="I86" i="4"/>
  <c r="H86" i="4"/>
  <c r="G86" i="4"/>
  <c r="F86" i="4"/>
  <c r="X85" i="4"/>
  <c r="R85" i="4"/>
  <c r="Q85" i="4"/>
  <c r="P85" i="4"/>
  <c r="O85" i="4"/>
  <c r="I85" i="4"/>
  <c r="H85" i="4"/>
  <c r="G85" i="4"/>
  <c r="F85" i="4"/>
  <c r="X84" i="4"/>
  <c r="R84" i="4"/>
  <c r="Q84" i="4"/>
  <c r="P84" i="4"/>
  <c r="O84" i="4"/>
  <c r="I84" i="4"/>
  <c r="H84" i="4"/>
  <c r="G84" i="4"/>
  <c r="F84" i="4"/>
  <c r="X83" i="4"/>
  <c r="R83" i="4"/>
  <c r="Q83" i="4"/>
  <c r="P83" i="4"/>
  <c r="O83" i="4"/>
  <c r="I83" i="4"/>
  <c r="H83" i="4"/>
  <c r="G83" i="4"/>
  <c r="F83" i="4"/>
  <c r="X82" i="4"/>
  <c r="R82" i="4"/>
  <c r="Q82" i="4"/>
  <c r="P82" i="4"/>
  <c r="O82" i="4"/>
  <c r="I82" i="4"/>
  <c r="H82" i="4"/>
  <c r="G82" i="4"/>
  <c r="F82" i="4"/>
  <c r="X81" i="4"/>
  <c r="R81" i="4"/>
  <c r="Q81" i="4"/>
  <c r="P81" i="4"/>
  <c r="O81" i="4"/>
  <c r="I81" i="4"/>
  <c r="H81" i="4"/>
  <c r="G81" i="4"/>
  <c r="F81" i="4"/>
  <c r="X80" i="4"/>
  <c r="R80" i="4"/>
  <c r="Q80" i="4"/>
  <c r="P80" i="4"/>
  <c r="O80" i="4"/>
  <c r="I80" i="4"/>
  <c r="H80" i="4"/>
  <c r="G80" i="4"/>
  <c r="F80" i="4"/>
  <c r="X79" i="4"/>
  <c r="R79" i="4"/>
  <c r="Q79" i="4"/>
  <c r="P79" i="4"/>
  <c r="O79" i="4"/>
  <c r="I79" i="4"/>
  <c r="H79" i="4"/>
  <c r="G79" i="4"/>
  <c r="F79" i="4"/>
  <c r="X78" i="4"/>
  <c r="R78" i="4"/>
  <c r="Q78" i="4"/>
  <c r="P78" i="4"/>
  <c r="O78" i="4"/>
  <c r="I78" i="4"/>
  <c r="H78" i="4"/>
  <c r="G78" i="4"/>
  <c r="F78" i="4"/>
  <c r="X77" i="4"/>
  <c r="R77" i="4"/>
  <c r="Q77" i="4"/>
  <c r="P77" i="4"/>
  <c r="O77" i="4"/>
  <c r="I77" i="4"/>
  <c r="H77" i="4"/>
  <c r="G77" i="4"/>
  <c r="F77" i="4"/>
  <c r="X76" i="4"/>
  <c r="R76" i="4"/>
  <c r="Q76" i="4"/>
  <c r="P76" i="4"/>
  <c r="O76" i="4"/>
  <c r="I76" i="4"/>
  <c r="H76" i="4"/>
  <c r="G76" i="4"/>
  <c r="F76" i="4"/>
  <c r="X75" i="4"/>
  <c r="R75" i="4"/>
  <c r="Q75" i="4"/>
  <c r="P75" i="4"/>
  <c r="O75" i="4"/>
  <c r="I75" i="4"/>
  <c r="H75" i="4"/>
  <c r="G75" i="4"/>
  <c r="F75" i="4"/>
  <c r="X74" i="4"/>
  <c r="R74" i="4"/>
  <c r="Q74" i="4"/>
  <c r="P74" i="4"/>
  <c r="O74" i="4"/>
  <c r="I74" i="4"/>
  <c r="H74" i="4"/>
  <c r="G74" i="4"/>
  <c r="F74" i="4"/>
  <c r="X73" i="4"/>
  <c r="R73" i="4"/>
  <c r="Q73" i="4"/>
  <c r="P73" i="4"/>
  <c r="O73" i="4"/>
  <c r="I73" i="4"/>
  <c r="H73" i="4"/>
  <c r="G73" i="4"/>
  <c r="F73" i="4"/>
  <c r="X72" i="4"/>
  <c r="R72" i="4"/>
  <c r="Q72" i="4"/>
  <c r="P72" i="4"/>
  <c r="O72" i="4"/>
  <c r="I72" i="4"/>
  <c r="H72" i="4"/>
  <c r="G72" i="4"/>
  <c r="F72" i="4"/>
  <c r="X71" i="4"/>
  <c r="R71" i="4"/>
  <c r="Q71" i="4"/>
  <c r="P71" i="4"/>
  <c r="O71" i="4"/>
  <c r="I71" i="4"/>
  <c r="H71" i="4"/>
  <c r="G71" i="4"/>
  <c r="F71" i="4"/>
  <c r="X70" i="4"/>
  <c r="R70" i="4"/>
  <c r="Q70" i="4"/>
  <c r="P70" i="4"/>
  <c r="O70" i="4"/>
  <c r="I70" i="4"/>
  <c r="H70" i="4"/>
  <c r="G70" i="4"/>
  <c r="F70" i="4"/>
  <c r="X69" i="4"/>
  <c r="R69" i="4"/>
  <c r="Q69" i="4"/>
  <c r="P69" i="4"/>
  <c r="O69" i="4"/>
  <c r="I69" i="4"/>
  <c r="H69" i="4"/>
  <c r="G69" i="4"/>
  <c r="F69" i="4"/>
  <c r="X68" i="4"/>
  <c r="R68" i="4"/>
  <c r="Q68" i="4"/>
  <c r="P68" i="4"/>
  <c r="O68" i="4"/>
  <c r="I68" i="4"/>
  <c r="H68" i="4"/>
  <c r="G68" i="4"/>
  <c r="F68" i="4"/>
  <c r="X67" i="4"/>
  <c r="R67" i="4"/>
  <c r="Q67" i="4"/>
  <c r="P67" i="4"/>
  <c r="O67" i="4"/>
  <c r="I67" i="4"/>
  <c r="H67" i="4"/>
  <c r="G67" i="4"/>
  <c r="F67" i="4"/>
  <c r="X66" i="4"/>
  <c r="R66" i="4"/>
  <c r="Q66" i="4"/>
  <c r="P66" i="4"/>
  <c r="O66" i="4"/>
  <c r="I66" i="4"/>
  <c r="H66" i="4"/>
  <c r="G66" i="4"/>
  <c r="F66" i="4"/>
  <c r="X65" i="4"/>
  <c r="R65" i="4"/>
  <c r="Q65" i="4"/>
  <c r="P65" i="4"/>
  <c r="O65" i="4"/>
  <c r="I65" i="4"/>
  <c r="H65" i="4"/>
  <c r="G65" i="4"/>
  <c r="F65" i="4"/>
  <c r="X64" i="4"/>
  <c r="R64" i="4"/>
  <c r="Q64" i="4"/>
  <c r="P64" i="4"/>
  <c r="O64" i="4"/>
  <c r="I64" i="4"/>
  <c r="H64" i="4"/>
  <c r="G64" i="4"/>
  <c r="F64" i="4"/>
  <c r="X63" i="4"/>
  <c r="R63" i="4"/>
  <c r="Q63" i="4"/>
  <c r="P63" i="4"/>
  <c r="O63" i="4"/>
  <c r="I63" i="4"/>
  <c r="H63" i="4"/>
  <c r="G63" i="4"/>
  <c r="F63" i="4"/>
  <c r="X62" i="4"/>
  <c r="R62" i="4"/>
  <c r="Q62" i="4"/>
  <c r="P62" i="4"/>
  <c r="O62" i="4"/>
  <c r="I62" i="4"/>
  <c r="H62" i="4"/>
  <c r="G62" i="4"/>
  <c r="F62" i="4"/>
  <c r="X61" i="4"/>
  <c r="R61" i="4"/>
  <c r="Q61" i="4"/>
  <c r="P61" i="4"/>
  <c r="O61" i="4"/>
  <c r="I61" i="4"/>
  <c r="H61" i="4"/>
  <c r="G61" i="4"/>
  <c r="F61" i="4"/>
  <c r="X60" i="4"/>
  <c r="R60" i="4"/>
  <c r="Q60" i="4"/>
  <c r="P60" i="4"/>
  <c r="O60" i="4"/>
  <c r="I60" i="4"/>
  <c r="H60" i="4"/>
  <c r="G60" i="4"/>
  <c r="F60" i="4"/>
  <c r="X59" i="4"/>
  <c r="R59" i="4"/>
  <c r="Q59" i="4"/>
  <c r="P59" i="4"/>
  <c r="O59" i="4"/>
  <c r="I59" i="4"/>
  <c r="H59" i="4"/>
  <c r="G59" i="4"/>
  <c r="F59" i="4"/>
  <c r="X58" i="4"/>
  <c r="R58" i="4"/>
  <c r="Q58" i="4"/>
  <c r="P58" i="4"/>
  <c r="O58" i="4"/>
  <c r="I58" i="4"/>
  <c r="H58" i="4"/>
  <c r="G58" i="4"/>
  <c r="F58" i="4"/>
  <c r="X57" i="4"/>
  <c r="R57" i="4"/>
  <c r="Q57" i="4"/>
  <c r="P57" i="4"/>
  <c r="O57" i="4"/>
  <c r="I57" i="4"/>
  <c r="H57" i="4"/>
  <c r="G57" i="4"/>
  <c r="F57" i="4"/>
  <c r="X56" i="4"/>
  <c r="R56" i="4"/>
  <c r="Q56" i="4"/>
  <c r="P56" i="4"/>
  <c r="O56" i="4"/>
  <c r="I56" i="4"/>
  <c r="H56" i="4"/>
  <c r="G56" i="4"/>
  <c r="F56" i="4"/>
  <c r="X55" i="4"/>
  <c r="R55" i="4"/>
  <c r="Q55" i="4"/>
  <c r="P55" i="4"/>
  <c r="O55" i="4"/>
  <c r="I55" i="4"/>
  <c r="H55" i="4"/>
  <c r="G55" i="4"/>
  <c r="F55" i="4"/>
  <c r="X54" i="4"/>
  <c r="R54" i="4"/>
  <c r="Q54" i="4"/>
  <c r="P54" i="4"/>
  <c r="O54" i="4"/>
  <c r="I54" i="4"/>
  <c r="H54" i="4"/>
  <c r="G54" i="4"/>
  <c r="F54" i="4"/>
  <c r="X53" i="4"/>
  <c r="R53" i="4"/>
  <c r="Q53" i="4"/>
  <c r="P53" i="4"/>
  <c r="O53" i="4"/>
  <c r="I53" i="4"/>
  <c r="H53" i="4"/>
  <c r="G53" i="4"/>
  <c r="F53" i="4"/>
  <c r="X52" i="4"/>
  <c r="R52" i="4"/>
  <c r="Q52" i="4"/>
  <c r="P52" i="4"/>
  <c r="O52" i="4"/>
  <c r="I52" i="4"/>
  <c r="H52" i="4"/>
  <c r="G52" i="4"/>
  <c r="F52" i="4"/>
  <c r="X51" i="4"/>
  <c r="R51" i="4"/>
  <c r="Q51" i="4"/>
  <c r="P51" i="4"/>
  <c r="O51" i="4"/>
  <c r="I51" i="4"/>
  <c r="H51" i="4"/>
  <c r="G51" i="4"/>
  <c r="F51" i="4"/>
  <c r="X50" i="4"/>
  <c r="R50" i="4"/>
  <c r="Q50" i="4"/>
  <c r="P50" i="4"/>
  <c r="O50" i="4"/>
  <c r="I50" i="4"/>
  <c r="H50" i="4"/>
  <c r="G50" i="4"/>
  <c r="F50" i="4"/>
  <c r="X49" i="4"/>
  <c r="R49" i="4"/>
  <c r="Q49" i="4"/>
  <c r="P49" i="4"/>
  <c r="O49" i="4"/>
  <c r="I49" i="4"/>
  <c r="H49" i="4"/>
  <c r="G49" i="4"/>
  <c r="F49" i="4"/>
  <c r="X48" i="4"/>
  <c r="R48" i="4"/>
  <c r="Q48" i="4"/>
  <c r="P48" i="4"/>
  <c r="O48" i="4"/>
  <c r="I48" i="4"/>
  <c r="H48" i="4"/>
  <c r="G48" i="4"/>
  <c r="F48" i="4"/>
  <c r="X47" i="4"/>
  <c r="R47" i="4"/>
  <c r="Q47" i="4"/>
  <c r="P47" i="4"/>
  <c r="O47" i="4"/>
  <c r="I47" i="4"/>
  <c r="H47" i="4"/>
  <c r="G47" i="4"/>
  <c r="F47" i="4"/>
  <c r="X46" i="4"/>
  <c r="I46" i="4"/>
  <c r="H46" i="4"/>
  <c r="G46" i="4"/>
  <c r="F46" i="4"/>
  <c r="X45" i="4"/>
  <c r="I45" i="4"/>
  <c r="H45" i="4"/>
  <c r="G45" i="4"/>
  <c r="F45" i="4"/>
  <c r="X44" i="4"/>
  <c r="I44" i="4"/>
  <c r="H44" i="4"/>
  <c r="G44" i="4"/>
  <c r="F44" i="4"/>
  <c r="X43" i="4"/>
  <c r="I43" i="4"/>
  <c r="H43" i="4"/>
  <c r="G43" i="4"/>
  <c r="F43" i="4"/>
  <c r="X42" i="4"/>
  <c r="I42" i="4"/>
  <c r="H42" i="4"/>
  <c r="G42" i="4"/>
  <c r="F42" i="4"/>
  <c r="X41" i="4"/>
  <c r="R41" i="4"/>
  <c r="Q41" i="4"/>
  <c r="P41" i="4"/>
  <c r="O41" i="4"/>
  <c r="I41" i="4"/>
  <c r="H41" i="4"/>
  <c r="G41" i="4"/>
  <c r="F41" i="4"/>
  <c r="X40" i="4"/>
  <c r="R40" i="4"/>
  <c r="Q40" i="4"/>
  <c r="P40" i="4"/>
  <c r="O40" i="4"/>
  <c r="I40" i="4"/>
  <c r="H40" i="4"/>
  <c r="G40" i="4"/>
  <c r="F40" i="4"/>
  <c r="X39" i="4"/>
  <c r="R39" i="4"/>
  <c r="Q39" i="4"/>
  <c r="P39" i="4"/>
  <c r="O39" i="4"/>
  <c r="I39" i="4"/>
  <c r="H39" i="4"/>
  <c r="G39" i="4"/>
  <c r="F39" i="4"/>
  <c r="X38" i="4"/>
  <c r="R38" i="4"/>
  <c r="Q38" i="4"/>
  <c r="P38" i="4"/>
  <c r="O38" i="4"/>
  <c r="I38" i="4"/>
  <c r="H38" i="4"/>
  <c r="G38" i="4"/>
  <c r="F38" i="4"/>
  <c r="X37" i="4"/>
  <c r="R37" i="4"/>
  <c r="Q37" i="4"/>
  <c r="P37" i="4"/>
  <c r="O37" i="4"/>
  <c r="I37" i="4"/>
  <c r="H37" i="4"/>
  <c r="G37" i="4"/>
  <c r="F37" i="4"/>
  <c r="X36" i="4"/>
  <c r="R36" i="4"/>
  <c r="Q36" i="4"/>
  <c r="P36" i="4"/>
  <c r="O36" i="4"/>
  <c r="I36" i="4"/>
  <c r="H36" i="4"/>
  <c r="G36" i="4"/>
  <c r="F36" i="4"/>
  <c r="X35" i="4"/>
  <c r="R35" i="4"/>
  <c r="Q35" i="4"/>
  <c r="P35" i="4"/>
  <c r="O35" i="4"/>
  <c r="I35" i="4"/>
  <c r="H35" i="4"/>
  <c r="G35" i="4"/>
  <c r="F35" i="4"/>
  <c r="X34" i="4"/>
  <c r="R34" i="4"/>
  <c r="Q34" i="4"/>
  <c r="P34" i="4"/>
  <c r="O34" i="4"/>
  <c r="I34" i="4"/>
  <c r="H34" i="4"/>
  <c r="G34" i="4"/>
  <c r="F34" i="4"/>
  <c r="X33" i="4"/>
  <c r="R33" i="4"/>
  <c r="Q33" i="4"/>
  <c r="P33" i="4"/>
  <c r="O33" i="4"/>
  <c r="I33" i="4"/>
  <c r="H33" i="4"/>
  <c r="G33" i="4"/>
  <c r="F33" i="4"/>
  <c r="X32" i="4"/>
  <c r="R32" i="4"/>
  <c r="Q32" i="4"/>
  <c r="P32" i="4"/>
  <c r="O32" i="4"/>
  <c r="I32" i="4"/>
  <c r="H32" i="4"/>
  <c r="G32" i="4"/>
  <c r="F32" i="4"/>
  <c r="X31" i="4"/>
  <c r="R31" i="4"/>
  <c r="Q31" i="4"/>
  <c r="P31" i="4"/>
  <c r="O31" i="4"/>
  <c r="I31" i="4"/>
  <c r="H31" i="4"/>
  <c r="G31" i="4"/>
  <c r="F31" i="4"/>
  <c r="X30" i="4"/>
  <c r="R30" i="4"/>
  <c r="Q30" i="4"/>
  <c r="P30" i="4"/>
  <c r="O30" i="4"/>
  <c r="I30" i="4"/>
  <c r="H30" i="4"/>
  <c r="G30" i="4"/>
  <c r="F30" i="4"/>
  <c r="X29" i="4"/>
  <c r="R29" i="4"/>
  <c r="Q29" i="4"/>
  <c r="P29" i="4"/>
  <c r="O29" i="4"/>
  <c r="I29" i="4"/>
  <c r="H29" i="4"/>
  <c r="G29" i="4"/>
  <c r="F29" i="4"/>
  <c r="X28" i="4"/>
  <c r="R28" i="4"/>
  <c r="Q28" i="4"/>
  <c r="P28" i="4"/>
  <c r="O28" i="4"/>
  <c r="I28" i="4"/>
  <c r="H28" i="4"/>
  <c r="G28" i="4"/>
  <c r="F28" i="4"/>
  <c r="X27" i="4"/>
  <c r="R27" i="4"/>
  <c r="Q27" i="4"/>
  <c r="P27" i="4"/>
  <c r="O27" i="4"/>
  <c r="I27" i="4"/>
  <c r="H27" i="4"/>
  <c r="G27" i="4"/>
  <c r="F27" i="4"/>
  <c r="X26" i="4"/>
  <c r="R26" i="4"/>
  <c r="Q26" i="4"/>
  <c r="P26" i="4"/>
  <c r="O26" i="4"/>
  <c r="I26" i="4"/>
  <c r="H26" i="4"/>
  <c r="G26" i="4"/>
  <c r="F26" i="4"/>
  <c r="X25" i="4"/>
  <c r="R25" i="4"/>
  <c r="Q25" i="4"/>
  <c r="P25" i="4"/>
  <c r="O25" i="4"/>
  <c r="I25" i="4"/>
  <c r="H25" i="4"/>
  <c r="G25" i="4"/>
  <c r="F25" i="4"/>
  <c r="X24" i="4"/>
  <c r="R24" i="4"/>
  <c r="Q24" i="4"/>
  <c r="P24" i="4"/>
  <c r="O24" i="4"/>
  <c r="I24" i="4"/>
  <c r="H24" i="4"/>
  <c r="G24" i="4"/>
  <c r="F24" i="4"/>
  <c r="X23" i="4"/>
  <c r="R23" i="4"/>
  <c r="Q23" i="4"/>
  <c r="P23" i="4"/>
  <c r="O23" i="4"/>
  <c r="I23" i="4"/>
  <c r="H23" i="4"/>
  <c r="G23" i="4"/>
  <c r="F23" i="4"/>
  <c r="X22" i="4"/>
  <c r="R22" i="4"/>
  <c r="Q22" i="4"/>
  <c r="P22" i="4"/>
  <c r="O22" i="4"/>
  <c r="I22" i="4"/>
  <c r="H22" i="4"/>
  <c r="G22" i="4"/>
  <c r="F22" i="4"/>
  <c r="X21" i="4"/>
  <c r="R21" i="4"/>
  <c r="Q21" i="4"/>
  <c r="P21" i="4"/>
  <c r="O21" i="4"/>
  <c r="I21" i="4"/>
  <c r="H21" i="4"/>
  <c r="G21" i="4"/>
  <c r="F21" i="4"/>
  <c r="X20" i="4"/>
  <c r="R20" i="4"/>
  <c r="Q20" i="4"/>
  <c r="P20" i="4"/>
  <c r="O20" i="4"/>
  <c r="I20" i="4"/>
  <c r="H20" i="4"/>
  <c r="G20" i="4"/>
  <c r="F20" i="4"/>
  <c r="X19" i="4"/>
  <c r="R19" i="4"/>
  <c r="Q19" i="4"/>
  <c r="P19" i="4"/>
  <c r="O19" i="4"/>
  <c r="I19" i="4"/>
  <c r="H19" i="4"/>
  <c r="G19" i="4"/>
  <c r="F19" i="4"/>
  <c r="X18" i="4"/>
  <c r="R18" i="4"/>
  <c r="Q18" i="4"/>
  <c r="P18" i="4"/>
  <c r="O18" i="4"/>
  <c r="I18" i="4"/>
  <c r="H18" i="4"/>
  <c r="G18" i="4"/>
  <c r="F18" i="4"/>
  <c r="X17" i="4"/>
  <c r="I17" i="4"/>
  <c r="H17" i="4"/>
  <c r="G17" i="4"/>
  <c r="F17" i="4"/>
  <c r="X16" i="4"/>
  <c r="I16" i="4"/>
  <c r="H16" i="4"/>
  <c r="G16" i="4"/>
  <c r="F16" i="4"/>
  <c r="X15" i="4"/>
  <c r="I15" i="4"/>
  <c r="H15" i="4"/>
  <c r="G15" i="4"/>
  <c r="F15" i="4"/>
  <c r="X14" i="4"/>
  <c r="I14" i="4"/>
  <c r="H14" i="4"/>
  <c r="G14" i="4"/>
  <c r="F14" i="4"/>
  <c r="X13" i="4"/>
  <c r="I13" i="4"/>
  <c r="H13" i="4"/>
  <c r="G13" i="4"/>
  <c r="F13" i="4"/>
  <c r="X12" i="4"/>
  <c r="I12" i="4"/>
  <c r="H12" i="4"/>
  <c r="G12" i="4"/>
  <c r="F12" i="4"/>
  <c r="X11" i="4"/>
  <c r="I11" i="4"/>
  <c r="H11" i="4"/>
  <c r="G11" i="4"/>
  <c r="F11" i="4"/>
  <c r="X10" i="4"/>
  <c r="P10" i="4"/>
  <c r="O10" i="4"/>
  <c r="M10" i="4"/>
  <c r="I10" i="4"/>
  <c r="H10" i="4"/>
  <c r="G10" i="4"/>
  <c r="F10" i="4"/>
  <c r="X9" i="4"/>
  <c r="P9" i="4"/>
  <c r="O9" i="4"/>
  <c r="M9" i="4"/>
  <c r="I9" i="4"/>
  <c r="H9" i="4"/>
  <c r="G9" i="4"/>
  <c r="F9" i="4"/>
  <c r="X8" i="4"/>
  <c r="P8" i="4"/>
  <c r="O8" i="4"/>
  <c r="M8" i="4"/>
  <c r="I8" i="4"/>
  <c r="H8" i="4"/>
  <c r="G8" i="4"/>
  <c r="F8" i="4"/>
  <c r="X7" i="4"/>
  <c r="P7" i="4"/>
  <c r="O7" i="4"/>
  <c r="M7" i="4"/>
  <c r="I7" i="4"/>
  <c r="H7" i="4"/>
  <c r="G7" i="4"/>
  <c r="F7" i="4"/>
  <c r="X6" i="4"/>
  <c r="P6" i="4"/>
  <c r="O6" i="4"/>
  <c r="M6" i="4"/>
  <c r="I6" i="4"/>
  <c r="H6" i="4"/>
  <c r="G6" i="4"/>
  <c r="F6" i="4"/>
  <c r="X5" i="4"/>
  <c r="P5" i="4"/>
  <c r="O5" i="4"/>
  <c r="M5" i="4"/>
  <c r="I5" i="4"/>
  <c r="H5" i="4"/>
  <c r="G5" i="4"/>
  <c r="F5" i="4"/>
  <c r="X4" i="4"/>
  <c r="P4" i="4"/>
  <c r="O4" i="4"/>
  <c r="M4" i="4"/>
  <c r="I4" i="4"/>
  <c r="H4" i="4"/>
  <c r="G4" i="4"/>
  <c r="F4" i="4"/>
  <c r="E16" i="5"/>
  <c r="D16" i="5"/>
  <c r="C16" i="5"/>
  <c r="E15" i="5"/>
  <c r="D15" i="5"/>
  <c r="C15" i="5"/>
  <c r="E14" i="5"/>
  <c r="D14" i="5"/>
  <c r="C14" i="5"/>
  <c r="E12" i="5"/>
  <c r="J11" i="5"/>
  <c r="H11" i="5"/>
  <c r="E11" i="5"/>
  <c r="E9" i="5"/>
  <c r="J8" i="5"/>
  <c r="H8" i="5"/>
  <c r="E8" i="5"/>
  <c r="E6" i="5"/>
  <c r="J5" i="5"/>
  <c r="H5" i="5"/>
  <c r="E5" i="5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89" i="2"/>
  <c r="J89" i="2"/>
  <c r="I89" i="2"/>
  <c r="H89" i="2"/>
  <c r="G89" i="2"/>
  <c r="F89" i="2"/>
  <c r="E89" i="2"/>
  <c r="D89" i="2"/>
  <c r="L88" i="2"/>
  <c r="J88" i="2"/>
  <c r="I88" i="2"/>
  <c r="H88" i="2"/>
  <c r="G88" i="2"/>
  <c r="F88" i="2"/>
  <c r="E88" i="2"/>
  <c r="D88" i="2"/>
  <c r="L87" i="2"/>
  <c r="J87" i="2"/>
  <c r="I87" i="2"/>
  <c r="H87" i="2"/>
  <c r="G87" i="2"/>
  <c r="F87" i="2"/>
  <c r="E87" i="2"/>
  <c r="D87" i="2"/>
  <c r="L86" i="2"/>
  <c r="J86" i="2"/>
  <c r="I86" i="2"/>
  <c r="H86" i="2"/>
  <c r="G86" i="2"/>
  <c r="F86" i="2"/>
  <c r="E86" i="2"/>
  <c r="D86" i="2"/>
  <c r="L85" i="2"/>
  <c r="J85" i="2"/>
  <c r="I85" i="2"/>
  <c r="H85" i="2"/>
  <c r="G85" i="2"/>
  <c r="F85" i="2"/>
  <c r="E85" i="2"/>
  <c r="D85" i="2"/>
  <c r="L84" i="2"/>
  <c r="J84" i="2"/>
  <c r="I84" i="2"/>
  <c r="H84" i="2"/>
  <c r="G84" i="2"/>
  <c r="F84" i="2"/>
  <c r="E84" i="2"/>
  <c r="D84" i="2"/>
  <c r="L83" i="2"/>
  <c r="J83" i="2"/>
  <c r="I83" i="2"/>
  <c r="H83" i="2"/>
  <c r="G83" i="2"/>
  <c r="F83" i="2"/>
  <c r="E83" i="2"/>
  <c r="D83" i="2"/>
  <c r="L82" i="2"/>
  <c r="J82" i="2"/>
  <c r="I82" i="2"/>
  <c r="H82" i="2"/>
  <c r="G82" i="2"/>
  <c r="F82" i="2"/>
  <c r="E82" i="2"/>
  <c r="D82" i="2"/>
  <c r="L81" i="2"/>
  <c r="J81" i="2"/>
  <c r="I81" i="2"/>
  <c r="H81" i="2"/>
  <c r="G81" i="2"/>
  <c r="F81" i="2"/>
  <c r="E81" i="2"/>
  <c r="D81" i="2"/>
  <c r="L80" i="2"/>
  <c r="J80" i="2"/>
  <c r="I80" i="2"/>
  <c r="H80" i="2"/>
  <c r="G80" i="2"/>
  <c r="F80" i="2"/>
  <c r="E80" i="2"/>
  <c r="D80" i="2"/>
  <c r="L79" i="2"/>
  <c r="J79" i="2"/>
  <c r="I79" i="2"/>
  <c r="H79" i="2"/>
  <c r="G79" i="2"/>
  <c r="F79" i="2"/>
  <c r="E79" i="2"/>
  <c r="D79" i="2"/>
  <c r="L78" i="2"/>
  <c r="J78" i="2"/>
  <c r="I78" i="2"/>
  <c r="H78" i="2"/>
  <c r="G78" i="2"/>
  <c r="F78" i="2"/>
  <c r="E78" i="2"/>
  <c r="D78" i="2"/>
  <c r="L77" i="2"/>
  <c r="J77" i="2"/>
  <c r="I77" i="2"/>
  <c r="H77" i="2"/>
  <c r="G77" i="2"/>
  <c r="F77" i="2"/>
  <c r="E77" i="2"/>
  <c r="D77" i="2"/>
  <c r="L76" i="2"/>
  <c r="J76" i="2"/>
  <c r="I76" i="2"/>
  <c r="H76" i="2"/>
  <c r="G76" i="2"/>
  <c r="F76" i="2"/>
  <c r="E76" i="2"/>
  <c r="D76" i="2"/>
  <c r="L75" i="2"/>
  <c r="J75" i="2"/>
  <c r="I75" i="2"/>
  <c r="H75" i="2"/>
  <c r="G75" i="2"/>
  <c r="F75" i="2"/>
  <c r="E75" i="2"/>
  <c r="D75" i="2"/>
  <c r="L74" i="2"/>
  <c r="J74" i="2"/>
  <c r="I74" i="2"/>
  <c r="H74" i="2"/>
  <c r="G74" i="2"/>
  <c r="F74" i="2"/>
  <c r="E74" i="2"/>
  <c r="D74" i="2"/>
  <c r="L73" i="2"/>
  <c r="J73" i="2"/>
  <c r="I73" i="2"/>
  <c r="H73" i="2"/>
  <c r="G73" i="2"/>
  <c r="F73" i="2"/>
  <c r="E73" i="2"/>
  <c r="D73" i="2"/>
  <c r="L72" i="2"/>
  <c r="J72" i="2"/>
  <c r="I72" i="2"/>
  <c r="H72" i="2"/>
  <c r="G72" i="2"/>
  <c r="F72" i="2"/>
  <c r="E72" i="2"/>
  <c r="D72" i="2"/>
  <c r="L71" i="2"/>
  <c r="J71" i="2"/>
  <c r="I71" i="2"/>
  <c r="H71" i="2"/>
  <c r="G71" i="2"/>
  <c r="F71" i="2"/>
  <c r="E71" i="2"/>
  <c r="D71" i="2"/>
  <c r="L70" i="2"/>
  <c r="J70" i="2"/>
  <c r="I70" i="2"/>
  <c r="H70" i="2"/>
  <c r="G70" i="2"/>
  <c r="F70" i="2"/>
  <c r="E70" i="2"/>
  <c r="D70" i="2"/>
  <c r="L69" i="2"/>
  <c r="J69" i="2"/>
  <c r="I69" i="2"/>
  <c r="H69" i="2"/>
  <c r="G69" i="2"/>
  <c r="F69" i="2"/>
  <c r="E69" i="2"/>
  <c r="D69" i="2"/>
  <c r="L68" i="2"/>
  <c r="J68" i="2"/>
  <c r="I68" i="2"/>
  <c r="H68" i="2"/>
  <c r="G68" i="2"/>
  <c r="F68" i="2"/>
  <c r="E68" i="2"/>
  <c r="D68" i="2"/>
  <c r="L67" i="2"/>
  <c r="J67" i="2"/>
  <c r="I67" i="2"/>
  <c r="H67" i="2"/>
  <c r="G67" i="2"/>
  <c r="F67" i="2"/>
  <c r="E67" i="2"/>
  <c r="D67" i="2"/>
  <c r="L66" i="2"/>
  <c r="J66" i="2"/>
  <c r="I66" i="2"/>
  <c r="H66" i="2"/>
  <c r="G66" i="2"/>
  <c r="F66" i="2"/>
  <c r="E66" i="2"/>
  <c r="D66" i="2"/>
  <c r="L65" i="2"/>
  <c r="J65" i="2"/>
  <c r="I65" i="2"/>
  <c r="H65" i="2"/>
  <c r="G65" i="2"/>
  <c r="F65" i="2"/>
  <c r="E65" i="2"/>
  <c r="D65" i="2"/>
  <c r="L64" i="2"/>
  <c r="J64" i="2"/>
  <c r="I64" i="2"/>
  <c r="H64" i="2"/>
  <c r="G64" i="2"/>
  <c r="F64" i="2"/>
  <c r="E64" i="2"/>
  <c r="D64" i="2"/>
  <c r="Q58" i="2"/>
  <c r="P58" i="2"/>
  <c r="N58" i="2"/>
  <c r="L58" i="2"/>
  <c r="K58" i="2"/>
  <c r="J58" i="2"/>
  <c r="I58" i="2"/>
  <c r="H58" i="2"/>
  <c r="F58" i="2"/>
  <c r="E58" i="2"/>
  <c r="D58" i="2"/>
  <c r="Q57" i="2"/>
  <c r="P57" i="2"/>
  <c r="N57" i="2"/>
  <c r="L57" i="2"/>
  <c r="K57" i="2"/>
  <c r="J57" i="2"/>
  <c r="I57" i="2"/>
  <c r="H57" i="2"/>
  <c r="F57" i="2"/>
  <c r="E57" i="2"/>
  <c r="D57" i="2"/>
  <c r="Q56" i="2"/>
  <c r="P56" i="2"/>
  <c r="N56" i="2"/>
  <c r="L56" i="2"/>
  <c r="K56" i="2"/>
  <c r="J56" i="2"/>
  <c r="I56" i="2"/>
  <c r="H56" i="2"/>
  <c r="F56" i="2"/>
  <c r="E56" i="2"/>
  <c r="D56" i="2"/>
  <c r="Q55" i="2"/>
  <c r="P55" i="2"/>
  <c r="N55" i="2"/>
  <c r="L55" i="2"/>
  <c r="K55" i="2"/>
  <c r="J55" i="2"/>
  <c r="I55" i="2"/>
  <c r="H55" i="2"/>
  <c r="F55" i="2"/>
  <c r="E55" i="2"/>
  <c r="D55" i="2"/>
  <c r="Q54" i="2"/>
  <c r="P54" i="2"/>
  <c r="N54" i="2"/>
  <c r="L54" i="2"/>
  <c r="K54" i="2"/>
  <c r="J54" i="2"/>
  <c r="I54" i="2"/>
  <c r="H54" i="2"/>
  <c r="F54" i="2"/>
  <c r="E54" i="2"/>
  <c r="D54" i="2"/>
  <c r="Q53" i="2"/>
  <c r="P53" i="2"/>
  <c r="N53" i="2"/>
  <c r="L53" i="2"/>
  <c r="K53" i="2"/>
  <c r="J53" i="2"/>
  <c r="I53" i="2"/>
  <c r="H53" i="2"/>
  <c r="F53" i="2"/>
  <c r="E53" i="2"/>
  <c r="D53" i="2"/>
  <c r="Q52" i="2"/>
  <c r="P52" i="2"/>
  <c r="N52" i="2"/>
  <c r="L52" i="2"/>
  <c r="K52" i="2"/>
  <c r="J52" i="2"/>
  <c r="I52" i="2"/>
  <c r="H52" i="2"/>
  <c r="F52" i="2"/>
  <c r="E52" i="2"/>
  <c r="D52" i="2"/>
  <c r="Q51" i="2"/>
  <c r="P51" i="2"/>
  <c r="N51" i="2"/>
  <c r="L51" i="2"/>
  <c r="K51" i="2"/>
  <c r="J51" i="2"/>
  <c r="I51" i="2"/>
  <c r="H51" i="2"/>
  <c r="F51" i="2"/>
  <c r="E51" i="2"/>
  <c r="D51" i="2"/>
  <c r="Q50" i="2"/>
  <c r="P50" i="2"/>
  <c r="N50" i="2"/>
  <c r="L50" i="2"/>
  <c r="K50" i="2"/>
  <c r="J50" i="2"/>
  <c r="I50" i="2"/>
  <c r="H50" i="2"/>
  <c r="F50" i="2"/>
  <c r="E50" i="2"/>
  <c r="D50" i="2"/>
  <c r="Q49" i="2"/>
  <c r="P49" i="2"/>
  <c r="N49" i="2"/>
  <c r="L49" i="2"/>
  <c r="K49" i="2"/>
  <c r="J49" i="2"/>
  <c r="I49" i="2"/>
  <c r="H49" i="2"/>
  <c r="F49" i="2"/>
  <c r="E49" i="2"/>
  <c r="D49" i="2"/>
  <c r="Q48" i="2"/>
  <c r="P48" i="2"/>
  <c r="N48" i="2"/>
  <c r="L48" i="2"/>
  <c r="K48" i="2"/>
  <c r="J48" i="2"/>
  <c r="I48" i="2"/>
  <c r="H48" i="2"/>
  <c r="F48" i="2"/>
  <c r="E48" i="2"/>
  <c r="D48" i="2"/>
  <c r="Q47" i="2"/>
  <c r="P47" i="2"/>
  <c r="N47" i="2"/>
  <c r="L47" i="2"/>
  <c r="K47" i="2"/>
  <c r="J47" i="2"/>
  <c r="I47" i="2"/>
  <c r="H47" i="2"/>
  <c r="F47" i="2"/>
  <c r="E47" i="2"/>
  <c r="D47" i="2"/>
  <c r="Q46" i="2"/>
  <c r="P46" i="2"/>
  <c r="N46" i="2"/>
  <c r="L46" i="2"/>
  <c r="K46" i="2"/>
  <c r="J46" i="2"/>
  <c r="I46" i="2"/>
  <c r="H46" i="2"/>
  <c r="F46" i="2"/>
  <c r="E46" i="2"/>
  <c r="D46" i="2"/>
  <c r="Q45" i="2"/>
  <c r="P45" i="2"/>
  <c r="N45" i="2"/>
  <c r="L45" i="2"/>
  <c r="K45" i="2"/>
  <c r="J45" i="2"/>
  <c r="I45" i="2"/>
  <c r="H45" i="2"/>
  <c r="F45" i="2"/>
  <c r="E45" i="2"/>
  <c r="D45" i="2"/>
  <c r="Q44" i="2"/>
  <c r="P44" i="2"/>
  <c r="N44" i="2"/>
  <c r="L44" i="2"/>
  <c r="K44" i="2"/>
  <c r="J44" i="2"/>
  <c r="I44" i="2"/>
  <c r="H44" i="2"/>
  <c r="F44" i="2"/>
  <c r="E44" i="2"/>
  <c r="D44" i="2"/>
  <c r="Q43" i="2"/>
  <c r="P43" i="2"/>
  <c r="N43" i="2"/>
  <c r="L43" i="2"/>
  <c r="K43" i="2"/>
  <c r="J43" i="2"/>
  <c r="I43" i="2"/>
  <c r="H43" i="2"/>
  <c r="F43" i="2"/>
  <c r="E43" i="2"/>
  <c r="D43" i="2"/>
  <c r="Q42" i="2"/>
  <c r="P42" i="2"/>
  <c r="N42" i="2"/>
  <c r="L42" i="2"/>
  <c r="K42" i="2"/>
  <c r="J42" i="2"/>
  <c r="I42" i="2"/>
  <c r="H42" i="2"/>
  <c r="F42" i="2"/>
  <c r="E42" i="2"/>
  <c r="D42" i="2"/>
  <c r="K36" i="2"/>
  <c r="I36" i="2"/>
  <c r="G36" i="2"/>
  <c r="E36" i="2"/>
  <c r="D36" i="2"/>
  <c r="C36" i="2"/>
  <c r="B36" i="2"/>
  <c r="K35" i="2"/>
  <c r="I35" i="2"/>
  <c r="G35" i="2"/>
  <c r="E35" i="2"/>
  <c r="D35" i="2"/>
  <c r="C35" i="2"/>
  <c r="B35" i="2"/>
  <c r="K34" i="2"/>
  <c r="I34" i="2"/>
  <c r="G34" i="2"/>
  <c r="E34" i="2"/>
  <c r="D34" i="2"/>
  <c r="C34" i="2"/>
  <c r="B34" i="2"/>
  <c r="K33" i="2"/>
  <c r="I33" i="2"/>
  <c r="G33" i="2"/>
  <c r="E33" i="2"/>
  <c r="D33" i="2"/>
  <c r="C33" i="2"/>
  <c r="B33" i="2"/>
  <c r="K32" i="2"/>
  <c r="I32" i="2"/>
  <c r="G32" i="2"/>
  <c r="E32" i="2"/>
  <c r="D32" i="2"/>
  <c r="C32" i="2"/>
  <c r="B32" i="2"/>
  <c r="K31" i="2"/>
  <c r="I31" i="2"/>
  <c r="G31" i="2"/>
  <c r="E31" i="2"/>
  <c r="D31" i="2"/>
  <c r="C31" i="2"/>
  <c r="B31" i="2"/>
  <c r="K30" i="2"/>
  <c r="I30" i="2"/>
  <c r="G30" i="2"/>
  <c r="E30" i="2"/>
  <c r="D30" i="2"/>
  <c r="C30" i="2"/>
  <c r="B30" i="2"/>
  <c r="K29" i="2"/>
  <c r="I29" i="2"/>
  <c r="G29" i="2"/>
  <c r="E29" i="2"/>
  <c r="D29" i="2"/>
  <c r="C29" i="2"/>
  <c r="B29" i="2"/>
  <c r="K28" i="2"/>
  <c r="I28" i="2"/>
  <c r="G28" i="2"/>
  <c r="E28" i="2"/>
  <c r="D28" i="2"/>
  <c r="C28" i="2"/>
  <c r="B28" i="2"/>
  <c r="K27" i="2"/>
  <c r="I27" i="2"/>
  <c r="G27" i="2"/>
  <c r="E27" i="2"/>
  <c r="D27" i="2"/>
  <c r="C27" i="2"/>
  <c r="B27" i="2"/>
  <c r="K26" i="2"/>
  <c r="I26" i="2"/>
  <c r="G26" i="2"/>
  <c r="E26" i="2"/>
  <c r="D26" i="2"/>
  <c r="C26" i="2"/>
  <c r="B26" i="2"/>
  <c r="K25" i="2"/>
  <c r="I25" i="2"/>
  <c r="G25" i="2"/>
  <c r="E25" i="2"/>
  <c r="D25" i="2"/>
  <c r="C25" i="2"/>
  <c r="B25" i="2"/>
  <c r="K24" i="2"/>
  <c r="I24" i="2"/>
  <c r="G24" i="2"/>
  <c r="E24" i="2"/>
  <c r="D24" i="2"/>
  <c r="C24" i="2"/>
  <c r="B24" i="2"/>
  <c r="K23" i="2"/>
  <c r="I23" i="2"/>
  <c r="G23" i="2"/>
  <c r="E23" i="2"/>
  <c r="D23" i="2"/>
  <c r="C23" i="2"/>
  <c r="B23" i="2"/>
  <c r="K19" i="2"/>
  <c r="J19" i="2"/>
  <c r="I19" i="2"/>
  <c r="G19" i="2"/>
  <c r="F19" i="2"/>
  <c r="E19" i="2"/>
  <c r="K18" i="2"/>
  <c r="J18" i="2"/>
  <c r="I18" i="2"/>
  <c r="G18" i="2"/>
  <c r="F18" i="2"/>
  <c r="E18" i="2"/>
  <c r="K17" i="2"/>
  <c r="J17" i="2"/>
  <c r="I17" i="2"/>
  <c r="G17" i="2"/>
  <c r="F17" i="2"/>
  <c r="E17" i="2"/>
  <c r="K16" i="2"/>
  <c r="J16" i="2"/>
  <c r="I16" i="2"/>
  <c r="G16" i="2"/>
  <c r="F16" i="2"/>
  <c r="E16" i="2"/>
  <c r="K15" i="2"/>
  <c r="J15" i="2"/>
  <c r="I15" i="2"/>
  <c r="G15" i="2"/>
  <c r="F15" i="2"/>
  <c r="E15" i="2"/>
  <c r="K14" i="2"/>
  <c r="J14" i="2"/>
  <c r="I14" i="2"/>
  <c r="G14" i="2"/>
  <c r="F14" i="2"/>
  <c r="E14" i="2"/>
  <c r="K13" i="2"/>
  <c r="J13" i="2"/>
  <c r="I13" i="2"/>
  <c r="G13" i="2"/>
  <c r="F13" i="2"/>
  <c r="E13" i="2"/>
  <c r="K12" i="2"/>
  <c r="J12" i="2"/>
  <c r="I12" i="2"/>
  <c r="G12" i="2"/>
  <c r="F12" i="2"/>
  <c r="E12" i="2"/>
  <c r="K11" i="2"/>
  <c r="J11" i="2"/>
  <c r="I11" i="2"/>
  <c r="G11" i="2"/>
  <c r="F11" i="2"/>
  <c r="E11" i="2"/>
  <c r="K10" i="2"/>
  <c r="J10" i="2"/>
  <c r="I10" i="2"/>
  <c r="G10" i="2"/>
  <c r="F10" i="2"/>
  <c r="E10" i="2"/>
  <c r="K9" i="2"/>
  <c r="J9" i="2"/>
  <c r="I9" i="2"/>
  <c r="G9" i="2"/>
  <c r="F9" i="2"/>
  <c r="E9" i="2"/>
  <c r="K8" i="2"/>
  <c r="J8" i="2"/>
  <c r="I8" i="2"/>
  <c r="G8" i="2"/>
  <c r="F8" i="2"/>
  <c r="E8" i="2"/>
  <c r="K7" i="2"/>
  <c r="J7" i="2"/>
  <c r="I7" i="2"/>
  <c r="G7" i="2"/>
  <c r="F7" i="2"/>
  <c r="E7" i="2"/>
  <c r="K6" i="2"/>
  <c r="J6" i="2"/>
  <c r="I6" i="2"/>
  <c r="G6" i="2"/>
  <c r="F6" i="2"/>
  <c r="E6" i="2"/>
  <c r="M185" i="1"/>
  <c r="K185" i="1"/>
  <c r="M184" i="1"/>
  <c r="K184" i="1"/>
  <c r="M183" i="1"/>
  <c r="K183" i="1"/>
  <c r="M182" i="1"/>
  <c r="K182" i="1"/>
  <c r="M181" i="1"/>
  <c r="K181" i="1"/>
  <c r="M180" i="1"/>
  <c r="K180" i="1"/>
  <c r="M179" i="1"/>
  <c r="K179" i="1"/>
  <c r="M178" i="1"/>
  <c r="K178" i="1"/>
  <c r="M177" i="1"/>
  <c r="K177" i="1"/>
  <c r="M176" i="1"/>
  <c r="K176" i="1"/>
  <c r="M175" i="1"/>
  <c r="K175" i="1"/>
  <c r="M174" i="1"/>
  <c r="K174" i="1"/>
  <c r="M173" i="1"/>
  <c r="K173" i="1"/>
  <c r="M172" i="1"/>
  <c r="K172" i="1"/>
  <c r="M171" i="1"/>
  <c r="K171" i="1"/>
  <c r="M170" i="1"/>
  <c r="K170" i="1"/>
  <c r="M169" i="1"/>
  <c r="K169" i="1"/>
  <c r="M168" i="1"/>
  <c r="K168" i="1"/>
  <c r="M167" i="1"/>
  <c r="K167" i="1"/>
  <c r="M166" i="1"/>
  <c r="K166" i="1"/>
  <c r="M165" i="1"/>
  <c r="K165" i="1"/>
  <c r="M164" i="1"/>
  <c r="K164" i="1"/>
  <c r="M163" i="1"/>
  <c r="K163" i="1"/>
  <c r="M162" i="1"/>
  <c r="K162" i="1"/>
  <c r="M161" i="1"/>
  <c r="K161" i="1"/>
  <c r="M160" i="1"/>
  <c r="K160" i="1"/>
  <c r="M159" i="1"/>
  <c r="K159" i="1"/>
  <c r="M158" i="1"/>
  <c r="K158" i="1"/>
  <c r="M157" i="1"/>
  <c r="K157" i="1"/>
  <c r="M156" i="1"/>
  <c r="K156" i="1"/>
  <c r="M155" i="1"/>
  <c r="K155" i="1"/>
  <c r="M154" i="1"/>
  <c r="K154" i="1"/>
  <c r="M153" i="1"/>
  <c r="K153" i="1"/>
  <c r="M152" i="1"/>
  <c r="K152" i="1"/>
  <c r="M151" i="1"/>
  <c r="K151" i="1"/>
  <c r="M150" i="1"/>
  <c r="K150" i="1"/>
  <c r="M149" i="1"/>
  <c r="K149" i="1"/>
  <c r="M148" i="1"/>
  <c r="K148" i="1"/>
  <c r="M147" i="1"/>
  <c r="K147" i="1"/>
  <c r="M146" i="1"/>
  <c r="K146" i="1"/>
  <c r="M145" i="1"/>
  <c r="K145" i="1"/>
  <c r="M144" i="1"/>
  <c r="K144" i="1"/>
  <c r="M143" i="1"/>
  <c r="K143" i="1"/>
  <c r="M142" i="1"/>
  <c r="K142" i="1"/>
  <c r="M141" i="1"/>
  <c r="K141" i="1"/>
  <c r="M140" i="1"/>
  <c r="K140" i="1"/>
  <c r="M139" i="1"/>
  <c r="K139" i="1"/>
  <c r="M138" i="1"/>
  <c r="K138" i="1"/>
  <c r="M137" i="1"/>
  <c r="K137" i="1"/>
  <c r="M136" i="1"/>
  <c r="K136" i="1"/>
  <c r="M135" i="1"/>
  <c r="K135" i="1"/>
  <c r="M134" i="1"/>
  <c r="K134" i="1"/>
  <c r="M133" i="1"/>
  <c r="K133" i="1"/>
  <c r="M132" i="1"/>
  <c r="K132" i="1"/>
  <c r="M131" i="1"/>
  <c r="K131" i="1"/>
  <c r="M130" i="1"/>
  <c r="K130" i="1"/>
  <c r="M129" i="1"/>
  <c r="K129" i="1"/>
  <c r="M128" i="1"/>
  <c r="K128" i="1"/>
  <c r="M127" i="1"/>
  <c r="K127" i="1"/>
  <c r="M126" i="1"/>
  <c r="K126" i="1"/>
  <c r="M125" i="1"/>
  <c r="K125" i="1"/>
  <c r="M124" i="1"/>
  <c r="K124" i="1"/>
  <c r="M123" i="1"/>
  <c r="K123" i="1"/>
  <c r="M122" i="1"/>
  <c r="K122" i="1"/>
  <c r="M121" i="1"/>
  <c r="K121" i="1"/>
  <c r="M120" i="1"/>
  <c r="K120" i="1"/>
  <c r="M119" i="1"/>
  <c r="K119" i="1"/>
  <c r="M118" i="1"/>
  <c r="K118" i="1"/>
  <c r="M117" i="1"/>
  <c r="K117" i="1"/>
  <c r="M116" i="1"/>
  <c r="K116" i="1"/>
  <c r="M115" i="1"/>
  <c r="K115" i="1"/>
  <c r="M114" i="1"/>
  <c r="K114" i="1"/>
  <c r="M113" i="1"/>
  <c r="K113" i="1"/>
  <c r="M112" i="1"/>
  <c r="K112" i="1"/>
  <c r="M111" i="1"/>
  <c r="K111" i="1"/>
  <c r="M110" i="1"/>
  <c r="K110" i="1"/>
  <c r="M109" i="1"/>
  <c r="K109" i="1"/>
  <c r="M108" i="1"/>
  <c r="K108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M101" i="1"/>
  <c r="K101" i="1"/>
  <c r="M100" i="1"/>
  <c r="K100" i="1"/>
  <c r="M99" i="1"/>
  <c r="K99" i="1"/>
  <c r="M98" i="1"/>
  <c r="K98" i="1"/>
  <c r="F98" i="1"/>
  <c r="D98" i="1"/>
  <c r="M97" i="1"/>
  <c r="K97" i="1"/>
  <c r="F97" i="1"/>
  <c r="D97" i="1"/>
  <c r="M96" i="1"/>
  <c r="K96" i="1"/>
  <c r="F96" i="1"/>
  <c r="D96" i="1"/>
  <c r="M95" i="1"/>
  <c r="K95" i="1"/>
  <c r="F95" i="1"/>
  <c r="D95" i="1"/>
  <c r="M94" i="1"/>
  <c r="K94" i="1"/>
  <c r="F94" i="1"/>
  <c r="D94" i="1"/>
  <c r="M93" i="1"/>
  <c r="K93" i="1"/>
  <c r="F93" i="1"/>
  <c r="D93" i="1"/>
  <c r="M92" i="1"/>
  <c r="K92" i="1"/>
  <c r="F92" i="1"/>
  <c r="D92" i="1"/>
  <c r="M91" i="1"/>
  <c r="K91" i="1"/>
  <c r="F91" i="1"/>
  <c r="D91" i="1"/>
  <c r="M90" i="1"/>
  <c r="K90" i="1"/>
  <c r="F90" i="1"/>
  <c r="D90" i="1"/>
  <c r="M89" i="1"/>
  <c r="K89" i="1"/>
  <c r="F89" i="1"/>
  <c r="D89" i="1"/>
  <c r="M88" i="1"/>
  <c r="K88" i="1"/>
  <c r="F88" i="1"/>
  <c r="D88" i="1"/>
  <c r="M87" i="1"/>
  <c r="K87" i="1"/>
  <c r="F87" i="1"/>
  <c r="D87" i="1"/>
  <c r="M86" i="1"/>
  <c r="K86" i="1"/>
  <c r="F86" i="1"/>
  <c r="D86" i="1"/>
  <c r="M85" i="1"/>
  <c r="K85" i="1"/>
  <c r="F85" i="1"/>
  <c r="D85" i="1"/>
  <c r="M84" i="1"/>
  <c r="K84" i="1"/>
  <c r="F84" i="1"/>
  <c r="D84" i="1"/>
  <c r="M83" i="1"/>
  <c r="K83" i="1"/>
  <c r="F83" i="1"/>
  <c r="D83" i="1"/>
  <c r="M82" i="1"/>
  <c r="K82" i="1"/>
  <c r="F82" i="1"/>
  <c r="D82" i="1"/>
  <c r="M81" i="1"/>
  <c r="K81" i="1"/>
  <c r="F81" i="1"/>
  <c r="D81" i="1"/>
  <c r="M80" i="1"/>
  <c r="K80" i="1"/>
  <c r="F80" i="1"/>
  <c r="D80" i="1"/>
  <c r="M79" i="1"/>
  <c r="K79" i="1"/>
  <c r="F79" i="1"/>
  <c r="D79" i="1"/>
  <c r="M78" i="1"/>
  <c r="K78" i="1"/>
  <c r="F78" i="1"/>
  <c r="D78" i="1"/>
  <c r="M77" i="1"/>
  <c r="K77" i="1"/>
  <c r="F77" i="1"/>
  <c r="D77" i="1"/>
  <c r="M76" i="1"/>
  <c r="K76" i="1"/>
  <c r="F76" i="1"/>
  <c r="D76" i="1"/>
  <c r="M75" i="1"/>
  <c r="K75" i="1"/>
  <c r="F75" i="1"/>
  <c r="D75" i="1"/>
  <c r="F74" i="1"/>
  <c r="D74" i="1"/>
  <c r="Q70" i="1"/>
  <c r="O70" i="1"/>
  <c r="M70" i="1"/>
  <c r="K70" i="1"/>
  <c r="J70" i="1"/>
  <c r="I70" i="1"/>
  <c r="H70" i="1"/>
  <c r="Q69" i="1"/>
  <c r="O69" i="1"/>
  <c r="M69" i="1"/>
  <c r="K69" i="1"/>
  <c r="J69" i="1"/>
  <c r="I69" i="1"/>
  <c r="H69" i="1"/>
  <c r="Q68" i="1"/>
  <c r="O68" i="1"/>
  <c r="M68" i="1"/>
  <c r="K68" i="1"/>
  <c r="J68" i="1"/>
  <c r="I68" i="1"/>
  <c r="H68" i="1"/>
  <c r="Q67" i="1"/>
  <c r="O67" i="1"/>
  <c r="M67" i="1"/>
  <c r="K67" i="1"/>
  <c r="J67" i="1"/>
  <c r="I67" i="1"/>
  <c r="H67" i="1"/>
  <c r="Q66" i="1"/>
  <c r="O66" i="1"/>
  <c r="M66" i="1"/>
  <c r="K66" i="1"/>
  <c r="J66" i="1"/>
  <c r="I66" i="1"/>
  <c r="H66" i="1"/>
  <c r="Q65" i="1"/>
  <c r="O65" i="1"/>
  <c r="M65" i="1"/>
  <c r="K65" i="1"/>
  <c r="J65" i="1"/>
  <c r="I65" i="1"/>
  <c r="H65" i="1"/>
  <c r="Q64" i="1"/>
  <c r="O64" i="1"/>
  <c r="M64" i="1"/>
  <c r="K64" i="1"/>
  <c r="J64" i="1"/>
  <c r="I64" i="1"/>
  <c r="H64" i="1"/>
  <c r="Q63" i="1"/>
  <c r="O63" i="1"/>
  <c r="M63" i="1"/>
  <c r="K63" i="1"/>
  <c r="J63" i="1"/>
  <c r="I63" i="1"/>
  <c r="H63" i="1"/>
  <c r="Q62" i="1"/>
  <c r="O62" i="1"/>
  <c r="M62" i="1"/>
  <c r="K62" i="1"/>
  <c r="J62" i="1"/>
  <c r="I62" i="1"/>
  <c r="H62" i="1"/>
  <c r="Q61" i="1"/>
  <c r="O61" i="1"/>
  <c r="M61" i="1"/>
  <c r="K61" i="1"/>
  <c r="J61" i="1"/>
  <c r="I61" i="1"/>
  <c r="H61" i="1"/>
  <c r="Q60" i="1"/>
  <c r="O60" i="1"/>
  <c r="M60" i="1"/>
  <c r="K60" i="1"/>
  <c r="J60" i="1"/>
  <c r="I60" i="1"/>
  <c r="H60" i="1"/>
  <c r="Q59" i="1"/>
  <c r="O59" i="1"/>
  <c r="M59" i="1"/>
  <c r="K59" i="1"/>
  <c r="J59" i="1"/>
  <c r="I59" i="1"/>
  <c r="H59" i="1"/>
  <c r="Q58" i="1"/>
  <c r="O58" i="1"/>
  <c r="M58" i="1"/>
  <c r="K58" i="1"/>
  <c r="J58" i="1"/>
  <c r="I58" i="1"/>
  <c r="H58" i="1"/>
  <c r="Q57" i="1"/>
  <c r="O57" i="1"/>
  <c r="M57" i="1"/>
  <c r="K57" i="1"/>
  <c r="J57" i="1"/>
  <c r="I57" i="1"/>
  <c r="H57" i="1"/>
  <c r="Q56" i="1"/>
  <c r="O56" i="1"/>
  <c r="M56" i="1"/>
  <c r="K56" i="1"/>
  <c r="J56" i="1"/>
  <c r="I56" i="1"/>
  <c r="H56" i="1"/>
  <c r="Q55" i="1"/>
  <c r="O55" i="1"/>
  <c r="M55" i="1"/>
  <c r="K55" i="1"/>
  <c r="J55" i="1"/>
  <c r="I55" i="1"/>
  <c r="H55" i="1"/>
  <c r="Q54" i="1"/>
  <c r="O54" i="1"/>
  <c r="M54" i="1"/>
  <c r="K54" i="1"/>
  <c r="J54" i="1"/>
  <c r="I54" i="1"/>
  <c r="H54" i="1"/>
  <c r="Q53" i="1"/>
  <c r="O53" i="1"/>
  <c r="M53" i="1"/>
  <c r="K53" i="1"/>
  <c r="J53" i="1"/>
  <c r="I53" i="1"/>
  <c r="H53" i="1"/>
  <c r="Q52" i="1"/>
  <c r="O52" i="1"/>
  <c r="M52" i="1"/>
  <c r="K52" i="1"/>
  <c r="J52" i="1"/>
  <c r="I52" i="1"/>
  <c r="H52" i="1"/>
  <c r="Q51" i="1"/>
  <c r="O51" i="1"/>
  <c r="M51" i="1"/>
  <c r="K51" i="1"/>
  <c r="J51" i="1"/>
  <c r="I51" i="1"/>
  <c r="H51" i="1"/>
  <c r="Q50" i="1"/>
  <c r="O50" i="1"/>
  <c r="M50" i="1"/>
  <c r="K50" i="1"/>
  <c r="J50" i="1"/>
  <c r="I50" i="1"/>
  <c r="H50" i="1"/>
  <c r="Q49" i="1"/>
  <c r="O49" i="1"/>
  <c r="M49" i="1"/>
  <c r="K49" i="1"/>
  <c r="J49" i="1"/>
  <c r="I49" i="1"/>
  <c r="H49" i="1"/>
  <c r="Q48" i="1"/>
  <c r="O48" i="1"/>
  <c r="M48" i="1"/>
  <c r="K48" i="1"/>
  <c r="J48" i="1"/>
  <c r="I48" i="1"/>
  <c r="H48" i="1"/>
  <c r="Q47" i="1"/>
  <c r="O47" i="1"/>
  <c r="M47" i="1"/>
  <c r="K47" i="1"/>
  <c r="J47" i="1"/>
  <c r="I47" i="1"/>
  <c r="H47" i="1"/>
  <c r="Q46" i="1"/>
  <c r="O46" i="1"/>
  <c r="M46" i="1"/>
  <c r="K46" i="1"/>
  <c r="J46" i="1"/>
  <c r="I46" i="1"/>
  <c r="H46" i="1"/>
  <c r="Q45" i="1"/>
  <c r="O45" i="1"/>
  <c r="M45" i="1"/>
  <c r="K45" i="1"/>
  <c r="J45" i="1"/>
  <c r="I45" i="1"/>
  <c r="H45" i="1"/>
  <c r="Q44" i="1"/>
  <c r="O44" i="1"/>
  <c r="M44" i="1"/>
  <c r="K44" i="1"/>
  <c r="J44" i="1"/>
  <c r="I44" i="1"/>
  <c r="H44" i="1"/>
  <c r="Q43" i="1"/>
  <c r="O43" i="1"/>
  <c r="M43" i="1"/>
  <c r="K43" i="1"/>
  <c r="J43" i="1"/>
  <c r="I43" i="1"/>
  <c r="H43" i="1"/>
  <c r="Q42" i="1"/>
  <c r="O42" i="1"/>
  <c r="M42" i="1"/>
  <c r="K42" i="1"/>
  <c r="J42" i="1"/>
  <c r="I42" i="1"/>
  <c r="H42" i="1"/>
  <c r="Q41" i="1"/>
  <c r="O41" i="1"/>
  <c r="M41" i="1"/>
  <c r="K41" i="1"/>
  <c r="J41" i="1"/>
  <c r="I41" i="1"/>
  <c r="H41" i="1"/>
  <c r="Q40" i="1"/>
  <c r="O40" i="1"/>
  <c r="M40" i="1"/>
  <c r="K40" i="1"/>
  <c r="J40" i="1"/>
  <c r="I40" i="1"/>
  <c r="H40" i="1"/>
  <c r="Q36" i="1"/>
  <c r="P36" i="1"/>
  <c r="O36" i="1"/>
  <c r="M36" i="1"/>
  <c r="L36" i="1"/>
  <c r="K36" i="1"/>
  <c r="Q35" i="1"/>
  <c r="P35" i="1"/>
  <c r="O35" i="1"/>
  <c r="M35" i="1"/>
  <c r="L35" i="1"/>
  <c r="K35" i="1"/>
  <c r="Q34" i="1"/>
  <c r="P34" i="1"/>
  <c r="O34" i="1"/>
  <c r="M34" i="1"/>
  <c r="L34" i="1"/>
  <c r="K34" i="1"/>
  <c r="Q33" i="1"/>
  <c r="P33" i="1"/>
  <c r="O33" i="1"/>
  <c r="M33" i="1"/>
  <c r="L33" i="1"/>
  <c r="K33" i="1"/>
  <c r="Q32" i="1"/>
  <c r="P32" i="1"/>
  <c r="O32" i="1"/>
  <c r="M32" i="1"/>
  <c r="L32" i="1"/>
  <c r="K32" i="1"/>
  <c r="Q31" i="1"/>
  <c r="P31" i="1"/>
  <c r="O31" i="1"/>
  <c r="M31" i="1"/>
  <c r="L31" i="1"/>
  <c r="K31" i="1"/>
  <c r="Q30" i="1"/>
  <c r="P30" i="1"/>
  <c r="O30" i="1"/>
  <c r="M30" i="1"/>
  <c r="L30" i="1"/>
  <c r="K30" i="1"/>
  <c r="Q29" i="1"/>
  <c r="P29" i="1"/>
  <c r="O29" i="1"/>
  <c r="M29" i="1"/>
  <c r="L29" i="1"/>
  <c r="K29" i="1"/>
  <c r="Q28" i="1"/>
  <c r="P28" i="1"/>
  <c r="O28" i="1"/>
  <c r="M28" i="1"/>
  <c r="L28" i="1"/>
  <c r="K28" i="1"/>
  <c r="Q27" i="1"/>
  <c r="P27" i="1"/>
  <c r="O27" i="1"/>
  <c r="M27" i="1"/>
  <c r="L27" i="1"/>
  <c r="K27" i="1"/>
  <c r="Q26" i="1"/>
  <c r="P26" i="1"/>
  <c r="O26" i="1"/>
  <c r="M26" i="1"/>
  <c r="L26" i="1"/>
  <c r="K26" i="1"/>
  <c r="Q25" i="1"/>
  <c r="P25" i="1"/>
  <c r="O25" i="1"/>
  <c r="M25" i="1"/>
  <c r="L25" i="1"/>
  <c r="K25" i="1"/>
  <c r="Q24" i="1"/>
  <c r="P24" i="1"/>
  <c r="O24" i="1"/>
  <c r="M24" i="1"/>
  <c r="L24" i="1"/>
  <c r="K24" i="1"/>
  <c r="Q23" i="1"/>
  <c r="P23" i="1"/>
  <c r="O23" i="1"/>
  <c r="M23" i="1"/>
  <c r="L23" i="1"/>
  <c r="K23" i="1"/>
  <c r="Q22" i="1"/>
  <c r="P22" i="1"/>
  <c r="O22" i="1"/>
  <c r="M22" i="1"/>
  <c r="L22" i="1"/>
  <c r="K22" i="1"/>
  <c r="Q21" i="1"/>
  <c r="P21" i="1"/>
  <c r="O21" i="1"/>
  <c r="M21" i="1"/>
  <c r="L21" i="1"/>
  <c r="K21" i="1"/>
  <c r="Q20" i="1"/>
  <c r="P20" i="1"/>
  <c r="O20" i="1"/>
  <c r="M20" i="1"/>
  <c r="L20" i="1"/>
  <c r="K20" i="1"/>
  <c r="Q19" i="1"/>
  <c r="P19" i="1"/>
  <c r="O19" i="1"/>
  <c r="M19" i="1"/>
  <c r="L19" i="1"/>
  <c r="K19" i="1"/>
  <c r="Q18" i="1"/>
  <c r="P18" i="1"/>
  <c r="O18" i="1"/>
  <c r="M18" i="1"/>
  <c r="L18" i="1"/>
  <c r="K18" i="1"/>
  <c r="Q17" i="1"/>
  <c r="P17" i="1"/>
  <c r="O17" i="1"/>
  <c r="M17" i="1"/>
  <c r="L17" i="1"/>
  <c r="K17" i="1"/>
  <c r="Q16" i="1"/>
  <c r="P16" i="1"/>
  <c r="O16" i="1"/>
  <c r="M16" i="1"/>
  <c r="L16" i="1"/>
  <c r="K16" i="1"/>
  <c r="Q15" i="1"/>
  <c r="P15" i="1"/>
  <c r="O15" i="1"/>
  <c r="M15" i="1"/>
  <c r="L15" i="1"/>
  <c r="K15" i="1"/>
  <c r="Q14" i="1"/>
  <c r="P14" i="1"/>
  <c r="O14" i="1"/>
  <c r="M14" i="1"/>
  <c r="L14" i="1"/>
  <c r="K14" i="1"/>
  <c r="Q13" i="1"/>
  <c r="P13" i="1"/>
  <c r="O13" i="1"/>
  <c r="M13" i="1"/>
  <c r="L13" i="1"/>
  <c r="K13" i="1"/>
  <c r="Q12" i="1"/>
  <c r="P12" i="1"/>
  <c r="O12" i="1"/>
  <c r="M12" i="1"/>
  <c r="L12" i="1"/>
  <c r="K12" i="1"/>
  <c r="Q11" i="1"/>
  <c r="P11" i="1"/>
  <c r="O11" i="1"/>
  <c r="M11" i="1"/>
  <c r="L11" i="1"/>
  <c r="K11" i="1"/>
  <c r="Q10" i="1"/>
  <c r="P10" i="1"/>
  <c r="O10" i="1"/>
  <c r="M10" i="1"/>
  <c r="L10" i="1"/>
  <c r="K10" i="1"/>
  <c r="Q9" i="1"/>
  <c r="P9" i="1"/>
  <c r="O9" i="1"/>
  <c r="M9" i="1"/>
  <c r="L9" i="1"/>
  <c r="K9" i="1"/>
  <c r="Q8" i="1"/>
  <c r="P8" i="1"/>
  <c r="O8" i="1"/>
  <c r="M8" i="1"/>
  <c r="L8" i="1"/>
  <c r="K8" i="1"/>
  <c r="Q7" i="1"/>
  <c r="P7" i="1"/>
  <c r="O7" i="1"/>
  <c r="M7" i="1"/>
  <c r="L7" i="1"/>
  <c r="K7" i="1"/>
  <c r="Q6" i="1"/>
  <c r="P6" i="1"/>
  <c r="O6" i="1"/>
  <c r="M6" i="1"/>
  <c r="L6" i="1"/>
  <c r="K6" i="1"/>
  <c r="M70" i="9" l="1"/>
  <c r="M6" i="9"/>
  <c r="M10" i="9"/>
  <c r="M14" i="9"/>
  <c r="M5" i="9"/>
  <c r="M9" i="9"/>
  <c r="M13" i="9"/>
  <c r="M17" i="9"/>
  <c r="M44" i="9"/>
  <c r="M48" i="9"/>
  <c r="M64" i="9"/>
  <c r="L17" i="9"/>
  <c r="M41" i="9"/>
  <c r="M45" i="9"/>
  <c r="M49" i="9"/>
  <c r="L54" i="9"/>
  <c r="M56" i="9"/>
  <c r="M58" i="9"/>
  <c r="M66" i="9"/>
  <c r="L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L18" i="9"/>
  <c r="L20" i="9"/>
  <c r="L22" i="9"/>
  <c r="L24" i="9"/>
  <c r="L26" i="9"/>
  <c r="L28" i="9"/>
  <c r="L30" i="9"/>
  <c r="L32" i="9"/>
  <c r="L34" i="9"/>
  <c r="L36" i="9"/>
  <c r="L38" i="9"/>
  <c r="M53" i="9"/>
  <c r="M69" i="9"/>
  <c r="M18" i="9"/>
  <c r="M20" i="9"/>
  <c r="M22" i="9"/>
  <c r="M24" i="9"/>
  <c r="M26" i="9"/>
  <c r="R26" i="9" s="1"/>
  <c r="S26" i="9" s="1"/>
  <c r="M28" i="9"/>
  <c r="M30" i="9"/>
  <c r="M32" i="9"/>
  <c r="M34" i="9"/>
  <c r="M36" i="9"/>
  <c r="M38" i="9"/>
  <c r="M40" i="9"/>
  <c r="M50" i="9"/>
  <c r="M57" i="9"/>
  <c r="M61" i="9"/>
  <c r="M65" i="9"/>
  <c r="L40" i="9"/>
  <c r="L56" i="9"/>
  <c r="L45" i="9"/>
  <c r="R45" i="9" s="1"/>
  <c r="S45" i="9" s="1"/>
  <c r="L46" i="9"/>
  <c r="M46" i="9"/>
  <c r="L49" i="9"/>
  <c r="M52" i="9"/>
  <c r="L61" i="9"/>
  <c r="L62" i="9"/>
  <c r="M62" i="9"/>
  <c r="L65" i="9"/>
  <c r="R65" i="9" s="1"/>
  <c r="S65" i="9" s="1"/>
  <c r="M68" i="9"/>
  <c r="M42" i="9"/>
  <c r="L48" i="9"/>
  <c r="L64" i="9"/>
  <c r="L41" i="9"/>
  <c r="L53" i="9"/>
  <c r="M54" i="9"/>
  <c r="L57" i="9"/>
  <c r="M60" i="9"/>
  <c r="L69" i="9"/>
  <c r="R69" i="9" s="1"/>
  <c r="S69" i="9" s="1"/>
  <c r="R17" i="9"/>
  <c r="S17" i="9" s="1"/>
  <c r="K44" i="9"/>
  <c r="K52" i="9"/>
  <c r="K60" i="9"/>
  <c r="K68" i="9"/>
  <c r="M71" i="9"/>
  <c r="L71" i="9"/>
  <c r="K71" i="9"/>
  <c r="L5" i="9"/>
  <c r="R5" i="9" s="1"/>
  <c r="S5" i="9" s="1"/>
  <c r="L6" i="9"/>
  <c r="R6" i="9" s="1"/>
  <c r="S6" i="9" s="1"/>
  <c r="L7" i="9"/>
  <c r="L8" i="9"/>
  <c r="L9" i="9"/>
  <c r="R9" i="9" s="1"/>
  <c r="S9" i="9" s="1"/>
  <c r="L10" i="9"/>
  <c r="L11" i="9"/>
  <c r="L12" i="9"/>
  <c r="L13" i="9"/>
  <c r="R13" i="9" s="1"/>
  <c r="S13" i="9" s="1"/>
  <c r="L14" i="9"/>
  <c r="L15" i="9"/>
  <c r="L16" i="9"/>
  <c r="R18" i="9"/>
  <c r="S18" i="9" s="1"/>
  <c r="L19" i="9"/>
  <c r="L21" i="9"/>
  <c r="L23" i="9"/>
  <c r="R24" i="9"/>
  <c r="S24" i="9" s="1"/>
  <c r="L25" i="9"/>
  <c r="L27" i="9"/>
  <c r="L29" i="9"/>
  <c r="L31" i="9"/>
  <c r="L33" i="9"/>
  <c r="R34" i="9"/>
  <c r="S34" i="9" s="1"/>
  <c r="L35" i="9"/>
  <c r="L37" i="9"/>
  <c r="L42" i="9"/>
  <c r="M43" i="9"/>
  <c r="L43" i="9"/>
  <c r="K43" i="9"/>
  <c r="L44" i="9"/>
  <c r="L50" i="9"/>
  <c r="M51" i="9"/>
  <c r="L51" i="9"/>
  <c r="K51" i="9"/>
  <c r="L52" i="9"/>
  <c r="L58" i="9"/>
  <c r="M59" i="9"/>
  <c r="L59" i="9"/>
  <c r="K59" i="9"/>
  <c r="L60" i="9"/>
  <c r="L66" i="9"/>
  <c r="M67" i="9"/>
  <c r="L67" i="9"/>
  <c r="K67" i="9"/>
  <c r="L68" i="9"/>
  <c r="K4" i="9"/>
  <c r="M19" i="9"/>
  <c r="M21" i="9"/>
  <c r="R21" i="9" s="1"/>
  <c r="S21" i="9" s="1"/>
  <c r="M23" i="9"/>
  <c r="M25" i="9"/>
  <c r="M27" i="9"/>
  <c r="M29" i="9"/>
  <c r="M31" i="9"/>
  <c r="M33" i="9"/>
  <c r="M35" i="9"/>
  <c r="M37" i="9"/>
  <c r="R37" i="9" s="1"/>
  <c r="S37" i="9" s="1"/>
  <c r="K40" i="9"/>
  <c r="K48" i="9"/>
  <c r="K56" i="9"/>
  <c r="K64" i="9"/>
  <c r="L70" i="9"/>
  <c r="R25" i="9"/>
  <c r="S25" i="9" s="1"/>
  <c r="M39" i="9"/>
  <c r="L39" i="9"/>
  <c r="K39" i="9"/>
  <c r="M47" i="9"/>
  <c r="L47" i="9"/>
  <c r="K47" i="9"/>
  <c r="M55" i="9"/>
  <c r="L55" i="9"/>
  <c r="K55" i="9"/>
  <c r="M63" i="9"/>
  <c r="L63" i="9"/>
  <c r="K63" i="9"/>
  <c r="K42" i="9"/>
  <c r="K46" i="9"/>
  <c r="K50" i="9"/>
  <c r="K54" i="9"/>
  <c r="K58" i="9"/>
  <c r="K62" i="9"/>
  <c r="K66" i="9"/>
  <c r="K70" i="9"/>
  <c r="T73" i="8"/>
  <c r="T75" i="8"/>
  <c r="T77" i="8"/>
  <c r="Z77" i="8" s="1"/>
  <c r="AA77" i="8" s="1"/>
  <c r="AB77" i="8" s="1"/>
  <c r="T69" i="8"/>
  <c r="Z69" i="8" s="1"/>
  <c r="AA69" i="8" s="1"/>
  <c r="AB69" i="8" s="1"/>
  <c r="Z73" i="8"/>
  <c r="AA73" i="8" s="1"/>
  <c r="AB73" i="8" s="1"/>
  <c r="Z75" i="8"/>
  <c r="AA75" i="8" s="1"/>
  <c r="AB75" i="8" s="1"/>
  <c r="T97" i="8"/>
  <c r="Z97" i="8" s="1"/>
  <c r="T5" i="8"/>
  <c r="Z5" i="8" s="1"/>
  <c r="AA5" i="8" s="1"/>
  <c r="AB5" i="8" s="1"/>
  <c r="T7" i="8"/>
  <c r="Z7" i="8" s="1"/>
  <c r="AA7" i="8" s="1"/>
  <c r="AB7" i="8" s="1"/>
  <c r="T9" i="8"/>
  <c r="Z9" i="8" s="1"/>
  <c r="T11" i="8"/>
  <c r="Z11" i="8" s="1"/>
  <c r="AA11" i="8" s="1"/>
  <c r="AB11" i="8" s="1"/>
  <c r="T14" i="8"/>
  <c r="Z14" i="8" s="1"/>
  <c r="AA14" i="8" s="1"/>
  <c r="AB14" i="8" s="1"/>
  <c r="T16" i="8"/>
  <c r="Z16" i="8" s="1"/>
  <c r="AA16" i="8" s="1"/>
  <c r="AB16" i="8" s="1"/>
  <c r="T18" i="8"/>
  <c r="Z18" i="8" s="1"/>
  <c r="AA18" i="8" s="1"/>
  <c r="AB18" i="8" s="1"/>
  <c r="T20" i="8"/>
  <c r="Z20" i="8" s="1"/>
  <c r="AA20" i="8" s="1"/>
  <c r="AB20" i="8" s="1"/>
  <c r="T23" i="8"/>
  <c r="Z23" i="8" s="1"/>
  <c r="AA23" i="8" s="1"/>
  <c r="AB23" i="8" s="1"/>
  <c r="T25" i="8"/>
  <c r="Z25" i="8" s="1"/>
  <c r="AA25" i="8" s="1"/>
  <c r="AB25" i="8" s="1"/>
  <c r="T71" i="8"/>
  <c r="Z71" i="8" s="1"/>
  <c r="T4" i="8"/>
  <c r="Z4" i="8" s="1"/>
  <c r="T6" i="8"/>
  <c r="Z6" i="8" s="1"/>
  <c r="AA6" i="8" s="1"/>
  <c r="AB6" i="8" s="1"/>
  <c r="T8" i="8"/>
  <c r="Z8" i="8" s="1"/>
  <c r="AA8" i="8" s="1"/>
  <c r="AB8" i="8" s="1"/>
  <c r="T10" i="8"/>
  <c r="Z10" i="8" s="1"/>
  <c r="AA10" i="8" s="1"/>
  <c r="AB10" i="8" s="1"/>
  <c r="T12" i="8"/>
  <c r="Z12" i="8" s="1"/>
  <c r="AA12" i="8" s="1"/>
  <c r="AB12" i="8" s="1"/>
  <c r="T13" i="8"/>
  <c r="Z13" i="8" s="1"/>
  <c r="AA13" i="8" s="1"/>
  <c r="AB13" i="8" s="1"/>
  <c r="T15" i="8"/>
  <c r="Z15" i="8" s="1"/>
  <c r="AA15" i="8" s="1"/>
  <c r="AB15" i="8" s="1"/>
  <c r="T17" i="8"/>
  <c r="T19" i="8"/>
  <c r="Z19" i="8" s="1"/>
  <c r="AA19" i="8" s="1"/>
  <c r="AB19" i="8" s="1"/>
  <c r="T21" i="8"/>
  <c r="Z21" i="8" s="1"/>
  <c r="AA21" i="8" s="1"/>
  <c r="AB21" i="8" s="1"/>
  <c r="T22" i="8"/>
  <c r="Z22" i="8" s="1"/>
  <c r="AA22" i="8" s="1"/>
  <c r="AB22" i="8" s="1"/>
  <c r="T24" i="8"/>
  <c r="Z24" i="8" s="1"/>
  <c r="T28" i="8"/>
  <c r="Z28" i="8" s="1"/>
  <c r="AA28" i="8" s="1"/>
  <c r="AB28" i="8" s="1"/>
  <c r="T44" i="8"/>
  <c r="Z44" i="8" s="1"/>
  <c r="T95" i="8"/>
  <c r="Z95" i="8" s="1"/>
  <c r="T99" i="8"/>
  <c r="Z99" i="8" s="1"/>
  <c r="T35" i="8"/>
  <c r="T39" i="8"/>
  <c r="Z39" i="8" s="1"/>
  <c r="T43" i="8"/>
  <c r="Z43" i="8" s="1"/>
  <c r="AA43" i="8" s="1"/>
  <c r="AB43" i="8" s="1"/>
  <c r="T46" i="8"/>
  <c r="T48" i="8"/>
  <c r="T50" i="8"/>
  <c r="Z50" i="8" s="1"/>
  <c r="AA50" i="8" s="1"/>
  <c r="AB50" i="8" s="1"/>
  <c r="T52" i="8"/>
  <c r="Z52" i="8" s="1"/>
  <c r="T54" i="8"/>
  <c r="T56" i="8"/>
  <c r="Z56" i="8" s="1"/>
  <c r="T58" i="8"/>
  <c r="Z58" i="8" s="1"/>
  <c r="AA58" i="8" s="1"/>
  <c r="AB58" i="8" s="1"/>
  <c r="T60" i="8"/>
  <c r="Z60" i="8" s="1"/>
  <c r="T62" i="8"/>
  <c r="Z62" i="8" s="1"/>
  <c r="AA62" i="8" s="1"/>
  <c r="AB62" i="8" s="1"/>
  <c r="T64" i="8"/>
  <c r="Z64" i="8" s="1"/>
  <c r="T66" i="8"/>
  <c r="Z66" i="8" s="1"/>
  <c r="T68" i="8"/>
  <c r="Z68" i="8" s="1"/>
  <c r="T76" i="8"/>
  <c r="Z76" i="8" s="1"/>
  <c r="AA76" i="8" s="1"/>
  <c r="AB76" i="8" s="1"/>
  <c r="T70" i="8"/>
  <c r="Z70" i="8" s="1"/>
  <c r="AA70" i="8" s="1"/>
  <c r="AB70" i="8" s="1"/>
  <c r="T27" i="8"/>
  <c r="Z27" i="8" s="1"/>
  <c r="T31" i="8"/>
  <c r="Z31" i="8" s="1"/>
  <c r="T26" i="8"/>
  <c r="Z26" i="8" s="1"/>
  <c r="T30" i="8"/>
  <c r="Z30" i="8" s="1"/>
  <c r="T34" i="8"/>
  <c r="T38" i="8"/>
  <c r="T42" i="8"/>
  <c r="Z42" i="8" s="1"/>
  <c r="T74" i="8"/>
  <c r="Z74" i="8" s="1"/>
  <c r="T78" i="8"/>
  <c r="Z78" i="8" s="1"/>
  <c r="T80" i="8"/>
  <c r="Z80" i="8" s="1"/>
  <c r="AA80" i="8" s="1"/>
  <c r="AB80" i="8" s="1"/>
  <c r="T82" i="8"/>
  <c r="Z82" i="8" s="1"/>
  <c r="AA82" i="8" s="1"/>
  <c r="AB82" i="8" s="1"/>
  <c r="T84" i="8"/>
  <c r="Z84" i="8" s="1"/>
  <c r="T86" i="8"/>
  <c r="Z86" i="8" s="1"/>
  <c r="T88" i="8"/>
  <c r="Z88" i="8" s="1"/>
  <c r="AA88" i="8" s="1"/>
  <c r="AB88" i="8" s="1"/>
  <c r="T90" i="8"/>
  <c r="Z90" i="8" s="1"/>
  <c r="AA90" i="8" s="1"/>
  <c r="AB90" i="8" s="1"/>
  <c r="T92" i="8"/>
  <c r="Z92" i="8" s="1"/>
  <c r="AA92" i="8" s="1"/>
  <c r="AB92" i="8" s="1"/>
  <c r="T94" i="8"/>
  <c r="T96" i="8"/>
  <c r="T98" i="8"/>
  <c r="Z98" i="8" s="1"/>
  <c r="T100" i="8"/>
  <c r="Z100" i="8" s="1"/>
  <c r="T102" i="8"/>
  <c r="T32" i="8"/>
  <c r="Z32" i="8" s="1"/>
  <c r="T36" i="8"/>
  <c r="Z36" i="8" s="1"/>
  <c r="T40" i="8"/>
  <c r="Z40" i="8" s="1"/>
  <c r="T29" i="8"/>
  <c r="T33" i="8"/>
  <c r="T37" i="8"/>
  <c r="Z37" i="8" s="1"/>
  <c r="AA37" i="8" s="1"/>
  <c r="AB37" i="8" s="1"/>
  <c r="T41" i="8"/>
  <c r="Z41" i="8" s="1"/>
  <c r="AA41" i="8" s="1"/>
  <c r="AB41" i="8" s="1"/>
  <c r="T45" i="8"/>
  <c r="Z45" i="8" s="1"/>
  <c r="AA45" i="8" s="1"/>
  <c r="AB45" i="8" s="1"/>
  <c r="T47" i="8"/>
  <c r="Z47" i="8" s="1"/>
  <c r="T49" i="8"/>
  <c r="Z49" i="8" s="1"/>
  <c r="T51" i="8"/>
  <c r="T53" i="8"/>
  <c r="Z53" i="8" s="1"/>
  <c r="AA53" i="8" s="1"/>
  <c r="AB53" i="8" s="1"/>
  <c r="T55" i="8"/>
  <c r="Z55" i="8" s="1"/>
  <c r="T57" i="8"/>
  <c r="Z57" i="8" s="1"/>
  <c r="T59" i="8"/>
  <c r="Z59" i="8" s="1"/>
  <c r="T61" i="8"/>
  <c r="Z61" i="8" s="1"/>
  <c r="AA61" i="8" s="1"/>
  <c r="AB61" i="8" s="1"/>
  <c r="T63" i="8"/>
  <c r="Z63" i="8" s="1"/>
  <c r="T65" i="8"/>
  <c r="Z65" i="8" s="1"/>
  <c r="T67" i="8"/>
  <c r="T72" i="8"/>
  <c r="Z72" i="8" s="1"/>
  <c r="AA72" i="8" s="1"/>
  <c r="AB72" i="8" s="1"/>
  <c r="T101" i="8"/>
  <c r="T103" i="8"/>
  <c r="Z103" i="8" s="1"/>
  <c r="T79" i="8"/>
  <c r="Z79" i="8" s="1"/>
  <c r="T81" i="8"/>
  <c r="Z81" i="8" s="1"/>
  <c r="T83" i="8"/>
  <c r="Z83" i="8" s="1"/>
  <c r="T85" i="8"/>
  <c r="T87" i="8"/>
  <c r="Z87" i="8" s="1"/>
  <c r="T89" i="8"/>
  <c r="Z89" i="8" s="1"/>
  <c r="T91" i="8"/>
  <c r="Z91" i="8" s="1"/>
  <c r="T93" i="8"/>
  <c r="Z93" i="8" s="1"/>
  <c r="T104" i="8"/>
  <c r="T105" i="8"/>
  <c r="Z105" i="8" s="1"/>
  <c r="T106" i="8"/>
  <c r="T107" i="8"/>
  <c r="Z107" i="8" s="1"/>
  <c r="T108" i="8"/>
  <c r="T109" i="8"/>
  <c r="T110" i="8"/>
  <c r="Z110" i="8" s="1"/>
  <c r="T111" i="8"/>
  <c r="Z111" i="8" s="1"/>
  <c r="R16" i="9" l="1"/>
  <c r="S16" i="9" s="1"/>
  <c r="R12" i="9"/>
  <c r="S12" i="9" s="1"/>
  <c r="R8" i="9"/>
  <c r="S8" i="9" s="1"/>
  <c r="R40" i="9"/>
  <c r="S40" i="9" s="1"/>
  <c r="R23" i="9"/>
  <c r="S23" i="9" s="1"/>
  <c r="R14" i="9"/>
  <c r="S14" i="9" s="1"/>
  <c r="R10" i="9"/>
  <c r="S10" i="9" s="1"/>
  <c r="R57" i="9"/>
  <c r="S57" i="9" s="1"/>
  <c r="R38" i="9"/>
  <c r="S38" i="9" s="1"/>
  <c r="R30" i="9"/>
  <c r="S30" i="9" s="1"/>
  <c r="R22" i="9"/>
  <c r="S22" i="9" s="1"/>
  <c r="R32" i="9"/>
  <c r="S32" i="9" s="1"/>
  <c r="R41" i="9"/>
  <c r="S41" i="9" s="1"/>
  <c r="R64" i="9"/>
  <c r="S64" i="9" s="1"/>
  <c r="R29" i="9"/>
  <c r="S29" i="9" s="1"/>
  <c r="R54" i="9"/>
  <c r="S54" i="9" s="1"/>
  <c r="R56" i="9"/>
  <c r="S56" i="9" s="1"/>
  <c r="R19" i="9"/>
  <c r="S19" i="9" s="1"/>
  <c r="R53" i="9"/>
  <c r="S53" i="9" s="1"/>
  <c r="R48" i="9"/>
  <c r="S48" i="9" s="1"/>
  <c r="R33" i="9"/>
  <c r="S33" i="9" s="1"/>
  <c r="R4" i="9"/>
  <c r="S4" i="9" s="1"/>
  <c r="R36" i="9"/>
  <c r="S36" i="9" s="1"/>
  <c r="R28" i="9"/>
  <c r="S28" i="9" s="1"/>
  <c r="R20" i="9"/>
  <c r="S20" i="9" s="1"/>
  <c r="R61" i="9"/>
  <c r="S61" i="9" s="1"/>
  <c r="R70" i="9"/>
  <c r="S70" i="9" s="1"/>
  <c r="R50" i="9"/>
  <c r="S50" i="9" s="1"/>
  <c r="R15" i="9"/>
  <c r="S15" i="9" s="1"/>
  <c r="R11" i="9"/>
  <c r="S11" i="9" s="1"/>
  <c r="R7" i="9"/>
  <c r="S7" i="9" s="1"/>
  <c r="R46" i="9"/>
  <c r="S46" i="9" s="1"/>
  <c r="R49" i="9"/>
  <c r="S49" i="9" s="1"/>
  <c r="R66" i="9"/>
  <c r="S66" i="9" s="1"/>
  <c r="R62" i="9"/>
  <c r="S62" i="9" s="1"/>
  <c r="R47" i="9"/>
  <c r="S47" i="9" s="1"/>
  <c r="R51" i="9"/>
  <c r="S51" i="9" s="1"/>
  <c r="R35" i="9"/>
  <c r="S35" i="9" s="1"/>
  <c r="R31" i="9"/>
  <c r="S31" i="9" s="1"/>
  <c r="R27" i="9"/>
  <c r="S27" i="9" s="1"/>
  <c r="R58" i="9"/>
  <c r="S58" i="9" s="1"/>
  <c r="R42" i="9"/>
  <c r="S42" i="9" s="1"/>
  <c r="R43" i="9"/>
  <c r="S43" i="9" s="1"/>
  <c r="R44" i="9"/>
  <c r="S44" i="9" s="1"/>
  <c r="R67" i="9"/>
  <c r="S67" i="9" s="1"/>
  <c r="R68" i="9"/>
  <c r="S68" i="9" s="1"/>
  <c r="R63" i="9"/>
  <c r="S63" i="9" s="1"/>
  <c r="R39" i="9"/>
  <c r="S39" i="9" s="1"/>
  <c r="R59" i="9"/>
  <c r="S59" i="9" s="1"/>
  <c r="R71" i="9"/>
  <c r="S71" i="9" s="1"/>
  <c r="R60" i="9"/>
  <c r="S60" i="9" s="1"/>
  <c r="R52" i="9"/>
  <c r="S52" i="9" s="1"/>
  <c r="Z38" i="8"/>
  <c r="AA38" i="8" s="1"/>
  <c r="AB38" i="8" s="1"/>
  <c r="AA27" i="8"/>
  <c r="AB27" i="8" s="1"/>
  <c r="AA64" i="8"/>
  <c r="AB64" i="8" s="1"/>
  <c r="AA52" i="8"/>
  <c r="AB52" i="8" s="1"/>
  <c r="Z108" i="8"/>
  <c r="AA108" i="8" s="1"/>
  <c r="AB108" i="8" s="1"/>
  <c r="Z51" i="8"/>
  <c r="AA51" i="8" s="1"/>
  <c r="AB51" i="8" s="1"/>
  <c r="Z96" i="8"/>
  <c r="AA96" i="8" s="1"/>
  <c r="AB96" i="8" s="1"/>
  <c r="Z35" i="8"/>
  <c r="AA35" i="8" s="1"/>
  <c r="AB35" i="8" s="1"/>
  <c r="Z85" i="8"/>
  <c r="AA85" i="8" s="1"/>
  <c r="AB85" i="8" s="1"/>
  <c r="AA107" i="8"/>
  <c r="AB107" i="8" s="1"/>
  <c r="AA30" i="8"/>
  <c r="AB30" i="8" s="1"/>
  <c r="AA99" i="8"/>
  <c r="AB99" i="8" s="1"/>
  <c r="AA24" i="8"/>
  <c r="AB24" i="8" s="1"/>
  <c r="AA97" i="8"/>
  <c r="AB97" i="8" s="1"/>
  <c r="Z48" i="8"/>
  <c r="AA48" i="8" s="1"/>
  <c r="AB48" i="8" s="1"/>
  <c r="Z109" i="8"/>
  <c r="AA109" i="8" s="1"/>
  <c r="AB109" i="8" s="1"/>
  <c r="Z104" i="8"/>
  <c r="AA104" i="8" s="1"/>
  <c r="AB104" i="8" s="1"/>
  <c r="Z46" i="8"/>
  <c r="AA46" i="8" s="1"/>
  <c r="AB46" i="8" s="1"/>
  <c r="Z34" i="8"/>
  <c r="AA34" i="8" s="1"/>
  <c r="AB34" i="8" s="1"/>
  <c r="AA105" i="8"/>
  <c r="AB105" i="8" s="1"/>
  <c r="AA103" i="8"/>
  <c r="AB103" i="8" s="1"/>
  <c r="AA59" i="8"/>
  <c r="AB59" i="8" s="1"/>
  <c r="AA32" i="8"/>
  <c r="AB32" i="8" s="1"/>
  <c r="AA60" i="8"/>
  <c r="AB60" i="8" s="1"/>
  <c r="AA39" i="8"/>
  <c r="AB39" i="8" s="1"/>
  <c r="AA111" i="8"/>
  <c r="AB111" i="8" s="1"/>
  <c r="AA93" i="8"/>
  <c r="AB93" i="8" s="1"/>
  <c r="AA40" i="8"/>
  <c r="AB40" i="8" s="1"/>
  <c r="AA100" i="8"/>
  <c r="AB100" i="8" s="1"/>
  <c r="AA110" i="8"/>
  <c r="AB110" i="8" s="1"/>
  <c r="AA36" i="8"/>
  <c r="AB36" i="8" s="1"/>
  <c r="AA98" i="8"/>
  <c r="AB98" i="8" s="1"/>
  <c r="AA95" i="8"/>
  <c r="AB95" i="8" s="1"/>
  <c r="Z94" i="8"/>
  <c r="AA94" i="8" s="1"/>
  <c r="AB94" i="8" s="1"/>
  <c r="Z101" i="8"/>
  <c r="AA101" i="8" s="1"/>
  <c r="AB101" i="8" s="1"/>
  <c r="Z33" i="8"/>
  <c r="AA33" i="8" s="1"/>
  <c r="AB33" i="8" s="1"/>
  <c r="AA4" i="8"/>
  <c r="Z106" i="8"/>
  <c r="AA106" i="8" s="1"/>
  <c r="AB106" i="8" s="1"/>
  <c r="Z67" i="8"/>
  <c r="AA67" i="8" s="1"/>
  <c r="AB67" i="8" s="1"/>
  <c r="Z29" i="8"/>
  <c r="AA29" i="8" s="1"/>
  <c r="AB29" i="8" s="1"/>
  <c r="Z17" i="8"/>
  <c r="AA17" i="8" s="1"/>
  <c r="AB17" i="8" s="1"/>
  <c r="Z102" i="8"/>
  <c r="AA102" i="8" s="1"/>
  <c r="AB102" i="8" s="1"/>
  <c r="Z54" i="8"/>
  <c r="AA54" i="8" s="1"/>
  <c r="AB54" i="8" s="1"/>
  <c r="AA71" i="8"/>
  <c r="AB71" i="8" s="1"/>
  <c r="AA81" i="8"/>
  <c r="AB81" i="8" s="1"/>
  <c r="AA63" i="8"/>
  <c r="AB63" i="8" s="1"/>
  <c r="AA55" i="8"/>
  <c r="AB55" i="8" s="1"/>
  <c r="AA47" i="8"/>
  <c r="AB47" i="8" s="1"/>
  <c r="AA9" i="8"/>
  <c r="AB9" i="8" s="1"/>
  <c r="AA44" i="8"/>
  <c r="AB44" i="8" s="1"/>
  <c r="AA74" i="8"/>
  <c r="AB74" i="8" s="1"/>
  <c r="AA56" i="8"/>
  <c r="AB56" i="8" s="1"/>
  <c r="AA84" i="8"/>
  <c r="AB84" i="8" s="1"/>
  <c r="AA89" i="8"/>
  <c r="AB89" i="8" s="1"/>
  <c r="AA42" i="8"/>
  <c r="AB42" i="8" s="1"/>
  <c r="AA26" i="8"/>
  <c r="AB26" i="8" s="1"/>
  <c r="AA68" i="8"/>
  <c r="AB68" i="8" s="1"/>
  <c r="AA31" i="8"/>
  <c r="AB31" i="8" s="1"/>
  <c r="AA86" i="8"/>
  <c r="AB86" i="8" s="1"/>
  <c r="AA78" i="8"/>
  <c r="AB78" i="8" s="1"/>
  <c r="AA91" i="8"/>
  <c r="AB91" i="8" s="1"/>
  <c r="AA87" i="8"/>
  <c r="AB87" i="8" s="1"/>
  <c r="AA83" i="8"/>
  <c r="AB83" i="8" s="1"/>
  <c r="AA79" i="8"/>
  <c r="AB79" i="8" s="1"/>
  <c r="AA65" i="8"/>
  <c r="AB65" i="8" s="1"/>
  <c r="AA57" i="8"/>
  <c r="AB57" i="8" s="1"/>
  <c r="AA49" i="8"/>
  <c r="AB49" i="8" s="1"/>
  <c r="AA66" i="8"/>
  <c r="AB66" i="8" s="1"/>
  <c r="AB4" i="8" l="1"/>
  <c r="AB189" i="8" s="1"/>
  <c r="AA189" i="8"/>
</calcChain>
</file>

<file path=xl/sharedStrings.xml><?xml version="1.0" encoding="utf-8"?>
<sst xmlns="http://schemas.openxmlformats.org/spreadsheetml/2006/main" count="493" uniqueCount="375">
  <si>
    <t>P [MPa]</t>
  </si>
  <si>
    <t>T [K]</t>
  </si>
  <si>
    <t>Duschek et al.</t>
  </si>
  <si>
    <t>T_c [K]</t>
  </si>
  <si>
    <t>T_c/T</t>
  </si>
  <si>
    <t>T/T_c</t>
  </si>
  <si>
    <t>1-T/T_c</t>
  </si>
  <si>
    <t>(1-T/T_c)^t2</t>
  </si>
  <si>
    <t>(1-T/T_c)^t3</t>
  </si>
  <si>
    <t>(1-T/T_c)^t4</t>
  </si>
  <si>
    <t>a1(colG)</t>
  </si>
  <si>
    <t>a2(colonnaI)</t>
  </si>
  <si>
    <t>a3(colJ)</t>
  </si>
  <si>
    <t>a4(colK)</t>
  </si>
  <si>
    <t>colE(somma di a1,a2,a3,a4)</t>
  </si>
  <si>
    <t>exp</t>
  </si>
  <si>
    <t>P_c(exp)</t>
  </si>
  <si>
    <t>P_c[MPa]</t>
  </si>
  <si>
    <t>Pcorrel</t>
  </si>
  <si>
    <t>T_t [K]</t>
  </si>
  <si>
    <t>T_t/T</t>
  </si>
  <si>
    <t>T/T_t</t>
  </si>
  <si>
    <t>1-T/T_t</t>
  </si>
  <si>
    <t>(1-T/T_t)^1.9</t>
  </si>
  <si>
    <t>a1(colF)</t>
  </si>
  <si>
    <t>a2(colH)</t>
  </si>
  <si>
    <t>a3(colI)</t>
  </si>
  <si>
    <t>colD(somma)</t>
  </si>
  <si>
    <t>P_t(exp)</t>
  </si>
  <si>
    <t>T/T_t-1</t>
  </si>
  <si>
    <t>(T/T_t-1)^2</t>
  </si>
  <si>
    <t>(1-T/T_t)^2.9</t>
  </si>
  <si>
    <t>a2(colG)</t>
  </si>
  <si>
    <t>1+somma</t>
  </si>
  <si>
    <t>P_tcolJ</t>
  </si>
  <si>
    <t>Bilkadi et al.</t>
  </si>
  <si>
    <t>T _Bi[K]</t>
  </si>
  <si>
    <t>T_corretta</t>
  </si>
  <si>
    <t>T _Mi[K]</t>
  </si>
  <si>
    <t>P [atm]</t>
  </si>
  <si>
    <t>P [mmHg]</t>
  </si>
  <si>
    <t>Michels et al.</t>
  </si>
  <si>
    <t>P[MPa]</t>
  </si>
  <si>
    <t>d[kg/m^3]</t>
  </si>
  <si>
    <t>Curve di pressione in funzione della densità per CO2</t>
  </si>
  <si>
    <t>d[10^3 mol/m^3]</t>
  </si>
  <si>
    <t>293 K</t>
  </si>
  <si>
    <t>313 K</t>
  </si>
  <si>
    <t>303 K</t>
  </si>
  <si>
    <t>288 K</t>
  </si>
  <si>
    <t>300 K</t>
  </si>
  <si>
    <t>304 K</t>
  </si>
  <si>
    <t>296 K</t>
  </si>
  <si>
    <t>200 K</t>
  </si>
  <si>
    <t>sub</t>
  </si>
  <si>
    <t>melt</t>
  </si>
  <si>
    <t>sat</t>
  </si>
  <si>
    <t>P_e[MPa]</t>
  </si>
  <si>
    <t>P_d[MPa]</t>
  </si>
  <si>
    <r>
      <rPr>
        <b/>
        <sz val="10"/>
        <rFont val="Calibri"/>
        <family val="2"/>
      </rPr>
      <t>Δ</t>
    </r>
    <r>
      <rPr>
        <b/>
        <sz val="10"/>
        <rFont val="Arial"/>
        <family val="2"/>
      </rPr>
      <t>P</t>
    </r>
  </si>
  <si>
    <t>Pcor[MPa]</t>
  </si>
  <si>
    <r>
      <t>d [kg/m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</si>
  <si>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r>
      <t>d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[kg/m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</si>
  <si>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t>Er [%]</t>
  </si>
  <si>
    <t>js</t>
  </si>
  <si>
    <t>sw</t>
  </si>
  <si>
    <t>sj-sw</t>
  </si>
  <si>
    <t>js-sw</t>
  </si>
  <si>
    <t>sj</t>
  </si>
  <si>
    <t>Δg=Δh-TΔs</t>
  </si>
  <si>
    <t>CURVA DI CORRELAZIONE (VAPOR PRESSURE)</t>
  </si>
  <si>
    <t>CURVE DI CORRELAZIONE (SUBLIMATION PRESSURE)</t>
  </si>
  <si>
    <t>CURVA DI CORRELAZ. (MELTING PRESSURE)</t>
  </si>
  <si>
    <t>CURVA DI PRESSIONE CALCOLATE CON MODELLO</t>
  </si>
  <si>
    <r>
      <t>CURVA DI PRESSIONE IN FUNZIONE DELLA DENSIT</t>
    </r>
    <r>
      <rPr>
        <sz val="11"/>
        <color theme="1"/>
        <rFont val="Calibri"/>
        <family val="2"/>
      </rPr>
      <t>À</t>
    </r>
    <r>
      <rPr>
        <sz val="11"/>
        <color theme="1"/>
        <rFont val="Calibri"/>
        <family val="2"/>
        <scheme val="minor"/>
      </rPr>
      <t xml:space="preserve"> </t>
    </r>
  </si>
  <si>
    <t>CONSIDERAZIONI SUL CAMBIO DI REFERENCE STATE</t>
  </si>
  <si>
    <r>
      <t>g</t>
    </r>
    <r>
      <rPr>
        <vertAlign val="subscript"/>
        <sz val="11"/>
        <color theme="1"/>
        <rFont val="Calibri"/>
        <family val="2"/>
        <scheme val="minor"/>
      </rPr>
      <t>SW</t>
    </r>
    <r>
      <rPr>
        <sz val="11"/>
        <color theme="1"/>
        <rFont val="Calibri"/>
        <family val="2"/>
        <scheme val="minor"/>
      </rPr>
      <t xml:space="preserve"> =g</t>
    </r>
    <r>
      <rPr>
        <vertAlign val="subscript"/>
        <sz val="11"/>
        <color theme="1"/>
        <rFont val="Calibri"/>
        <family val="2"/>
        <scheme val="minor"/>
      </rPr>
      <t>JS</t>
    </r>
    <r>
      <rPr>
        <sz val="11"/>
        <color theme="1"/>
        <rFont val="Calibri"/>
        <family val="2"/>
        <scheme val="minor"/>
      </rPr>
      <t>-Δg</t>
    </r>
  </si>
  <si>
    <t>s[J/(K*mol)]</t>
  </si>
  <si>
    <t>h[J/mol]</t>
  </si>
  <si>
    <t>T[K]</t>
  </si>
  <si>
    <t>g[J/mol]</t>
  </si>
  <si>
    <t>Δh</t>
  </si>
  <si>
    <t>Δs</t>
  </si>
  <si>
    <t>Δg</t>
  </si>
  <si>
    <r>
      <rPr>
        <b/>
        <sz val="10"/>
        <rFont val="Calibri"/>
        <family val="2"/>
      </rPr>
      <t>ρ</t>
    </r>
    <r>
      <rPr>
        <b/>
        <sz val="10"/>
        <rFont val="Arial"/>
        <family val="2"/>
      </rPr>
      <t xml:space="preserve"> [kg/m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</si>
  <si>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t>Err. Relativo (Sub. Line)</t>
  </si>
  <si>
    <t>Err. Relativo (Saturation Line)</t>
  </si>
  <si>
    <t>Err. Relativo (Melting Line)</t>
  </si>
  <si>
    <t>Err. Relativo (liquid/vapor density)</t>
  </si>
  <si>
    <t>Relative deviations of values calculated from model from correlation eq. values</t>
  </si>
  <si>
    <t>Er% corr-exp</t>
  </si>
  <si>
    <t>Er% mod-corr</t>
  </si>
  <si>
    <t>Er% mod-exp</t>
  </si>
  <si>
    <t xml:space="preserve">Diagramma di fase per CO2 </t>
  </si>
  <si>
    <t>Diagramma di fase per CO2 (nel range di interesse)</t>
  </si>
  <si>
    <t>PRESSIONI E DENSITÀ DI EQUILIBRIO CALCOLATE AD OGNI CICLO</t>
  </si>
  <si>
    <t>n</t>
  </si>
  <si>
    <t>P_e(n-1)[Pa]</t>
  </si>
  <si>
    <t>P_e(n)[Pa]</t>
  </si>
  <si>
    <r>
      <t>d_e(n-1)[kg/m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</si>
  <si>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r>
      <t>d_e(n)[kg/m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</si>
  <si>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r>
      <t>c</t>
    </r>
    <r>
      <rPr>
        <b/>
        <vertAlign val="subscript"/>
        <sz val="10"/>
        <rFont val="Arial"/>
        <family val="2"/>
      </rPr>
      <t>p</t>
    </r>
    <r>
      <rPr>
        <b/>
        <sz val="10"/>
        <rFont val="Arial"/>
        <family val="2"/>
      </rPr>
      <t>[cal/deg/mol]</t>
    </r>
  </si>
  <si>
    <r>
      <t>c</t>
    </r>
    <r>
      <rPr>
        <b/>
        <vertAlign val="subscript"/>
        <sz val="10"/>
        <rFont val="Arial"/>
        <family val="2"/>
      </rPr>
      <t>p</t>
    </r>
    <r>
      <rPr>
        <b/>
        <sz val="10"/>
        <rFont val="Arial"/>
        <family val="2"/>
      </rPr>
      <t>[J/(K mol)]</t>
    </r>
  </si>
  <si>
    <r>
      <t>c</t>
    </r>
    <r>
      <rPr>
        <b/>
        <vertAlign val="subscript"/>
        <sz val="10"/>
        <rFont val="Arial"/>
        <family val="2"/>
      </rPr>
      <t>p,calc</t>
    </r>
    <r>
      <rPr>
        <b/>
        <sz val="10"/>
        <rFont val="Arial"/>
        <family val="2"/>
      </rPr>
      <t>[J/(K mol)]</t>
    </r>
  </si>
  <si>
    <t>Giauque et al.</t>
  </si>
  <si>
    <t>Err. Relativo solid molar volume (Manzhelii et al)</t>
  </si>
  <si>
    <r>
      <t>v[cm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/mol]</t>
    </r>
  </si>
  <si>
    <r>
      <t>v[m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/mol]</t>
    </r>
  </si>
  <si>
    <r>
      <t>v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[m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/mol]</t>
    </r>
  </si>
  <si>
    <r>
      <t>d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[kg/m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</si>
  <si>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t>Err. Relativo solid molar volume (Maass et al)</t>
  </si>
  <si>
    <r>
      <t>d</t>
    </r>
    <r>
      <rPr>
        <b/>
        <sz val="10"/>
        <rFont val="Arial"/>
        <family val="2"/>
      </rPr>
      <t>[kg/m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</si>
  <si>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t>Magee et al.</t>
  </si>
  <si>
    <t>Err. Relativo (Giauque isobaric heat capacity)</t>
  </si>
  <si>
    <r>
      <t>c</t>
    </r>
    <r>
      <rPr>
        <b/>
        <vertAlign val="subscript"/>
        <sz val="10"/>
        <rFont val="Arial"/>
        <family val="2"/>
      </rPr>
      <t>v</t>
    </r>
    <r>
      <rPr>
        <b/>
        <sz val="10"/>
        <rFont val="Arial"/>
        <family val="2"/>
      </rPr>
      <t>[J/(K mol)]</t>
    </r>
  </si>
  <si>
    <r>
      <t>c</t>
    </r>
    <r>
      <rPr>
        <b/>
        <vertAlign val="subscript"/>
        <sz val="10"/>
        <rFont val="Arial"/>
        <family val="2"/>
      </rPr>
      <t>v,calc</t>
    </r>
    <r>
      <rPr>
        <b/>
        <sz val="10"/>
        <rFont val="Arial"/>
        <family val="2"/>
      </rPr>
      <t>[J/(K mol)]</t>
    </r>
  </si>
  <si>
    <t>56,81</t>
  </si>
  <si>
    <t>Err. Relativo (Magee isochoric heat capacity)</t>
  </si>
  <si>
    <t>Err. Relativo (surface tension)</t>
  </si>
  <si>
    <t>Surface tension</t>
  </si>
  <si>
    <t>Quinn, Jasper, Muratov et al.</t>
  </si>
  <si>
    <r>
      <t>Z</t>
    </r>
    <r>
      <rPr>
        <b/>
        <vertAlign val="subscript"/>
        <sz val="10"/>
        <rFont val="Arial"/>
        <family val="2"/>
      </rPr>
      <t>c</t>
    </r>
  </si>
  <si>
    <r>
      <t>T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[K]</t>
    </r>
  </si>
  <si>
    <r>
      <t>P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[bar]</t>
    </r>
  </si>
  <si>
    <r>
      <t>Er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 xml:space="preserve"> [%]</t>
    </r>
  </si>
  <si>
    <t>ω</t>
  </si>
  <si>
    <r>
      <t>Er</t>
    </r>
    <r>
      <rPr>
        <b/>
        <vertAlign val="subscript"/>
        <sz val="10"/>
        <rFont val="Arial"/>
        <family val="2"/>
      </rPr>
      <t>P</t>
    </r>
    <r>
      <rPr>
        <b/>
        <sz val="10"/>
        <rFont val="Arial"/>
        <family val="2"/>
      </rPr>
      <t xml:space="preserve"> [%]</t>
    </r>
  </si>
  <si>
    <r>
      <t>Er</t>
    </r>
    <r>
      <rPr>
        <b/>
        <vertAlign val="subscript"/>
        <sz val="10"/>
        <rFont val="Arial"/>
        <family val="2"/>
      </rPr>
      <t>Mi</t>
    </r>
    <r>
      <rPr>
        <b/>
        <sz val="10"/>
        <rFont val="Arial"/>
        <family val="2"/>
      </rPr>
      <t xml:space="preserve"> [%]</t>
    </r>
  </si>
  <si>
    <r>
      <t>Er</t>
    </r>
    <r>
      <rPr>
        <b/>
        <vertAlign val="subscript"/>
        <sz val="10"/>
        <rFont val="Arial"/>
        <family val="2"/>
      </rPr>
      <t>Mu</t>
    </r>
    <r>
      <rPr>
        <b/>
        <sz val="10"/>
        <rFont val="Arial"/>
        <family val="2"/>
      </rPr>
      <t>[%]</t>
    </r>
  </si>
  <si>
    <r>
      <t>Er</t>
    </r>
    <r>
      <rPr>
        <b/>
        <vertAlign val="subscript"/>
        <sz val="10"/>
        <rFont val="Arial"/>
        <family val="2"/>
      </rPr>
      <t>H</t>
    </r>
    <r>
      <rPr>
        <b/>
        <sz val="10"/>
        <rFont val="Arial"/>
        <family val="2"/>
      </rPr>
      <t xml:space="preserve"> [%]</t>
    </r>
  </si>
  <si>
    <r>
      <t>Er</t>
    </r>
    <r>
      <rPr>
        <b/>
        <vertAlign val="subscript"/>
        <sz val="10"/>
        <rFont val="Arial"/>
        <family val="2"/>
      </rPr>
      <t>Z</t>
    </r>
    <r>
      <rPr>
        <b/>
        <sz val="10"/>
        <rFont val="Arial"/>
        <family val="2"/>
      </rPr>
      <t xml:space="preserve"> [%]</t>
    </r>
  </si>
  <si>
    <r>
      <rPr>
        <b/>
        <sz val="12"/>
        <rFont val="Calibri"/>
        <family val="2"/>
      </rPr>
      <t>σ</t>
    </r>
    <r>
      <rPr>
        <b/>
        <vertAlign val="subscript"/>
        <sz val="10"/>
        <rFont val="Arial"/>
        <family val="2"/>
      </rPr>
      <t>Miqueu</t>
    </r>
    <r>
      <rPr>
        <b/>
        <sz val="10"/>
        <rFont val="Arial"/>
        <family val="2"/>
      </rPr>
      <t xml:space="preserve"> [mN/m]</t>
    </r>
  </si>
  <si>
    <r>
      <rPr>
        <b/>
        <sz val="11"/>
        <rFont val="Arial"/>
        <family val="2"/>
      </rPr>
      <t>σ</t>
    </r>
    <r>
      <rPr>
        <b/>
        <vertAlign val="subscript"/>
        <sz val="10"/>
        <rFont val="Arial"/>
        <family val="2"/>
      </rPr>
      <t>Zuo</t>
    </r>
    <r>
      <rPr>
        <b/>
        <sz val="10"/>
        <rFont val="Arial"/>
        <family val="2"/>
      </rPr>
      <t xml:space="preserve"> [mN/m]</t>
    </r>
  </si>
  <si>
    <r>
      <rPr>
        <b/>
        <sz val="11"/>
        <rFont val="Arial"/>
        <family val="2"/>
      </rPr>
      <t>σ</t>
    </r>
    <r>
      <rPr>
        <b/>
        <vertAlign val="subscript"/>
        <sz val="10"/>
        <rFont val="Arial"/>
        <family val="2"/>
      </rPr>
      <t>Pitzer</t>
    </r>
    <r>
      <rPr>
        <b/>
        <sz val="10"/>
        <rFont val="Arial"/>
        <family val="2"/>
      </rPr>
      <t xml:space="preserve"> [mN/m]</t>
    </r>
  </si>
  <si>
    <r>
      <rPr>
        <b/>
        <sz val="11"/>
        <rFont val="Arial"/>
        <family val="2"/>
      </rPr>
      <t>σ</t>
    </r>
    <r>
      <rPr>
        <b/>
        <vertAlign val="subscript"/>
        <sz val="10"/>
        <rFont val="Arial"/>
        <family val="2"/>
      </rPr>
      <t>Brock</t>
    </r>
    <r>
      <rPr>
        <b/>
        <sz val="10"/>
        <rFont val="Arial"/>
        <family val="2"/>
      </rPr>
      <t xml:space="preserve"> [mN/m]</t>
    </r>
  </si>
  <si>
    <r>
      <rPr>
        <b/>
        <sz val="11"/>
        <rFont val="Arial"/>
        <family val="2"/>
      </rPr>
      <t>σ</t>
    </r>
    <r>
      <rPr>
        <b/>
        <vertAlign val="subscript"/>
        <sz val="10"/>
        <rFont val="Arial"/>
        <family val="2"/>
      </rPr>
      <t>exp</t>
    </r>
    <r>
      <rPr>
        <b/>
        <sz val="10"/>
        <rFont val="Arial"/>
        <family val="2"/>
      </rPr>
      <t xml:space="preserve"> [mN/m]</t>
    </r>
  </si>
  <si>
    <r>
      <rPr>
        <b/>
        <sz val="11"/>
        <rFont val="Arial"/>
        <family val="2"/>
      </rPr>
      <t>σ</t>
    </r>
    <r>
      <rPr>
        <b/>
        <vertAlign val="subscript"/>
        <sz val="10"/>
        <rFont val="Arial"/>
        <family val="2"/>
      </rPr>
      <t>Mulero</t>
    </r>
    <r>
      <rPr>
        <b/>
        <sz val="10"/>
        <rFont val="Arial"/>
        <family val="2"/>
      </rPr>
      <t xml:space="preserve"> [mN/m]</t>
    </r>
  </si>
  <si>
    <t>ω1</t>
  </si>
  <si>
    <t>ω2</t>
  </si>
  <si>
    <t>Reference</t>
  </si>
  <si>
    <t>Jasper</t>
  </si>
  <si>
    <t xml:space="preserve"> Muratov et al.</t>
  </si>
  <si>
    <t>Quinn</t>
  </si>
  <si>
    <r>
      <t>APD</t>
    </r>
    <r>
      <rPr>
        <b/>
        <vertAlign val="subscript"/>
        <sz val="10"/>
        <rFont val="Arial"/>
        <family val="2"/>
      </rPr>
      <t>Mu</t>
    </r>
    <r>
      <rPr>
        <b/>
        <sz val="10"/>
        <rFont val="Arial"/>
        <family val="2"/>
      </rPr>
      <t>[%]</t>
    </r>
  </si>
  <si>
    <r>
      <rPr>
        <sz val="11"/>
        <color rgb="FFFF0000"/>
        <rFont val="Calibri"/>
        <family val="2"/>
        <scheme val="minor"/>
      </rPr>
      <t>0.0801x</t>
    </r>
    <r>
      <rPr>
        <vertAlign val="superscript"/>
        <sz val="11"/>
        <color rgb="FFFF0000"/>
        <rFont val="Calibri"/>
        <family val="2"/>
        <scheme val="minor"/>
      </rPr>
      <t>1.256</t>
    </r>
  </si>
  <si>
    <t>BIAS% - AAD%</t>
  </si>
  <si>
    <r>
      <t>APD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[%]</t>
    </r>
  </si>
  <si>
    <r>
      <t>APD</t>
    </r>
    <r>
      <rPr>
        <b/>
        <vertAlign val="subscript"/>
        <sz val="10"/>
        <rFont val="Arial"/>
        <family val="2"/>
      </rPr>
      <t>P</t>
    </r>
    <r>
      <rPr>
        <b/>
        <sz val="10"/>
        <rFont val="Arial"/>
        <family val="2"/>
      </rPr>
      <t>[%]</t>
    </r>
  </si>
  <si>
    <r>
      <t>APD</t>
    </r>
    <r>
      <rPr>
        <b/>
        <vertAlign val="subscript"/>
        <sz val="10"/>
        <rFont val="Arial"/>
        <family val="2"/>
      </rPr>
      <t>Mi</t>
    </r>
    <r>
      <rPr>
        <b/>
        <sz val="10"/>
        <rFont val="Arial"/>
        <family val="2"/>
      </rPr>
      <t>[%]</t>
    </r>
  </si>
  <si>
    <r>
      <t>APD</t>
    </r>
    <r>
      <rPr>
        <b/>
        <vertAlign val="subscript"/>
        <sz val="10"/>
        <rFont val="Arial"/>
        <family val="2"/>
      </rPr>
      <t>H</t>
    </r>
    <r>
      <rPr>
        <b/>
        <sz val="10"/>
        <rFont val="Arial"/>
        <family val="2"/>
      </rPr>
      <t>[%]</t>
    </r>
  </si>
  <si>
    <r>
      <t>APD</t>
    </r>
    <r>
      <rPr>
        <b/>
        <vertAlign val="subscript"/>
        <sz val="10"/>
        <rFont val="Arial"/>
        <family val="2"/>
      </rPr>
      <t>Z</t>
    </r>
    <r>
      <rPr>
        <b/>
        <sz val="10"/>
        <rFont val="Arial"/>
        <family val="2"/>
      </rPr>
      <t>[%]</t>
    </r>
  </si>
  <si>
    <t>BIAS*% - AAD*%</t>
  </si>
  <si>
    <r>
      <rPr>
        <b/>
        <sz val="11"/>
        <rFont val="Arial"/>
        <family val="2"/>
      </rPr>
      <t>σ</t>
    </r>
    <r>
      <rPr>
        <b/>
        <vertAlign val="subscript"/>
        <sz val="10"/>
        <rFont val="Arial"/>
        <family val="2"/>
      </rPr>
      <t>Hakim</t>
    </r>
    <r>
      <rPr>
        <b/>
        <sz val="10"/>
        <rFont val="Arial"/>
        <family val="2"/>
      </rPr>
      <t xml:space="preserve"> [mN/m] with x=0</t>
    </r>
  </si>
  <si>
    <r>
      <rPr>
        <b/>
        <sz val="11"/>
        <rFont val="Arial"/>
        <family val="2"/>
      </rPr>
      <t>σ</t>
    </r>
    <r>
      <rPr>
        <b/>
        <vertAlign val="subscript"/>
        <sz val="10"/>
        <rFont val="Arial"/>
        <family val="2"/>
      </rPr>
      <t>Jasper</t>
    </r>
    <r>
      <rPr>
        <b/>
        <sz val="10"/>
        <rFont val="Arial"/>
        <family val="2"/>
      </rPr>
      <t xml:space="preserve"> [mN/m]</t>
    </r>
  </si>
  <si>
    <r>
      <t>Er</t>
    </r>
    <r>
      <rPr>
        <b/>
        <vertAlign val="subscript"/>
        <sz val="10"/>
        <rFont val="Arial"/>
        <family val="2"/>
      </rPr>
      <t>J</t>
    </r>
    <r>
      <rPr>
        <b/>
        <sz val="10"/>
        <rFont val="Arial"/>
        <family val="2"/>
      </rPr>
      <t xml:space="preserve"> [%]</t>
    </r>
  </si>
  <si>
    <r>
      <t>APD</t>
    </r>
    <r>
      <rPr>
        <b/>
        <vertAlign val="subscript"/>
        <sz val="10"/>
        <rFont val="Arial"/>
        <family val="2"/>
      </rPr>
      <t>J</t>
    </r>
    <r>
      <rPr>
        <b/>
        <sz val="10"/>
        <rFont val="Arial"/>
        <family val="2"/>
      </rPr>
      <t>[%]</t>
    </r>
  </si>
  <si>
    <t>Method</t>
  </si>
  <si>
    <t xml:space="preserve">capillary tube </t>
  </si>
  <si>
    <t>capillary rise</t>
  </si>
  <si>
    <t>(243.15 K - 303.15 K)</t>
  </si>
  <si>
    <t>(220.95 K - 298.15 K)</t>
  </si>
  <si>
    <t>(216.55 K - 302 K)</t>
  </si>
  <si>
    <r>
      <rPr>
        <b/>
        <sz val="11"/>
        <rFont val="Arial"/>
        <family val="2"/>
      </rPr>
      <t>ρ</t>
    </r>
    <r>
      <rPr>
        <b/>
        <sz val="10"/>
        <rFont val="Arial"/>
        <family val="2"/>
      </rPr>
      <t xml:space="preserve"> [kg/m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</si>
  <si>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exp</t>
    </r>
    <r>
      <rPr>
        <b/>
        <sz val="10"/>
        <rFont val="Arial"/>
        <family val="2"/>
      </rPr>
      <t xml:space="preserve"> [μPa s]</t>
    </r>
  </si>
  <si>
    <t>Err. Relativo (viscosity)</t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</si>
  <si>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[mPa s]</t>
    </r>
  </si>
  <si>
    <r>
      <rPr>
        <b/>
        <sz val="11"/>
        <rFont val="Arial"/>
        <family val="2"/>
      </rPr>
      <t>a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</si>
  <si>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a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</si>
  <si>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a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</si>
  <si>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a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</si>
  <si>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a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</si>
  <si>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a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</si>
  <si>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a</t>
    </r>
    <r>
      <rPr>
        <b/>
        <vertAlign val="subscript"/>
        <sz val="10"/>
        <rFont val="Arial"/>
        <family val="2"/>
      </rPr>
      <t>6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</si>
  <si>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B*</t>
    </r>
    <r>
      <rPr>
        <b/>
        <vertAlign val="subscript"/>
        <sz val="10"/>
        <rFont val="Arial"/>
        <family val="2"/>
      </rPr>
      <t>η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</si>
  <si>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[mPa s/kg 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]</t>
    </r>
  </si>
  <si>
    <r>
      <rPr>
        <b/>
        <sz val="11"/>
        <rFont val="Arial"/>
        <family val="2"/>
      </rPr>
      <t>Δη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[mPa s]</t>
    </r>
  </si>
  <si>
    <r>
      <t>σ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N</t>
    </r>
    <r>
      <rPr>
        <b/>
        <vertAlign val="subscript"/>
        <sz val="10"/>
        <rFont val="Arial"/>
        <family val="2"/>
      </rPr>
      <t>A</t>
    </r>
    <r>
      <rPr>
        <b/>
        <sz val="10"/>
        <rFont val="Arial"/>
        <family val="2"/>
      </rPr>
      <t xml:space="preserve"> /M</t>
    </r>
  </si>
  <si>
    <r>
      <t>k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 xml:space="preserve"> /</t>
    </r>
    <r>
      <rPr>
        <b/>
        <sz val="11"/>
        <rFont val="Arial"/>
        <family val="2"/>
      </rPr>
      <t>ε</t>
    </r>
  </si>
  <si>
    <r>
      <t>Er</t>
    </r>
    <r>
      <rPr>
        <b/>
        <vertAlign val="subscript"/>
        <sz val="10"/>
        <rFont val="Arial"/>
        <family val="2"/>
      </rPr>
      <t>L</t>
    </r>
    <r>
      <rPr>
        <b/>
        <sz val="10"/>
        <rFont val="Arial"/>
        <family val="2"/>
      </rPr>
      <t>[%]</t>
    </r>
  </si>
  <si>
    <r>
      <t>λ</t>
    </r>
    <r>
      <rPr>
        <b/>
        <vertAlign val="subscript"/>
        <sz val="10"/>
        <rFont val="Arial"/>
        <family val="2"/>
      </rPr>
      <t>exp</t>
    </r>
    <r>
      <rPr>
        <b/>
        <sz val="10"/>
        <rFont val="Arial"/>
        <family val="2"/>
      </rPr>
      <t xml:space="preserve"> [W/(m K)]</t>
    </r>
  </si>
  <si>
    <t>Err. Relativo (thermal conductivity)</t>
  </si>
  <si>
    <r>
      <t>λ</t>
    </r>
    <r>
      <rPr>
        <b/>
        <vertAlign val="subscript"/>
        <sz val="10"/>
        <rFont val="Arial"/>
        <family val="2"/>
      </rPr>
      <t>Huber</t>
    </r>
    <r>
      <rPr>
        <b/>
        <sz val="10"/>
        <rFont val="Arial"/>
        <family val="2"/>
      </rPr>
      <t xml:space="preserve"> [W/(m K)]</t>
    </r>
  </si>
  <si>
    <r>
      <t>Er</t>
    </r>
    <r>
      <rPr>
        <b/>
        <vertAlign val="subscript"/>
        <sz val="10"/>
        <rFont val="Arial"/>
        <family val="2"/>
      </rPr>
      <t>H</t>
    </r>
    <r>
      <rPr>
        <b/>
        <sz val="10"/>
        <rFont val="Arial"/>
        <family val="2"/>
      </rPr>
      <t>[%]</t>
    </r>
  </si>
  <si>
    <r>
      <t>λ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[mW/(m K)]</t>
    </r>
  </si>
  <si>
    <t>Δλ [W/(m K)]</t>
  </si>
  <si>
    <r>
      <rPr>
        <b/>
        <sz val="11"/>
        <rFont val="Arial"/>
        <family val="2"/>
      </rPr>
      <t>B</t>
    </r>
    <r>
      <rPr>
        <b/>
        <vertAlign val="subscript"/>
        <sz val="10"/>
        <rFont val="Arial"/>
        <family val="2"/>
      </rPr>
      <t>2,i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</si>
  <si>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B</t>
    </r>
    <r>
      <rPr>
        <b/>
        <vertAlign val="subscript"/>
        <sz val="10"/>
        <rFont val="Arial"/>
        <family val="2"/>
      </rPr>
      <t>1,i</t>
    </r>
    <r>
      <rPr>
        <b/>
        <sz val="10"/>
        <rFont val="Arial"/>
        <family val="2"/>
      </rPr>
      <t xml:space="preserve"> </t>
    </r>
  </si>
  <si>
    <r>
      <t>Δλ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 xml:space="preserve"> [mW/(m K)]</t>
    </r>
  </si>
  <si>
    <r>
      <rPr>
        <b/>
        <sz val="11"/>
        <rFont val="Arial"/>
        <family val="2"/>
      </rPr>
      <t>ρ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</si>
  <si>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exp</t>
    </r>
    <r>
      <rPr>
        <b/>
        <sz val="10"/>
        <rFont val="Arial"/>
        <family val="2"/>
      </rPr>
      <t xml:space="preserve"> [mPa s]</t>
    </r>
  </si>
  <si>
    <t xml:space="preserve"> model [10]</t>
  </si>
  <si>
    <t xml:space="preserve"> T = 300 K [6]</t>
  </si>
  <si>
    <t xml:space="preserve"> T = 307 K [6]</t>
  </si>
  <si>
    <t xml:space="preserve"> T = 220 K (model)</t>
  </si>
  <si>
    <t xml:space="preserve"> T = 280 K (model)</t>
  </si>
  <si>
    <t xml:space="preserve"> T = 303 K (model)</t>
  </si>
  <si>
    <t xml:space="preserve"> T = 305 K (model)</t>
  </si>
  <si>
    <t xml:space="preserve"> T = 310 K (model)</t>
  </si>
  <si>
    <t xml:space="preserve"> T = 320 K (model)</t>
  </si>
  <si>
    <t xml:space="preserve"> T = 313 K (model)</t>
  </si>
  <si>
    <t xml:space="preserve"> T = 297 K (model)</t>
  </si>
  <si>
    <t xml:space="preserve"> model 1 [10]</t>
  </si>
  <si>
    <t xml:space="preserve"> exp. data [12]</t>
  </si>
  <si>
    <t xml:space="preserve"> exp. data [13]</t>
  </si>
  <si>
    <t xml:space="preserve"> exp. data [11]</t>
  </si>
  <si>
    <t xml:space="preserve"> exp. data [21]</t>
  </si>
  <si>
    <t xml:space="preserve"> exp. data [19]</t>
  </si>
  <si>
    <t xml:space="preserve"> exp. data [20]</t>
  </si>
  <si>
    <t xml:space="preserve"> exp. data [9]</t>
  </si>
  <si>
    <t xml:space="preserve"> model</t>
  </si>
  <si>
    <t xml:space="preserve"> exp. data [8]</t>
  </si>
  <si>
    <t xml:space="preserve"> exp. data [3]</t>
  </si>
  <si>
    <t xml:space="preserve"> exp. data [4]</t>
  </si>
  <si>
    <t xml:space="preserve"> exp. data [7]</t>
  </si>
  <si>
    <t xml:space="preserve"> exp. data [6]</t>
  </si>
  <si>
    <t xml:space="preserve"> T = 240 K (model)</t>
  </si>
  <si>
    <t xml:space="preserve"> exp. data [5]</t>
  </si>
  <si>
    <t xml:space="preserve"> T = 308 (exp. data [19])</t>
  </si>
  <si>
    <t xml:space="preserve"> T = 303 (exp. data [19])</t>
  </si>
  <si>
    <t xml:space="preserve"> T = 300 (exp. data [19])</t>
  </si>
  <si>
    <t xml:space="preserve"> T = 280 (exp. data [19]) </t>
  </si>
  <si>
    <t xml:space="preserve"> T = 260 (exp. data [19]) </t>
  </si>
  <si>
    <t xml:space="preserve"> T = 240 (exp. data [19]) </t>
  </si>
  <si>
    <t xml:space="preserve"> T = 230 (exp. data [19]) </t>
  </si>
  <si>
    <t xml:space="preserve"> T = 220 (exp. data [19]) </t>
  </si>
  <si>
    <t xml:space="preserve"> T = 220 K (exp. data [6])</t>
  </si>
  <si>
    <t xml:space="preserve"> T = 240 K (exp. data [6])</t>
  </si>
  <si>
    <t xml:space="preserve"> T = 280 K (exp. data [6])</t>
  </si>
  <si>
    <t xml:space="preserve"> T = 297 K (exp. data [6])</t>
  </si>
  <si>
    <t xml:space="preserve"> T = 303 K (exp. data [6])</t>
  </si>
  <si>
    <t xml:space="preserve"> T = 305 K (exp. data [6])</t>
  </si>
  <si>
    <t xml:space="preserve"> T = 310 K (exp. data [6])</t>
  </si>
  <si>
    <t xml:space="preserve"> T = 313 K (exp. data [6])</t>
  </si>
  <si>
    <t xml:space="preserve"> T = 320 K (exp. data [6])</t>
  </si>
  <si>
    <t>Viscosity</t>
  </si>
  <si>
    <t xml:space="preserve"> T = 298 (exp. data [20])</t>
  </si>
  <si>
    <t xml:space="preserve"> T = 323 (exp. data [20])</t>
  </si>
  <si>
    <t xml:space="preserve"> T = 253 (exp. data [20])</t>
  </si>
  <si>
    <t xml:space="preserve"> T = 273 (exp. data [20])</t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</si>
  <si>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Laesecke</t>
    </r>
    <r>
      <rPr>
        <b/>
        <sz val="10"/>
        <rFont val="Arial"/>
        <family val="2"/>
      </rPr>
      <t xml:space="preserve"> [mPa s]</t>
    </r>
  </si>
  <si>
    <t>van der Gulik</t>
  </si>
  <si>
    <t>(220 K - 308 K)</t>
  </si>
  <si>
    <t>Estrada et al.</t>
  </si>
  <si>
    <t>(220 K - 310 K)</t>
  </si>
  <si>
    <t>Schafer et al.</t>
  </si>
  <si>
    <t>(253.15 K - 323.16 K)</t>
  </si>
  <si>
    <t>Exp. Data</t>
  </si>
  <si>
    <r>
      <t>APD</t>
    </r>
    <r>
      <rPr>
        <b/>
        <vertAlign val="subscript"/>
        <sz val="10"/>
        <rFont val="Arial"/>
        <family val="2"/>
      </rPr>
      <t>L</t>
    </r>
    <r>
      <rPr>
        <b/>
        <sz val="10"/>
        <rFont val="Arial"/>
        <family val="2"/>
      </rPr>
      <t>[%]</t>
    </r>
  </si>
  <si>
    <r>
      <rPr>
        <b/>
        <sz val="11"/>
        <rFont val="Arial"/>
        <family val="2"/>
      </rPr>
      <t>Ω</t>
    </r>
    <r>
      <rPr>
        <b/>
        <vertAlign val="subscript"/>
        <sz val="10"/>
        <rFont val="Arial"/>
        <family val="2"/>
      </rPr>
      <t>v</t>
    </r>
    <r>
      <rPr>
        <b/>
        <sz val="10"/>
        <rFont val="Arial"/>
        <family val="2"/>
      </rPr>
      <t xml:space="preserve"> </t>
    </r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</si>
  <si>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Kim</t>
    </r>
    <r>
      <rPr>
        <b/>
        <sz val="10"/>
        <rFont val="Arial"/>
        <family val="2"/>
      </rPr>
      <t xml:space="preserve"> [mPa s]</t>
    </r>
  </si>
  <si>
    <r>
      <t>Er</t>
    </r>
    <r>
      <rPr>
        <b/>
        <vertAlign val="subscript"/>
        <sz val="10"/>
        <rFont val="Arial"/>
        <family val="2"/>
      </rPr>
      <t>K</t>
    </r>
    <r>
      <rPr>
        <b/>
        <sz val="10"/>
        <rFont val="Arial"/>
        <family val="2"/>
      </rPr>
      <t>[%]</t>
    </r>
  </si>
  <si>
    <r>
      <t>APD</t>
    </r>
    <r>
      <rPr>
        <b/>
        <vertAlign val="subscript"/>
        <sz val="10"/>
        <rFont val="Arial"/>
        <family val="2"/>
      </rPr>
      <t>K</t>
    </r>
    <r>
      <rPr>
        <b/>
        <sz val="10"/>
        <rFont val="Arial"/>
        <family val="2"/>
      </rPr>
      <t>[%]</t>
    </r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</si>
  <si>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Chung</t>
    </r>
    <r>
      <rPr>
        <b/>
        <sz val="10"/>
        <rFont val="Arial"/>
        <family val="2"/>
      </rPr>
      <t xml:space="preserve"> [mPa s]</t>
    </r>
  </si>
  <si>
    <r>
      <t>Er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[%]</t>
    </r>
  </si>
  <si>
    <t xml:space="preserve"> model 2 [11]</t>
  </si>
  <si>
    <t xml:space="preserve"> model 3 [14]</t>
  </si>
  <si>
    <t xml:space="preserve"> model 4 [15]</t>
  </si>
  <si>
    <t xml:space="preserve"> model 5 [16]</t>
  </si>
  <si>
    <t xml:space="preserve"> model 6 [17]</t>
  </si>
  <si>
    <t xml:space="preserve"> model 7 [18]</t>
  </si>
  <si>
    <r>
      <t>APD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[%]</t>
    </r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</si>
  <si>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Lucas</t>
    </r>
    <r>
      <rPr>
        <b/>
        <sz val="10"/>
        <rFont val="Arial"/>
        <family val="2"/>
      </rPr>
      <t xml:space="preserve"> [mPa s]</t>
    </r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</si>
  <si>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Jossi</t>
    </r>
    <r>
      <rPr>
        <b/>
        <sz val="10"/>
        <rFont val="Arial"/>
        <family val="2"/>
      </rPr>
      <t xml:space="preserve"> [mPa s]</t>
    </r>
  </si>
  <si>
    <r>
      <t>Er</t>
    </r>
    <r>
      <rPr>
        <b/>
        <vertAlign val="subscript"/>
        <sz val="10"/>
        <rFont val="Arial"/>
        <family val="2"/>
      </rPr>
      <t>J</t>
    </r>
    <r>
      <rPr>
        <b/>
        <sz val="10"/>
        <rFont val="Arial"/>
        <family val="2"/>
      </rPr>
      <t>[%]</t>
    </r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</si>
  <si>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Diller</t>
    </r>
    <r>
      <rPr>
        <b/>
        <sz val="10"/>
        <rFont val="Arial"/>
        <family val="2"/>
      </rPr>
      <t xml:space="preserve"> [mPa s]</t>
    </r>
  </si>
  <si>
    <r>
      <t>Er</t>
    </r>
    <r>
      <rPr>
        <b/>
        <vertAlign val="subscript"/>
        <sz val="10"/>
        <rFont val="Arial"/>
        <family val="2"/>
      </rPr>
      <t>D</t>
    </r>
    <r>
      <rPr>
        <b/>
        <sz val="10"/>
        <rFont val="Arial"/>
        <family val="2"/>
      </rPr>
      <t>[%]</t>
    </r>
  </si>
  <si>
    <r>
      <t>APD</t>
    </r>
    <r>
      <rPr>
        <b/>
        <vertAlign val="subscript"/>
        <sz val="10"/>
        <rFont val="Arial"/>
        <family val="2"/>
      </rPr>
      <t>D</t>
    </r>
    <r>
      <rPr>
        <b/>
        <sz val="10"/>
        <rFont val="Arial"/>
        <family val="2"/>
      </rPr>
      <t>[%]</t>
    </r>
  </si>
  <si>
    <r>
      <rPr>
        <b/>
        <sz val="11"/>
        <rFont val="Arial"/>
        <family val="2"/>
      </rPr>
      <t>η</t>
    </r>
    <r>
      <rPr>
        <b/>
        <vertAlign val="subscript"/>
        <sz val="10"/>
        <rFont val="Arial"/>
        <family val="2"/>
      </rPr>
      <t>Vesovic</t>
    </r>
    <r>
      <rPr>
        <b/>
        <sz val="10"/>
        <rFont val="Arial"/>
        <family val="2"/>
      </rPr>
      <t xml:space="preserve"> [mPa s]</t>
    </r>
  </si>
  <si>
    <r>
      <t>Er</t>
    </r>
    <r>
      <rPr>
        <b/>
        <vertAlign val="subscript"/>
        <sz val="10"/>
        <rFont val="Arial"/>
        <family val="2"/>
      </rPr>
      <t>V</t>
    </r>
    <r>
      <rPr>
        <b/>
        <sz val="10"/>
        <rFont val="Arial"/>
        <family val="2"/>
      </rPr>
      <t>[%]</t>
    </r>
  </si>
  <si>
    <r>
      <t>APD</t>
    </r>
    <r>
      <rPr>
        <b/>
        <vertAlign val="subscript"/>
        <sz val="10"/>
        <rFont val="Arial"/>
        <family val="2"/>
      </rPr>
      <t>V</t>
    </r>
    <r>
      <rPr>
        <b/>
        <sz val="10"/>
        <rFont val="Arial"/>
        <family val="2"/>
      </rPr>
      <t>[%]</t>
    </r>
  </si>
  <si>
    <t xml:space="preserve"> T = 220 (exp. data [21])</t>
  </si>
  <si>
    <t xml:space="preserve"> T = 235 (exp. data [21])</t>
  </si>
  <si>
    <t xml:space="preserve"> T = 250 (exp. data [21])</t>
  </si>
  <si>
    <t xml:space="preserve"> T = 270 (exp. data [21])</t>
  </si>
  <si>
    <t xml:space="preserve"> T = 300 (exp. data [21])</t>
  </si>
  <si>
    <t xml:space="preserve"> T = 285 (exp. data [21])</t>
  </si>
  <si>
    <t xml:space="preserve"> T = 304.77 (exp. data [21])</t>
  </si>
  <si>
    <t xml:space="preserve"> T = 304.77 (model [22])</t>
  </si>
  <si>
    <t xml:space="preserve"> T = 300 (model [22])</t>
  </si>
  <si>
    <t xml:space="preserve"> T = 270 (model [22])</t>
  </si>
  <si>
    <t xml:space="preserve"> T = 250 (model [22])</t>
  </si>
  <si>
    <t xml:space="preserve"> T = 235 (model [22])</t>
  </si>
  <si>
    <t xml:space="preserve"> T = 220 (model [22])</t>
  </si>
  <si>
    <t xml:space="preserve"> T = 273 (model [22])</t>
  </si>
  <si>
    <t xml:space="preserve"> T = 253 (model [22])</t>
  </si>
  <si>
    <t xml:space="preserve"> T = 323 (model [22])</t>
  </si>
  <si>
    <t xml:space="preserve"> T = 298 (model [22])</t>
  </si>
  <si>
    <t xml:space="preserve"> T = 308 (model [22])</t>
  </si>
  <si>
    <t xml:space="preserve"> T = 303 (model [22])</t>
  </si>
  <si>
    <t xml:space="preserve"> T = 260 (model [22]) </t>
  </si>
  <si>
    <t xml:space="preserve"> T = 280 (model [22]) </t>
  </si>
  <si>
    <t xml:space="preserve"> T = 240 (model [22])</t>
  </si>
  <si>
    <t xml:space="preserve"> T = 230 (model [22])</t>
  </si>
  <si>
    <t xml:space="preserve"> T = 220 (model [22]) </t>
  </si>
  <si>
    <t xml:space="preserve"> model 1 [22]</t>
  </si>
  <si>
    <t xml:space="preserve"> model 2 [23]</t>
  </si>
  <si>
    <t xml:space="preserve"> model 3 [24]</t>
  </si>
  <si>
    <t xml:space="preserve"> model 4 [25]</t>
  </si>
  <si>
    <t xml:space="preserve"> model 5 [26]</t>
  </si>
  <si>
    <t xml:space="preserve"> model 6 [27]</t>
  </si>
  <si>
    <t xml:space="preserve"> exp. data [28]</t>
  </si>
  <si>
    <t xml:space="preserve"> exp. data [29]</t>
  </si>
  <si>
    <t xml:space="preserve"> exp. data [30]</t>
  </si>
  <si>
    <t>N. A.</t>
  </si>
  <si>
    <t>Method:</t>
  </si>
  <si>
    <t>Vibrating wire</t>
  </si>
  <si>
    <t>Greenspan acoustic</t>
  </si>
  <si>
    <t>viscometer</t>
  </si>
  <si>
    <t>Rotating cylinder</t>
  </si>
  <si>
    <t>Zheng et al.</t>
  </si>
  <si>
    <t>(298.45 K)</t>
  </si>
  <si>
    <t>Clifford et al.</t>
  </si>
  <si>
    <t>(301.3 K - 303.6 K)</t>
  </si>
  <si>
    <t>Guildner</t>
  </si>
  <si>
    <t>(276.8 K - 314.4 K)</t>
  </si>
  <si>
    <t xml:space="preserve"> T = 285 (model [22])</t>
  </si>
  <si>
    <r>
      <rPr>
        <b/>
        <sz val="11"/>
        <color theme="1"/>
        <rFont val="Calibri"/>
        <family val="2"/>
        <scheme val="minor"/>
      </rPr>
      <t>Viscosity</t>
    </r>
    <r>
      <rPr>
        <sz val="11"/>
        <color theme="1"/>
        <rFont val="Calibri"/>
        <family val="2"/>
        <scheme val="minor"/>
      </rPr>
      <t xml:space="preserve"> (low density)</t>
    </r>
  </si>
  <si>
    <r>
      <t xml:space="preserve">Relative deviations of values calculated from differnt model from experimental </t>
    </r>
    <r>
      <rPr>
        <b/>
        <sz val="11"/>
        <color theme="1"/>
        <rFont val="Calibri"/>
        <family val="2"/>
        <scheme val="minor"/>
      </rPr>
      <t>viscosity</t>
    </r>
  </si>
  <si>
    <r>
      <rPr>
        <b/>
        <sz val="11"/>
        <color theme="1"/>
        <rFont val="Calibri"/>
        <family val="2"/>
        <scheme val="minor"/>
      </rPr>
      <t>Molar volume</t>
    </r>
    <r>
      <rPr>
        <sz val="11"/>
        <color theme="1"/>
        <rFont val="Calibri"/>
        <family val="2"/>
        <scheme val="minor"/>
      </rPr>
      <t xml:space="preserve"> (solid phase)</t>
    </r>
  </si>
  <si>
    <r>
      <t xml:space="preserve">Relative deviations of values calculated from our model from experimental </t>
    </r>
    <r>
      <rPr>
        <b/>
        <sz val="11"/>
        <color theme="1"/>
        <rFont val="Calibri"/>
        <family val="2"/>
        <scheme val="minor"/>
      </rPr>
      <t>viscosity</t>
    </r>
  </si>
  <si>
    <r>
      <t xml:space="preserve">Liquid/vapor </t>
    </r>
    <r>
      <rPr>
        <b/>
        <sz val="11"/>
        <color theme="1"/>
        <rFont val="Calibri"/>
        <family val="2"/>
        <scheme val="minor"/>
      </rPr>
      <t>density</t>
    </r>
  </si>
  <si>
    <r>
      <t xml:space="preserve">Relative deviations of values calculated from differnt model from experimental </t>
    </r>
    <r>
      <rPr>
        <b/>
        <sz val="11"/>
        <color theme="1"/>
        <rFont val="Calibri"/>
        <family val="2"/>
        <scheme val="minor"/>
      </rPr>
      <t>surface tension</t>
    </r>
  </si>
  <si>
    <r>
      <t xml:space="preserve">Relative deviations of values calculated from our model from experimental </t>
    </r>
    <r>
      <rPr>
        <b/>
        <sz val="11"/>
        <color theme="1"/>
        <rFont val="Calibri"/>
        <family val="2"/>
        <scheme val="minor"/>
      </rPr>
      <t>thermal conductivity</t>
    </r>
  </si>
  <si>
    <r>
      <t xml:space="preserve">Relative deviations of values calculated from our model from experimental </t>
    </r>
    <r>
      <rPr>
        <b/>
        <sz val="11"/>
        <color theme="1"/>
        <rFont val="Calibri"/>
        <family val="2"/>
        <scheme val="minor"/>
      </rPr>
      <t>surface tension</t>
    </r>
  </si>
  <si>
    <r>
      <t xml:space="preserve">Relative deviations of values calculated from our model from experimental </t>
    </r>
    <r>
      <rPr>
        <b/>
        <sz val="11"/>
        <color theme="1"/>
        <rFont val="Calibri"/>
        <family val="2"/>
        <scheme val="minor"/>
      </rPr>
      <t>molar volume</t>
    </r>
    <r>
      <rPr>
        <sz val="11"/>
        <color theme="1"/>
        <rFont val="Calibri"/>
        <family val="2"/>
        <scheme val="minor"/>
      </rPr>
      <t xml:space="preserve"> data (solid phase)</t>
    </r>
  </si>
  <si>
    <r>
      <t xml:space="preserve">Relative deviations of values calculated from our model from experimental </t>
    </r>
    <r>
      <rPr>
        <b/>
        <sz val="11"/>
        <color theme="1"/>
        <rFont val="Calibri"/>
        <family val="2"/>
        <scheme val="minor"/>
      </rPr>
      <t>isochoric heat capacity</t>
    </r>
  </si>
  <si>
    <r>
      <t xml:space="preserve">Relative deviations of values calculated from our model from experimental </t>
    </r>
    <r>
      <rPr>
        <b/>
        <sz val="11"/>
        <color theme="1"/>
        <rFont val="Calibri"/>
        <family val="2"/>
        <scheme val="minor"/>
      </rPr>
      <t>isobaric heat capacity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(solid phase)</t>
    </r>
  </si>
  <si>
    <r>
      <rPr>
        <b/>
        <sz val="11"/>
        <color theme="1"/>
        <rFont val="Calibri"/>
        <family val="2"/>
        <scheme val="minor"/>
      </rPr>
      <t>Isobaric heat capacity</t>
    </r>
    <r>
      <rPr>
        <sz val="11"/>
        <color theme="1"/>
        <rFont val="Calibri"/>
        <family val="2"/>
        <scheme val="minor"/>
      </rPr>
      <t xml:space="preserve"> (colcolata lungo la curva di sublimazione) -&gt; </t>
    </r>
    <r>
      <rPr>
        <b/>
        <sz val="11"/>
        <color theme="1"/>
        <rFont val="Calibri"/>
        <family val="2"/>
        <scheme val="minor"/>
      </rPr>
      <t>solid phase</t>
    </r>
  </si>
  <si>
    <r>
      <t xml:space="preserve">Relative deviations of values calculated from model (or correlation eq.) from exp. </t>
    </r>
    <r>
      <rPr>
        <b/>
        <sz val="11"/>
        <color theme="1"/>
        <rFont val="Calibri"/>
        <family val="2"/>
        <scheme val="minor"/>
      </rPr>
      <t>melting pressure</t>
    </r>
    <r>
      <rPr>
        <sz val="11"/>
        <color theme="1"/>
        <rFont val="Calibri"/>
        <family val="2"/>
        <scheme val="minor"/>
      </rPr>
      <t xml:space="preserve"> data</t>
    </r>
  </si>
  <si>
    <r>
      <t xml:space="preserve">Diagramma fase: </t>
    </r>
    <r>
      <rPr>
        <b/>
        <sz val="11"/>
        <color theme="1"/>
        <rFont val="Calibri"/>
        <family val="2"/>
        <scheme val="minor"/>
      </rPr>
      <t>curva di melting</t>
    </r>
    <r>
      <rPr>
        <sz val="11"/>
        <color theme="1"/>
        <rFont val="Calibri"/>
        <family val="2"/>
        <scheme val="minor"/>
      </rPr>
      <t xml:space="preserve"> (nel range di interesse)</t>
    </r>
  </si>
  <si>
    <r>
      <t xml:space="preserve">Relative deviations of values calculated from our model from experimental </t>
    </r>
    <r>
      <rPr>
        <b/>
        <sz val="11"/>
        <color theme="1"/>
        <rFont val="Calibri"/>
        <family val="2"/>
        <scheme val="minor"/>
      </rPr>
      <t>density</t>
    </r>
    <r>
      <rPr>
        <sz val="11"/>
        <color theme="1"/>
        <rFont val="Calibri"/>
        <family val="2"/>
        <scheme val="minor"/>
      </rPr>
      <t xml:space="preserve"> data</t>
    </r>
  </si>
  <si>
    <r>
      <t xml:space="preserve">Relative deviations of values calculated from model (or correlation eq.) from exp. </t>
    </r>
    <r>
      <rPr>
        <b/>
        <sz val="11"/>
        <color theme="1"/>
        <rFont val="Calibri"/>
        <family val="2"/>
        <scheme val="minor"/>
      </rPr>
      <t>vapor pressure</t>
    </r>
    <r>
      <rPr>
        <sz val="11"/>
        <color theme="1"/>
        <rFont val="Calibri"/>
        <family val="2"/>
        <scheme val="minor"/>
      </rPr>
      <t xml:space="preserve"> data</t>
    </r>
  </si>
  <si>
    <r>
      <t xml:space="preserve">Relative deviations of values calculated from model (or correlation eq.) from exp. </t>
    </r>
    <r>
      <rPr>
        <b/>
        <sz val="11"/>
        <color theme="1"/>
        <rFont val="Calibri"/>
        <family val="2"/>
        <scheme val="minor"/>
      </rPr>
      <t>sub. pressure</t>
    </r>
    <r>
      <rPr>
        <sz val="11"/>
        <color theme="1"/>
        <rFont val="Calibri"/>
        <family val="2"/>
        <scheme val="minor"/>
      </rPr>
      <t xml:space="preserve"> data</t>
    </r>
  </si>
  <si>
    <r>
      <t xml:space="preserve">Diagramma fase: </t>
    </r>
    <r>
      <rPr>
        <b/>
        <sz val="11"/>
        <color theme="1"/>
        <rFont val="Calibri"/>
        <family val="2"/>
        <scheme val="minor"/>
      </rPr>
      <t>curva di melting</t>
    </r>
  </si>
  <si>
    <r>
      <t xml:space="preserve">Diagramma fase: </t>
    </r>
    <r>
      <rPr>
        <b/>
        <sz val="11"/>
        <color theme="1"/>
        <rFont val="Calibri"/>
        <family val="2"/>
        <scheme val="minor"/>
      </rPr>
      <t>curva di saturazione</t>
    </r>
  </si>
  <si>
    <r>
      <t xml:space="preserve">Diagramma fase </t>
    </r>
    <r>
      <rPr>
        <b/>
        <sz val="11"/>
        <color theme="1"/>
        <rFont val="Calibri"/>
        <family val="2"/>
        <scheme val="minor"/>
      </rPr>
      <t>curva di sublimazione</t>
    </r>
  </si>
  <si>
    <t>References</t>
  </si>
  <si>
    <r>
      <t xml:space="preserve">[1] Span, R., Wagner, W., 1996. </t>
    </r>
    <r>
      <rPr>
        <i/>
        <sz val="10"/>
        <rFont val="Arial"/>
        <family val="2"/>
      </rPr>
      <t>J. Phys. Chem. Ref. Data</t>
    </r>
    <r>
      <rPr>
        <sz val="10"/>
        <rFont val="Arial"/>
        <family val="2"/>
      </rPr>
      <t xml:space="preserve"> 25, 1509-1596. </t>
    </r>
  </si>
  <si>
    <r>
      <t xml:space="preserve">[2] Jäger, A., Span, R., 2012. </t>
    </r>
    <r>
      <rPr>
        <i/>
        <sz val="10"/>
        <rFont val="Arial"/>
        <family val="2"/>
      </rPr>
      <t>J. Chem. Eng. Data</t>
    </r>
    <r>
      <rPr>
        <sz val="10"/>
        <rFont val="Arial"/>
        <family val="2"/>
      </rPr>
      <t xml:space="preserve"> 57, 590-597.</t>
    </r>
  </si>
  <si>
    <r>
      <t xml:space="preserve">[3] Bilkadi, Z., Lee, M.W., Bigeleisen, J., 1974. </t>
    </r>
    <r>
      <rPr>
        <i/>
        <sz val="10"/>
        <rFont val="Arial"/>
        <family val="2"/>
      </rPr>
      <t>J. Chem. Phys. 6</t>
    </r>
    <r>
      <rPr>
        <sz val="10"/>
        <rFont val="Arial"/>
        <family val="2"/>
      </rPr>
      <t xml:space="preserve">2, 2087-2093. </t>
    </r>
  </si>
  <si>
    <r>
      <t>[4] Michels, A., Blaisse, B., Hoogschlagen, J., 1942.</t>
    </r>
    <r>
      <rPr>
        <i/>
        <sz val="10"/>
        <rFont val="Arial"/>
        <family val="2"/>
      </rPr>
      <t xml:space="preserve"> Physica. </t>
    </r>
    <r>
      <rPr>
        <sz val="10"/>
        <rFont val="Arial"/>
        <family val="2"/>
      </rPr>
      <t xml:space="preserve">9, 565-573. </t>
    </r>
  </si>
  <si>
    <r>
      <t xml:space="preserve">[5] Duschek, W., Kleinrahm, R., Wagner, W., 1990. </t>
    </r>
    <r>
      <rPr>
        <i/>
        <sz val="10"/>
        <rFont val="Arial"/>
        <family val="2"/>
      </rPr>
      <t>J. Chem. Thermodyn. 2</t>
    </r>
    <r>
      <rPr>
        <sz val="10"/>
        <rFont val="Arial"/>
        <family val="2"/>
      </rPr>
      <t>2, 841-864.</t>
    </r>
  </si>
  <si>
    <r>
      <t xml:space="preserve">[6] Duschek, W., Kleinrahm, R., Wagner, W., 1990. </t>
    </r>
    <r>
      <rPr>
        <i/>
        <sz val="10"/>
        <rFont val="Arial"/>
        <family val="2"/>
      </rPr>
      <t>J. Chem. Thermodyn. 2</t>
    </r>
    <r>
      <rPr>
        <sz val="10"/>
        <rFont val="Arial"/>
        <family val="2"/>
      </rPr>
      <t>2, 827-840.</t>
    </r>
  </si>
  <si>
    <r>
      <t xml:space="preserve">[7] Manzhelii, V.G., Tolkachev, A.M., Bagatskij, M.I., Voitovich, E.I., 1971. </t>
    </r>
    <r>
      <rPr>
        <i/>
        <sz val="10"/>
        <rFont val="Arial"/>
        <family val="2"/>
      </rPr>
      <t>Phys. Status Solidi</t>
    </r>
    <r>
      <rPr>
        <sz val="10"/>
        <rFont val="Arial"/>
        <family val="2"/>
      </rPr>
      <t xml:space="preserve"> 44, 39-49. </t>
    </r>
  </si>
  <si>
    <r>
      <t xml:space="preserve">[8] Maass, O., Barnes, W.H., 1926. </t>
    </r>
    <r>
      <rPr>
        <i/>
        <sz val="10"/>
        <rFont val="Arial"/>
        <family val="2"/>
      </rPr>
      <t xml:space="preserve">Proc. Roy. Soc. </t>
    </r>
    <r>
      <rPr>
        <sz val="10"/>
        <rFont val="Arial"/>
        <family val="2"/>
      </rPr>
      <t xml:space="preserve">A111, 224-244.  </t>
    </r>
    <r>
      <rPr>
        <sz val="12"/>
        <rFont val="Calibri"/>
        <family val="2"/>
        <scheme val="minor"/>
      </rPr>
      <t xml:space="preserve"> </t>
    </r>
  </si>
  <si>
    <r>
      <t xml:space="preserve">[9] Giauque, W.F., Egan, C.J., 1937. </t>
    </r>
    <r>
      <rPr>
        <i/>
        <sz val="10"/>
        <rFont val="Arial"/>
        <family val="2"/>
      </rPr>
      <t xml:space="preserve">J. Chem. Phys. </t>
    </r>
    <r>
      <rPr>
        <sz val="10"/>
        <rFont val="Arial"/>
        <family val="2"/>
      </rPr>
      <t xml:space="preserve">5, 45-54.  </t>
    </r>
    <r>
      <rPr>
        <sz val="12"/>
        <rFont val="Calibri"/>
        <family val="2"/>
        <scheme val="minor"/>
      </rPr>
      <t xml:space="preserve"> </t>
    </r>
  </si>
  <si>
    <r>
      <t xml:space="preserve">[10] Mulero, A., Cachadina, I., Parra, M.I., 2012. </t>
    </r>
    <r>
      <rPr>
        <i/>
        <sz val="10"/>
        <rFont val="Arial"/>
        <family val="2"/>
      </rPr>
      <t>J. Phys. Chem. Ref. Data. 4</t>
    </r>
    <r>
      <rPr>
        <sz val="10"/>
        <rFont val="Arial"/>
        <family val="2"/>
      </rPr>
      <t>1, 043105.</t>
    </r>
  </si>
  <si>
    <r>
      <t>[11] Jasper, J.J., 1972.</t>
    </r>
    <r>
      <rPr>
        <i/>
        <sz val="10"/>
        <rFont val="Arial"/>
        <family val="2"/>
      </rPr>
      <t xml:space="preserve"> J. Phys. Chem. Ref. Data. </t>
    </r>
    <r>
      <rPr>
        <sz val="10"/>
        <rFont val="Arial"/>
        <family val="2"/>
      </rPr>
      <t xml:space="preserve">1, 841.    </t>
    </r>
  </si>
  <si>
    <r>
      <t xml:space="preserve">[12] Muratov, G.N., Skripov, V.P., 1982. </t>
    </r>
    <r>
      <rPr>
        <i/>
        <sz val="10"/>
        <rFont val="Arial"/>
        <family val="2"/>
      </rPr>
      <t>Teplofiz. Vys. Termp. 2</t>
    </r>
    <r>
      <rPr>
        <sz val="10"/>
        <rFont val="Arial"/>
        <family val="2"/>
      </rPr>
      <t>0, 596-598.</t>
    </r>
  </si>
  <si>
    <r>
      <t xml:space="preserve">[13] Quinn, E., 1927. </t>
    </r>
    <r>
      <rPr>
        <i/>
        <sz val="10"/>
        <rFont val="Arial"/>
        <family val="2"/>
      </rPr>
      <t>J. Am. Chem. Soc. 4</t>
    </r>
    <r>
      <rPr>
        <sz val="10"/>
        <rFont val="Arial"/>
        <family val="2"/>
      </rPr>
      <t xml:space="preserve">9, 2704. </t>
    </r>
  </si>
  <si>
    <r>
      <t xml:space="preserve">[14] Brock, J.R., Bird, R.B., 1955. </t>
    </r>
    <r>
      <rPr>
        <i/>
        <sz val="10"/>
        <rFont val="Arial"/>
        <family val="2"/>
      </rPr>
      <t xml:space="preserve">AICHE Journal </t>
    </r>
    <r>
      <rPr>
        <sz val="10"/>
        <rFont val="Arial"/>
        <family val="2"/>
      </rPr>
      <t>1, 174.</t>
    </r>
  </si>
  <si>
    <r>
      <t xml:space="preserve">[15] Pitzer, K.S., 1995. </t>
    </r>
    <r>
      <rPr>
        <i/>
        <sz val="10"/>
        <rFont val="Arial"/>
        <family val="2"/>
      </rPr>
      <t xml:space="preserve">Termodynamics </t>
    </r>
    <r>
      <rPr>
        <sz val="10"/>
        <rFont val="Arial"/>
        <family val="2"/>
      </rPr>
      <t>3rd ed. (McGraw-Hill, New York).</t>
    </r>
  </si>
  <si>
    <r>
      <t xml:space="preserve">[16] Miqueu, C., et al., 2000. </t>
    </r>
    <r>
      <rPr>
        <i/>
        <sz val="10"/>
        <rFont val="Arial"/>
        <family val="2"/>
      </rPr>
      <t xml:space="preserve">Fluid Phase Equil. </t>
    </r>
    <r>
      <rPr>
        <sz val="10"/>
        <rFont val="Arial"/>
        <family val="2"/>
      </rPr>
      <t>172, 169.</t>
    </r>
  </si>
  <si>
    <r>
      <t xml:space="preserve">[17] Hakim, D.I., Steinberg, D., Stiel, L.I., 1971. </t>
    </r>
    <r>
      <rPr>
        <i/>
        <sz val="10"/>
        <rFont val="Arial"/>
        <family val="2"/>
      </rPr>
      <t xml:space="preserve">Ind. Eng. Chem.Fundam. </t>
    </r>
    <r>
      <rPr>
        <sz val="10"/>
        <rFont val="Arial"/>
        <family val="2"/>
      </rPr>
      <t>10, 174.</t>
    </r>
  </si>
  <si>
    <r>
      <t xml:space="preserve">[18] Zuo, Y.-X., Stenby, E.H., 1997. </t>
    </r>
    <r>
      <rPr>
        <i/>
        <sz val="10"/>
        <rFont val="Arial"/>
        <family val="2"/>
      </rPr>
      <t xml:space="preserve">Can. J. Chem. Eng. </t>
    </r>
    <r>
      <rPr>
        <sz val="10"/>
        <rFont val="Arial"/>
        <family val="2"/>
      </rPr>
      <t>75, 1130.</t>
    </r>
  </si>
  <si>
    <r>
      <t xml:space="preserve">[19] van der Gulik, P.S., 1997. </t>
    </r>
    <r>
      <rPr>
        <i/>
        <sz val="10"/>
        <rFont val="Arial"/>
        <family val="2"/>
      </rPr>
      <t xml:space="preserve">Physica A. </t>
    </r>
    <r>
      <rPr>
        <sz val="10"/>
        <rFont val="Arial"/>
        <family val="2"/>
      </rPr>
      <t>238, 81.</t>
    </r>
  </si>
  <si>
    <r>
      <t>[20] Schafer, M., Ricther, M., Span, R., 2015.</t>
    </r>
    <r>
      <rPr>
        <i/>
        <sz val="10"/>
        <rFont val="Arial"/>
        <family val="2"/>
      </rPr>
      <t xml:space="preserve"> J. Chem. Thermodyn. </t>
    </r>
    <r>
      <rPr>
        <sz val="10"/>
        <rFont val="Arial"/>
        <family val="2"/>
      </rPr>
      <t>89, 7.</t>
    </r>
  </si>
  <si>
    <r>
      <t xml:space="preserve">[21] Estrada-Alexanders, A.F., Hurly, J.J., 2008. </t>
    </r>
    <r>
      <rPr>
        <i/>
        <sz val="10"/>
        <rFont val="Arial"/>
        <family val="2"/>
      </rPr>
      <t xml:space="preserve">J. Chem. Thermodyn. </t>
    </r>
    <r>
      <rPr>
        <sz val="10"/>
        <rFont val="Arial"/>
        <family val="2"/>
      </rPr>
      <t xml:space="preserve">40, 193. </t>
    </r>
  </si>
  <si>
    <r>
      <t xml:space="preserve">[22] Laesecke, A., Muzny, C.D., 2017. </t>
    </r>
    <r>
      <rPr>
        <i/>
        <sz val="10"/>
        <rFont val="Arial"/>
        <family val="2"/>
      </rPr>
      <t xml:space="preserve">J. Phys. Chem. Ref. Data. </t>
    </r>
    <r>
      <rPr>
        <sz val="10"/>
        <rFont val="Arial"/>
        <family val="2"/>
      </rPr>
      <t>46, 13107.</t>
    </r>
  </si>
  <si>
    <r>
      <t xml:space="preserve">[23] Kim, S.K., Ross, J., 1967. </t>
    </r>
    <r>
      <rPr>
        <i/>
        <sz val="10"/>
        <rFont val="Arial"/>
        <family val="2"/>
      </rPr>
      <t xml:space="preserve">J. Chem. Phys. </t>
    </r>
    <r>
      <rPr>
        <sz val="10"/>
        <rFont val="Arial"/>
        <family val="2"/>
      </rPr>
      <t>46, 818.</t>
    </r>
  </si>
  <si>
    <r>
      <t xml:space="preserve">[24] Chung, T.-H, Ajlan, M., Lee, L.L., Starling, K.E., 1988. </t>
    </r>
    <r>
      <rPr>
        <i/>
        <sz val="10"/>
        <rFont val="Arial"/>
        <family val="2"/>
      </rPr>
      <t>Ind. Eng. Chem. Res</t>
    </r>
    <r>
      <rPr>
        <sz val="10"/>
        <rFont val="Arial"/>
        <family val="2"/>
      </rPr>
      <t>. 27, 671.</t>
    </r>
  </si>
  <si>
    <r>
      <t xml:space="preserve">[25] Lucas, K., 1981. </t>
    </r>
    <r>
      <rPr>
        <i/>
        <sz val="10"/>
        <rFont val="Arial"/>
        <family val="2"/>
      </rPr>
      <t xml:space="preserve">Chem. Ing. Tech. </t>
    </r>
    <r>
      <rPr>
        <sz val="10"/>
        <rFont val="Arial"/>
        <family val="2"/>
      </rPr>
      <t>53, 959.</t>
    </r>
  </si>
  <si>
    <r>
      <t xml:space="preserve">[26] Diller, D.E., Ball, M.J., Stiel, L.I., 1985. </t>
    </r>
    <r>
      <rPr>
        <i/>
        <sz val="10"/>
        <rFont val="Arial"/>
        <family val="2"/>
      </rPr>
      <t xml:space="preserve">Int. J. Thermophys. </t>
    </r>
    <r>
      <rPr>
        <sz val="10"/>
        <rFont val="Arial"/>
        <family val="2"/>
      </rPr>
      <t>6, 619-629.</t>
    </r>
  </si>
  <si>
    <r>
      <t xml:space="preserve">[27] Vesovic, V., et al., 1990. </t>
    </r>
    <r>
      <rPr>
        <i/>
        <sz val="10"/>
        <rFont val="Arial"/>
        <family val="2"/>
      </rPr>
      <t xml:space="preserve">J. Phys. Chem. Ref. Data. </t>
    </r>
    <r>
      <rPr>
        <sz val="10"/>
        <rFont val="Arial"/>
        <family val="2"/>
      </rPr>
      <t>19, 763-808.</t>
    </r>
  </si>
  <si>
    <r>
      <t xml:space="preserve">[28] Zheng, X.-Y., Yamamoto, S., Yoshida, H., Masuoka, H., Yorizane, M., 1984. </t>
    </r>
    <r>
      <rPr>
        <i/>
        <sz val="10"/>
        <rFont val="Arial"/>
        <family val="2"/>
      </rPr>
      <t xml:space="preserve">J. Chem. Eng. Jpn. </t>
    </r>
    <r>
      <rPr>
        <sz val="10"/>
        <rFont val="Arial"/>
        <family val="2"/>
      </rPr>
      <t>17, 237.</t>
    </r>
  </si>
  <si>
    <r>
      <t>[29] Clifford, A.A., Kestin, J., Wakeham, W.A., 1979.</t>
    </r>
    <r>
      <rPr>
        <i/>
        <sz val="10"/>
        <rFont val="Arial"/>
        <family val="2"/>
      </rPr>
      <t xml:space="preserve"> Physica A. </t>
    </r>
    <r>
      <rPr>
        <sz val="10"/>
        <rFont val="Arial"/>
        <family val="2"/>
      </rPr>
      <t xml:space="preserve">97, 287.    </t>
    </r>
  </si>
  <si>
    <r>
      <t xml:space="preserve">[30] Guildner, L.A., 1962. </t>
    </r>
    <r>
      <rPr>
        <i/>
        <sz val="10"/>
        <rFont val="Arial"/>
        <family val="2"/>
      </rPr>
      <t xml:space="preserve">J. Res. NBS </t>
    </r>
    <r>
      <rPr>
        <sz val="10"/>
        <rFont val="Arial"/>
        <family val="2"/>
      </rPr>
      <t>66A, 341.</t>
    </r>
  </si>
  <si>
    <r>
      <t xml:space="preserve">[31] Huber, M.L., Sykioti, E.A., Assael, M.J., Perkins, R.A., 2016. </t>
    </r>
    <r>
      <rPr>
        <i/>
        <sz val="10"/>
        <rFont val="Arial"/>
        <family val="2"/>
      </rPr>
      <t xml:space="preserve">J. Phys. Chem. Ref. Data. </t>
    </r>
    <r>
      <rPr>
        <sz val="10"/>
        <rFont val="Arial"/>
        <family val="2"/>
      </rPr>
      <t>45, 13102.</t>
    </r>
  </si>
  <si>
    <t xml:space="preserve"> Sublimation line (Corr. Eq. [1])</t>
  </si>
  <si>
    <t xml:space="preserve"> Sublimation line (Corr. eq.)</t>
  </si>
  <si>
    <t xml:space="preserve"> Melting line (Corr. Eq. [1])</t>
  </si>
  <si>
    <t xml:space="preserve"> Melting line (EoS model)</t>
  </si>
  <si>
    <t xml:space="preserve"> Sublimation line (EoS model)</t>
  </si>
  <si>
    <t xml:space="preserve"> Saturation line (Corr. Eq. [1])</t>
  </si>
  <si>
    <t xml:space="preserve"> Saturation line (EoS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</si>
</sst>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"/>
    <numFmt numFmtId="165" formatCode="0.000000000"/>
    <numFmt numFmtId="166" formatCode="0.00000"/>
    <numFmt numFmtId="167" formatCode="0.0000"/>
    <numFmt numFmtId="168" formatCode="0.00000000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"/>
      <name val="Calibri"/>
      <family val="2"/>
      <scheme val="minor"/>
    </font>
    <font>
      <b/>
      <sz val="10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99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2" fillId="0" borderId="0" xfId="0" applyFont="1"/>
    <xf numFmtId="0" fontId="0" fillId="0" borderId="0" xfId="0" applyFont="1"/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2" borderId="0" xfId="0" applyFill="1"/>
    <xf numFmtId="0" fontId="0" fillId="3" borderId="0" xfId="0" applyFill="1"/>
    <xf numFmtId="2" fontId="0" fillId="2" borderId="0" xfId="0" applyNumberFormat="1" applyFill="1" applyAlignment="1">
      <alignment horizontal="center"/>
    </xf>
    <xf numFmtId="4" fontId="0" fillId="2" borderId="0" xfId="0" applyNumberFormat="1" applyFill="1"/>
    <xf numFmtId="11" fontId="0" fillId="3" borderId="0" xfId="0" applyNumberFormat="1" applyFill="1"/>
    <xf numFmtId="0" fontId="0" fillId="0" borderId="1" xfId="0" applyBorder="1"/>
    <xf numFmtId="0" fontId="7" fillId="0" borderId="1" xfId="0" applyFont="1" applyBorder="1"/>
    <xf numFmtId="0" fontId="0" fillId="0" borderId="1" xfId="0" applyNumberFormat="1" applyBorder="1"/>
    <xf numFmtId="0" fontId="0" fillId="0" borderId="2" xfId="0" applyBorder="1"/>
    <xf numFmtId="2" fontId="0" fillId="0" borderId="1" xfId="0" applyNumberFormat="1" applyBorder="1"/>
    <xf numFmtId="0" fontId="2" fillId="2" borderId="0" xfId="0" applyFont="1" applyFill="1"/>
    <xf numFmtId="2" fontId="0" fillId="2" borderId="0" xfId="0" applyNumberFormat="1" applyFill="1"/>
    <xf numFmtId="2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/>
    <xf numFmtId="0" fontId="0" fillId="5" borderId="0" xfId="0" applyFill="1"/>
    <xf numFmtId="0" fontId="3" fillId="0" borderId="1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10" fillId="0" borderId="0" xfId="0" applyFont="1"/>
    <xf numFmtId="0" fontId="0" fillId="0" borderId="3" xfId="0" applyBorder="1"/>
    <xf numFmtId="0" fontId="12" fillId="0" borderId="3" xfId="0" applyFont="1" applyBorder="1"/>
    <xf numFmtId="0" fontId="12" fillId="0" borderId="0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5" xfId="0" applyFill="1" applyBorder="1"/>
    <xf numFmtId="0" fontId="0" fillId="4" borderId="5" xfId="0" applyFill="1" applyBorder="1"/>
    <xf numFmtId="0" fontId="0" fillId="2" borderId="5" xfId="0" applyFill="1" applyBorder="1"/>
    <xf numFmtId="0" fontId="0" fillId="5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1" fontId="0" fillId="0" borderId="1" xfId="0" applyNumberFormat="1" applyBorder="1"/>
    <xf numFmtId="2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2" xfId="0" applyNumberFormat="1" applyBorder="1"/>
    <xf numFmtId="11" fontId="0" fillId="0" borderId="2" xfId="0" applyNumberFormat="1" applyBorder="1"/>
    <xf numFmtId="0" fontId="1" fillId="0" borderId="0" xfId="0" applyFont="1" applyBorder="1" applyAlignment="1">
      <alignment horizontal="center"/>
    </xf>
    <xf numFmtId="168" fontId="0" fillId="0" borderId="0" xfId="0" applyNumberFormat="1"/>
    <xf numFmtId="166" fontId="0" fillId="0" borderId="0" xfId="0" applyNumberFormat="1" applyFont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/>
    <xf numFmtId="167" fontId="0" fillId="0" borderId="1" xfId="0" applyNumberFormat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5" xfId="0" applyFill="1" applyBorder="1"/>
    <xf numFmtId="0" fontId="0" fillId="6" borderId="9" xfId="0" applyFill="1" applyBorder="1"/>
    <xf numFmtId="167" fontId="0" fillId="6" borderId="5" xfId="0" applyNumberFormat="1" applyFill="1" applyBorder="1" applyAlignment="1">
      <alignment horizontal="center"/>
    </xf>
    <xf numFmtId="167" fontId="0" fillId="6" borderId="9" xfId="0" applyNumberFormat="1" applyFill="1" applyBorder="1" applyAlignment="1">
      <alignment horizontal="center"/>
    </xf>
    <xf numFmtId="166" fontId="0" fillId="6" borderId="5" xfId="0" applyNumberFormat="1" applyFill="1" applyBorder="1" applyAlignment="1">
      <alignment horizontal="center"/>
    </xf>
    <xf numFmtId="166" fontId="0" fillId="6" borderId="9" xfId="0" applyNumberFormat="1" applyFill="1" applyBorder="1" applyAlignment="1">
      <alignment horizontal="center"/>
    </xf>
    <xf numFmtId="11" fontId="0" fillId="4" borderId="5" xfId="0" applyNumberFormat="1" applyFill="1" applyBorder="1" applyAlignment="1">
      <alignment horizontal="center"/>
    </xf>
    <xf numFmtId="11" fontId="0" fillId="4" borderId="9" xfId="0" applyNumberFormat="1" applyFill="1" applyBorder="1" applyAlignment="1">
      <alignment horizontal="center"/>
    </xf>
    <xf numFmtId="166" fontId="0" fillId="4" borderId="5" xfId="0" applyNumberFormat="1" applyFill="1" applyBorder="1" applyAlignment="1">
      <alignment horizontal="center"/>
    </xf>
    <xf numFmtId="166" fontId="0" fillId="4" borderId="9" xfId="0" applyNumberFormat="1" applyFill="1" applyBorder="1" applyAlignment="1">
      <alignment horizontal="center"/>
    </xf>
    <xf numFmtId="166" fontId="0" fillId="5" borderId="5" xfId="0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66" fontId="0" fillId="5" borderId="5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66" fontId="0" fillId="5" borderId="9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9" xfId="0" applyFill="1" applyBorder="1"/>
    <xf numFmtId="0" fontId="0" fillId="4" borderId="9" xfId="0" applyFill="1" applyBorder="1"/>
    <xf numFmtId="167" fontId="0" fillId="4" borderId="4" xfId="0" applyNumberFormat="1" applyFill="1" applyBorder="1" applyAlignment="1">
      <alignment horizontal="center"/>
    </xf>
    <xf numFmtId="167" fontId="0" fillId="4" borderId="5" xfId="0" applyNumberFormat="1" applyFill="1" applyBorder="1" applyAlignment="1">
      <alignment horizontal="center"/>
    </xf>
    <xf numFmtId="167" fontId="0" fillId="4" borderId="9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3" fillId="3" borderId="0" xfId="0" applyFont="1" applyFill="1"/>
    <xf numFmtId="0" fontId="13" fillId="3" borderId="12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14" fillId="0" borderId="15" xfId="0" applyFont="1" applyBorder="1" applyAlignment="1">
      <alignment horizontal="left" vertical="center" readingOrder="1"/>
    </xf>
    <xf numFmtId="0" fontId="0" fillId="0" borderId="16" xfId="0" applyBorder="1"/>
    <xf numFmtId="0" fontId="0" fillId="0" borderId="17" xfId="0" applyBorder="1"/>
    <xf numFmtId="0" fontId="14" fillId="0" borderId="18" xfId="0" applyFont="1" applyBorder="1" applyAlignment="1">
      <alignment horizontal="left" vertical="center" readingOrder="1"/>
    </xf>
    <xf numFmtId="0" fontId="0" fillId="0" borderId="19" xfId="0" applyBorder="1"/>
    <xf numFmtId="0" fontId="14" fillId="0" borderId="18" xfId="0" applyFont="1" applyBorder="1"/>
    <xf numFmtId="0" fontId="14" fillId="0" borderId="20" xfId="0" applyFont="1" applyBorder="1" applyAlignment="1">
      <alignment horizontal="left" vertical="center" readingOrder="1"/>
    </xf>
    <xf numFmtId="0" fontId="0" fillId="0" borderId="21" xfId="0" applyBorder="1"/>
    <xf numFmtId="0" fontId="0" fillId="0" borderId="22" xfId="0" applyBorder="1"/>
    <xf numFmtId="0" fontId="0" fillId="3" borderId="12" xfId="0" applyFill="1" applyBorder="1"/>
    <xf numFmtId="0" fontId="1" fillId="0" borderId="12" xfId="0" applyFont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/>
    <xf numFmtId="0" fontId="0" fillId="5" borderId="24" xfId="0" applyFill="1" applyBorder="1" applyAlignment="1">
      <alignment horizontal="center"/>
    </xf>
    <xf numFmtId="0" fontId="0" fillId="5" borderId="25" xfId="0" applyFill="1" applyBorder="1"/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9" xfId="0" applyFill="1" applyBorder="1"/>
    <xf numFmtId="0" fontId="0" fillId="4" borderId="24" xfId="0" applyFill="1" applyBorder="1" applyAlignment="1">
      <alignment horizontal="center"/>
    </xf>
    <xf numFmtId="0" fontId="0" fillId="4" borderId="25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6" xfId="0" applyFill="1" applyBorder="1"/>
    <xf numFmtId="0" fontId="0" fillId="2" borderId="22" xfId="0" applyFill="1" applyBorder="1"/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11" fontId="0" fillId="4" borderId="19" xfId="0" applyNumberFormat="1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1" fontId="13" fillId="4" borderId="19" xfId="0" applyNumberFormat="1" applyFon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166" fontId="0" fillId="4" borderId="19" xfId="0" applyNumberFormat="1" applyFill="1" applyBorder="1" applyAlignment="1">
      <alignment horizontal="center"/>
    </xf>
    <xf numFmtId="11" fontId="0" fillId="4" borderId="25" xfId="0" applyNumberFormat="1" applyFill="1" applyBorder="1" applyAlignment="1">
      <alignment horizontal="center"/>
    </xf>
    <xf numFmtId="0" fontId="0" fillId="5" borderId="30" xfId="0" applyFont="1" applyFill="1" applyBorder="1" applyAlignment="1">
      <alignment horizontal="center"/>
    </xf>
    <xf numFmtId="166" fontId="0" fillId="5" borderId="19" xfId="0" applyNumberFormat="1" applyFont="1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6" fontId="0" fillId="5" borderId="19" xfId="0" applyNumberFormat="1" applyFill="1" applyBorder="1" applyAlignment="1">
      <alignment horizontal="center"/>
    </xf>
    <xf numFmtId="166" fontId="13" fillId="5" borderId="19" xfId="0" applyNumberFormat="1" applyFont="1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166" fontId="0" fillId="5" borderId="29" xfId="0" applyNumberFormat="1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13" fillId="6" borderId="19" xfId="0" applyFont="1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6" borderId="19" xfId="0" applyFill="1" applyBorder="1"/>
    <xf numFmtId="0" fontId="0" fillId="6" borderId="32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166" fontId="0" fillId="6" borderId="26" xfId="0" applyNumberFormat="1" applyFill="1" applyBorder="1" applyAlignment="1">
      <alignment horizontal="center"/>
    </xf>
    <xf numFmtId="0" fontId="0" fillId="6" borderId="26" xfId="0" applyFill="1" applyBorder="1"/>
    <xf numFmtId="0" fontId="0" fillId="6" borderId="22" xfId="0" applyFill="1" applyBorder="1"/>
    <xf numFmtId="0" fontId="1" fillId="0" borderId="1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6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BB11A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smoothMarker"/>
        <c:varyColors val="0"/>
        <c:ser>
          <c:idx val="0"/>
          <c:order val="0"/>
          <c:tx>
            <c:v>T = 13.803 K</c:v>
          </c:tx>
          <c:marker>
            <c:symbol val="none"/>
          </c:marker>
          <c:xVal>
            <c:numRef>
              <c:f>'Calcoli eqilib.'!$S$116:$S$145</c:f>
              <c:numCache>
                <c:formatCode>General</c:formatCode>
                <c:ptCount val="30"/>
                <c:pt idx="0">
                  <c:v>0</c:v>
                </c:pt>
                <c:pt idx="1">
                  <c:v>9.970831597118876E-2</c:v>
                </c:pt>
                <c:pt idx="2">
                  <c:v>0.21330634760005554</c:v>
                </c:pt>
                <c:pt idx="3">
                  <c:v>0.42165208246522606</c:v>
                </c:pt>
                <c:pt idx="4">
                  <c:v>0.53078556263269638</c:v>
                </c:pt>
                <c:pt idx="5">
                  <c:v>1.0318074488560827</c:v>
                </c:pt>
                <c:pt idx="6">
                  <c:v>3.0210131555449729</c:v>
                </c:pt>
                <c:pt idx="7">
                  <c:v>4.1718753100382955</c:v>
                </c:pt>
                <c:pt idx="8">
                  <c:v>6.0172232474155205</c:v>
                </c:pt>
                <c:pt idx="9">
                  <c:v>7.5153282933507946</c:v>
                </c:pt>
                <c:pt idx="10">
                  <c:v>9.0134333392860686</c:v>
                </c:pt>
                <c:pt idx="11">
                  <c:v>10.506577772486457</c:v>
                </c:pt>
                <c:pt idx="12">
                  <c:v>10.923269242216797</c:v>
                </c:pt>
                <c:pt idx="13">
                  <c:v>12.009643431156617</c:v>
                </c:pt>
                <c:pt idx="14">
                  <c:v>14.499871024068892</c:v>
                </c:pt>
                <c:pt idx="15">
                  <c:v>15.537631208206836</c:v>
                </c:pt>
                <c:pt idx="16">
                  <c:v>17.362144572097545</c:v>
                </c:pt>
                <c:pt idx="17">
                  <c:v>19.842450939540051</c:v>
                </c:pt>
                <c:pt idx="18">
                  <c:v>22.322757306982556</c:v>
                </c:pt>
                <c:pt idx="19">
                  <c:v>24.803063674425065</c:v>
                </c:pt>
                <c:pt idx="20">
                  <c:v>27.28337004186757</c:v>
                </c:pt>
                <c:pt idx="21">
                  <c:v>29.763676409310076</c:v>
                </c:pt>
                <c:pt idx="22">
                  <c:v>32.243982776752581</c:v>
                </c:pt>
                <c:pt idx="23">
                  <c:v>34.72428914419509</c:v>
                </c:pt>
                <c:pt idx="24">
                  <c:v>37.204595511637592</c:v>
                </c:pt>
                <c:pt idx="25">
                  <c:v>39.684901879080101</c:v>
                </c:pt>
                <c:pt idx="26">
                  <c:v>42.16520824652261</c:v>
                </c:pt>
                <c:pt idx="27">
                  <c:v>44.645514613965112</c:v>
                </c:pt>
                <c:pt idx="28">
                  <c:v>47.125820981407621</c:v>
                </c:pt>
                <c:pt idx="29">
                  <c:v>49.60612734885013</c:v>
                </c:pt>
              </c:numCache>
            </c:numRef>
          </c:xVal>
          <c:yVal>
            <c:numRef>
              <c:f>'Calcoli eqilib.'!$Z$116:$Z$145</c:f>
              <c:numCache>
                <c:formatCode>0.00E+00</c:formatCode>
                <c:ptCount val="30"/>
                <c:pt idx="0" formatCode="General">
                  <c:v>0</c:v>
                </c:pt>
                <c:pt idx="1">
                  <c:v>1.11674294715811E-2</c:v>
                </c:pt>
                <c:pt idx="2">
                  <c:v>2.3188210400931299E-2</c:v>
                </c:pt>
                <c:pt idx="3">
                  <c:v>4.31153941833059E-2</c:v>
                </c:pt>
                <c:pt idx="4">
                  <c:v>5.2361116413003603E-2</c:v>
                </c:pt>
                <c:pt idx="5">
                  <c:v>8.2534212956698397E-2</c:v>
                </c:pt>
                <c:pt idx="6">
                  <c:v>-9.5827809277938894E-2</c:v>
                </c:pt>
                <c:pt idx="7" formatCode="General">
                  <c:v>-0.50877587635659305</c:v>
                </c:pt>
                <c:pt idx="8" formatCode="General">
                  <c:v>-1.7082302663256499</c:v>
                </c:pt>
                <c:pt idx="9" formatCode="General">
                  <c:v>-2.9940698307843401</c:v>
                </c:pt>
                <c:pt idx="10" formatCode="General">
                  <c:v>-4.1584078034357299</c:v>
                </c:pt>
                <c:pt idx="11" formatCode="General">
                  <c:v>-4.6819103682087899</c:v>
                </c:pt>
                <c:pt idx="12" formatCode="General">
                  <c:v>-4.6453453485797596</c:v>
                </c:pt>
                <c:pt idx="13" formatCode="General">
                  <c:v>-4.0816164470537002</c:v>
                </c:pt>
                <c:pt idx="14" formatCode="General">
                  <c:v>-0.102254626599764</c:v>
                </c:pt>
                <c:pt idx="15" formatCode="General">
                  <c:v>2.43082734774802</c:v>
                </c:pt>
                <c:pt idx="16" formatCode="General">
                  <c:v>7.1992616750321998</c:v>
                </c:pt>
                <c:pt idx="17" formatCode="General">
                  <c:v>11.8685716136983</c:v>
                </c:pt>
                <c:pt idx="18" formatCode="General">
                  <c:v>11.885691955234901</c:v>
                </c:pt>
                <c:pt idx="19" formatCode="General">
                  <c:v>7.2604060265998704</c:v>
                </c:pt>
                <c:pt idx="20" formatCode="General">
                  <c:v>0.66414795628013501</c:v>
                </c:pt>
                <c:pt idx="21" formatCode="General">
                  <c:v>-4.6877079542973199</c:v>
                </c:pt>
                <c:pt idx="22" formatCode="General">
                  <c:v>-6.93472582054242</c:v>
                </c:pt>
                <c:pt idx="23" formatCode="General">
                  <c:v>-5.8967629712458196</c:v>
                </c:pt>
                <c:pt idx="24" formatCode="General">
                  <c:v>-2.1421460251275</c:v>
                </c:pt>
                <c:pt idx="25" formatCode="General">
                  <c:v>4.0441510019626099</c:v>
                </c:pt>
                <c:pt idx="26" formatCode="General">
                  <c:v>13.031620077101</c:v>
                </c:pt>
                <c:pt idx="27" formatCode="General">
                  <c:v>25.608577993297398</c:v>
                </c:pt>
                <c:pt idx="28" formatCode="General">
                  <c:v>42.603041039535903</c:v>
                </c:pt>
                <c:pt idx="29" formatCode="General">
                  <c:v>64.6986765281289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8E83-4B59-8452-E1FCEEF86719}"/>
            </c:ext>
          </c:extLst>
        </c:ser>
        <c:ser>
          <c:idx val="5"/>
          <c:order val="1"/>
          <c:tx>
            <c:v>T = 14 K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'Calcoli eqilib.'!$S$116:$S$145</c:f>
              <c:numCache>
                <c:formatCode>General</c:formatCode>
                <c:ptCount val="30"/>
                <c:pt idx="0">
                  <c:v>0</c:v>
                </c:pt>
                <c:pt idx="1">
                  <c:v>9.970831597118876E-2</c:v>
                </c:pt>
                <c:pt idx="2">
                  <c:v>0.21330634760005554</c:v>
                </c:pt>
                <c:pt idx="3">
                  <c:v>0.42165208246522606</c:v>
                </c:pt>
                <c:pt idx="4">
                  <c:v>0.53078556263269638</c:v>
                </c:pt>
                <c:pt idx="5">
                  <c:v>1.0318074488560827</c:v>
                </c:pt>
                <c:pt idx="6">
                  <c:v>3.0210131555449729</c:v>
                </c:pt>
                <c:pt idx="7">
                  <c:v>4.1718753100382955</c:v>
                </c:pt>
                <c:pt idx="8">
                  <c:v>6.0172232474155205</c:v>
                </c:pt>
                <c:pt idx="9">
                  <c:v>7.5153282933507946</c:v>
                </c:pt>
                <c:pt idx="10">
                  <c:v>9.0134333392860686</c:v>
                </c:pt>
                <c:pt idx="11">
                  <c:v>10.506577772486457</c:v>
                </c:pt>
                <c:pt idx="12">
                  <c:v>10.923269242216797</c:v>
                </c:pt>
                <c:pt idx="13">
                  <c:v>12.009643431156617</c:v>
                </c:pt>
                <c:pt idx="14">
                  <c:v>14.499871024068892</c:v>
                </c:pt>
                <c:pt idx="15">
                  <c:v>15.537631208206836</c:v>
                </c:pt>
                <c:pt idx="16">
                  <c:v>17.362144572097545</c:v>
                </c:pt>
                <c:pt idx="17">
                  <c:v>19.842450939540051</c:v>
                </c:pt>
                <c:pt idx="18">
                  <c:v>22.322757306982556</c:v>
                </c:pt>
                <c:pt idx="19">
                  <c:v>24.803063674425065</c:v>
                </c:pt>
                <c:pt idx="20">
                  <c:v>27.28337004186757</c:v>
                </c:pt>
                <c:pt idx="21">
                  <c:v>29.763676409310076</c:v>
                </c:pt>
                <c:pt idx="22">
                  <c:v>32.243982776752581</c:v>
                </c:pt>
                <c:pt idx="23">
                  <c:v>34.72428914419509</c:v>
                </c:pt>
                <c:pt idx="24">
                  <c:v>37.204595511637592</c:v>
                </c:pt>
                <c:pt idx="25">
                  <c:v>39.684901879080101</c:v>
                </c:pt>
                <c:pt idx="26">
                  <c:v>42.16520824652261</c:v>
                </c:pt>
                <c:pt idx="27">
                  <c:v>44.645514613965112</c:v>
                </c:pt>
                <c:pt idx="28">
                  <c:v>47.125820981407621</c:v>
                </c:pt>
                <c:pt idx="29">
                  <c:v>49.60612734885013</c:v>
                </c:pt>
              </c:numCache>
            </c:numRef>
          </c:xVal>
          <c:yVal>
            <c:numRef>
              <c:f>'Calcoli eqilib.'!$V$116:$V$145</c:f>
              <c:numCache>
                <c:formatCode>0.00E+00</c:formatCode>
                <c:ptCount val="30"/>
                <c:pt idx="0" formatCode="General">
                  <c:v>0</c:v>
                </c:pt>
                <c:pt idx="1">
                  <c:v>1.1332549914159501E-2</c:v>
                </c:pt>
                <c:pt idx="2">
                  <c:v>2.35478391221846E-2</c:v>
                </c:pt>
                <c:pt idx="3">
                  <c:v>4.38607034423322E-2</c:v>
                </c:pt>
                <c:pt idx="4">
                  <c:v>5.3329576263566103E-2</c:v>
                </c:pt>
                <c:pt idx="5">
                  <c:v>8.48228710535298E-2</c:v>
                </c:pt>
                <c:pt idx="6">
                  <c:v>-7.7501182030902796E-2</c:v>
                </c:pt>
                <c:pt idx="7" formatCode="General">
                  <c:v>-0.46780143855719297</c:v>
                </c:pt>
                <c:pt idx="8" formatCode="General">
                  <c:v>-1.60638093281808</c:v>
                </c:pt>
                <c:pt idx="9" formatCode="General">
                  <c:v>-2.8297216504067899</c:v>
                </c:pt>
                <c:pt idx="10" formatCode="General">
                  <c:v>-3.94145598218828</c:v>
                </c:pt>
                <c:pt idx="11" formatCode="General">
                  <c:v>-4.4503854216690897</c:v>
                </c:pt>
                <c:pt idx="12" formatCode="General">
                  <c:v>-4.4202728148469301</c:v>
                </c:pt>
                <c:pt idx="13" formatCode="General">
                  <c:v>-3.9001083122234301</c:v>
                </c:pt>
                <c:pt idx="14" formatCode="General">
                  <c:v>-0.174515640611628</c:v>
                </c:pt>
                <c:pt idx="15" formatCode="General">
                  <c:v>2.2015830051060599</c:v>
                </c:pt>
                <c:pt idx="16" formatCode="General">
                  <c:v>6.6712247996929097</c:v>
                </c:pt>
                <c:pt idx="17" formatCode="General">
                  <c:v>11.022982108831901</c:v>
                </c:pt>
                <c:pt idx="18" formatCode="General">
                  <c:v>10.972160967202299</c:v>
                </c:pt>
                <c:pt idx="19" formatCode="General">
                  <c:v>6.5431454246426197</c:v>
                </c:pt>
                <c:pt idx="20" formatCode="General">
                  <c:v>0.27843126589238498</c:v>
                </c:pt>
                <c:pt idx="21" formatCode="General">
                  <c:v>-4.7691924139920596</c:v>
                </c:pt>
                <c:pt idx="22" formatCode="General">
                  <c:v>-6.8309658234981798</c:v>
                </c:pt>
                <c:pt idx="23" formatCode="General">
                  <c:v>-5.72236793633137</c:v>
                </c:pt>
                <c:pt idx="24" formatCode="General">
                  <c:v>-1.9556612377251399</c:v>
                </c:pt>
                <c:pt idx="25" formatCode="General">
                  <c:v>4.2345683169553796</c:v>
                </c:pt>
                <c:pt idx="26" formatCode="General">
                  <c:v>13.2347268492891</c:v>
                </c:pt>
                <c:pt idx="27" formatCode="General">
                  <c:v>25.822351976509299</c:v>
                </c:pt>
                <c:pt idx="28" formatCode="General">
                  <c:v>42.806538635726398</c:v>
                </c:pt>
                <c:pt idx="29" formatCode="General">
                  <c:v>64.8582876385139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E83-4B59-8452-E1FCEEF86719}"/>
            </c:ext>
          </c:extLst>
        </c:ser>
        <c:ser>
          <c:idx val="3"/>
          <c:order val="2"/>
          <c:tx>
            <c:v>T = 15 K</c:v>
          </c:tx>
          <c:spPr>
            <a:ln>
              <a:solidFill>
                <a:srgbClr val="BB11AF"/>
              </a:solidFill>
            </a:ln>
          </c:spPr>
          <c:marker>
            <c:symbol val="none"/>
          </c:marker>
          <c:xVal>
            <c:numRef>
              <c:f>'Calcoli eqilib.'!$S$116:$S$145</c:f>
              <c:numCache>
                <c:formatCode>General</c:formatCode>
                <c:ptCount val="30"/>
                <c:pt idx="0">
                  <c:v>0</c:v>
                </c:pt>
                <c:pt idx="1">
                  <c:v>9.970831597118876E-2</c:v>
                </c:pt>
                <c:pt idx="2">
                  <c:v>0.21330634760005554</c:v>
                </c:pt>
                <c:pt idx="3">
                  <c:v>0.42165208246522606</c:v>
                </c:pt>
                <c:pt idx="4">
                  <c:v>0.53078556263269638</c:v>
                </c:pt>
                <c:pt idx="5">
                  <c:v>1.0318074488560827</c:v>
                </c:pt>
                <c:pt idx="6">
                  <c:v>3.0210131555449729</c:v>
                </c:pt>
                <c:pt idx="7">
                  <c:v>4.1718753100382955</c:v>
                </c:pt>
                <c:pt idx="8">
                  <c:v>6.0172232474155205</c:v>
                </c:pt>
                <c:pt idx="9">
                  <c:v>7.5153282933507946</c:v>
                </c:pt>
                <c:pt idx="10">
                  <c:v>9.0134333392860686</c:v>
                </c:pt>
                <c:pt idx="11">
                  <c:v>10.506577772486457</c:v>
                </c:pt>
                <c:pt idx="12">
                  <c:v>10.923269242216797</c:v>
                </c:pt>
                <c:pt idx="13">
                  <c:v>12.009643431156617</c:v>
                </c:pt>
                <c:pt idx="14">
                  <c:v>14.499871024068892</c:v>
                </c:pt>
                <c:pt idx="15">
                  <c:v>15.537631208206836</c:v>
                </c:pt>
                <c:pt idx="16">
                  <c:v>17.362144572097545</c:v>
                </c:pt>
                <c:pt idx="17">
                  <c:v>19.842450939540051</c:v>
                </c:pt>
                <c:pt idx="18">
                  <c:v>22.322757306982556</c:v>
                </c:pt>
                <c:pt idx="19">
                  <c:v>24.803063674425065</c:v>
                </c:pt>
                <c:pt idx="20">
                  <c:v>27.28337004186757</c:v>
                </c:pt>
                <c:pt idx="21">
                  <c:v>29.763676409310076</c:v>
                </c:pt>
                <c:pt idx="22">
                  <c:v>32.243982776752581</c:v>
                </c:pt>
                <c:pt idx="23">
                  <c:v>34.72428914419509</c:v>
                </c:pt>
                <c:pt idx="24">
                  <c:v>37.204595511637592</c:v>
                </c:pt>
                <c:pt idx="25">
                  <c:v>39.684901879080101</c:v>
                </c:pt>
                <c:pt idx="26">
                  <c:v>42.16520824652261</c:v>
                </c:pt>
                <c:pt idx="27">
                  <c:v>44.645514613965112</c:v>
                </c:pt>
                <c:pt idx="28">
                  <c:v>47.125820981407621</c:v>
                </c:pt>
                <c:pt idx="29">
                  <c:v>49.60612734885013</c:v>
                </c:pt>
              </c:numCache>
            </c:numRef>
          </c:xVal>
          <c:yVal>
            <c:numRef>
              <c:f>'Calcoli eqilib.'!$Y$116:$Y$145</c:f>
              <c:numCache>
                <c:formatCode>0.00E+00</c:formatCode>
                <c:ptCount val="30"/>
                <c:pt idx="0" formatCode="General">
                  <c:v>0</c:v>
                </c:pt>
                <c:pt idx="1">
                  <c:v>1.21698976979042E-2</c:v>
                </c:pt>
                <c:pt idx="2">
                  <c:v>2.5368022588125601E-2</c:v>
                </c:pt>
                <c:pt idx="3">
                  <c:v>4.7611685368014203E-2</c:v>
                </c:pt>
                <c:pt idx="4">
                  <c:v>5.8184708177501099E-2</c:v>
                </c:pt>
                <c:pt idx="5">
                  <c:v>9.6035734608989107E-2</c:v>
                </c:pt>
                <c:pt idx="6">
                  <c:v>5.6848660238804404E-3</c:v>
                </c:pt>
                <c:pt idx="7" formatCode="General">
                  <c:v>-0.28521631432957001</c:v>
                </c:pt>
                <c:pt idx="8" formatCode="General">
                  <c:v>-1.1583545594803299</c:v>
                </c:pt>
                <c:pt idx="9" formatCode="General">
                  <c:v>-2.10970279900712</c:v>
                </c:pt>
                <c:pt idx="10" formatCode="General">
                  <c:v>-2.9920816377851698</c:v>
                </c:pt>
                <c:pt idx="11" formatCode="General">
                  <c:v>-3.4356485300099102</c:v>
                </c:pt>
                <c:pt idx="12" formatCode="General">
                  <c:v>-3.4326465305267599</c:v>
                </c:pt>
                <c:pt idx="13" formatCode="General">
                  <c:v>-3.0984141632791702</c:v>
                </c:pt>
                <c:pt idx="14" formatCode="General">
                  <c:v>-0.46170901101897099</c:v>
                </c:pt>
                <c:pt idx="15" formatCode="General">
                  <c:v>1.2405163835697199</c:v>
                </c:pt>
                <c:pt idx="16" formatCode="General">
                  <c:v>4.4289220411195096</c:v>
                </c:pt>
                <c:pt idx="17" formatCode="General">
                  <c:v>7.4252595708473299</c:v>
                </c:pt>
                <c:pt idx="18" formatCode="General">
                  <c:v>7.0982555241549399</c:v>
                </c:pt>
                <c:pt idx="19" formatCode="General">
                  <c:v>3.5306847329037598</c:v>
                </c:pt>
                <c:pt idx="20" formatCode="General">
                  <c:v>-1.2948475455958499</c:v>
                </c:pt>
                <c:pt idx="21" formatCode="General">
                  <c:v>-5.0261788509905996</c:v>
                </c:pt>
                <c:pt idx="22" formatCode="General">
                  <c:v>-6.2849441010462899</c:v>
                </c:pt>
                <c:pt idx="23" formatCode="General">
                  <c:v>-4.8623644176863099</c:v>
                </c:pt>
                <c:pt idx="24" formatCode="General">
                  <c:v>-1.0277023862796999</c:v>
                </c:pt>
                <c:pt idx="25" formatCode="General">
                  <c:v>5.1976781272296</c:v>
                </c:pt>
                <c:pt idx="26" formatCode="General">
                  <c:v>14.2665638649264</c:v>
                </c:pt>
                <c:pt idx="27" formatCode="General">
                  <c:v>26.904847088434501</c:v>
                </c:pt>
                <c:pt idx="28" formatCode="General">
                  <c:v>43.838151981567002</c:v>
                </c:pt>
                <c:pt idx="29" formatCode="General">
                  <c:v>65.683493009406007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8E83-4B59-8452-E1FCEEF86719}"/>
            </c:ext>
          </c:extLst>
        </c:ser>
        <c:ser>
          <c:idx val="1"/>
          <c:order val="3"/>
          <c:tx>
            <c:v>T = 16 K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'Calcoli eqilib.'!$S$116:$S$145</c:f>
              <c:numCache>
                <c:formatCode>General</c:formatCode>
                <c:ptCount val="30"/>
                <c:pt idx="0">
                  <c:v>0</c:v>
                </c:pt>
                <c:pt idx="1">
                  <c:v>9.970831597118876E-2</c:v>
                </c:pt>
                <c:pt idx="2">
                  <c:v>0.21330634760005554</c:v>
                </c:pt>
                <c:pt idx="3">
                  <c:v>0.42165208246522606</c:v>
                </c:pt>
                <c:pt idx="4">
                  <c:v>0.53078556263269638</c:v>
                </c:pt>
                <c:pt idx="5">
                  <c:v>1.0318074488560827</c:v>
                </c:pt>
                <c:pt idx="6">
                  <c:v>3.0210131555449729</c:v>
                </c:pt>
                <c:pt idx="7">
                  <c:v>4.1718753100382955</c:v>
                </c:pt>
                <c:pt idx="8">
                  <c:v>6.0172232474155205</c:v>
                </c:pt>
                <c:pt idx="9">
                  <c:v>7.5153282933507946</c:v>
                </c:pt>
                <c:pt idx="10">
                  <c:v>9.0134333392860686</c:v>
                </c:pt>
                <c:pt idx="11">
                  <c:v>10.506577772486457</c:v>
                </c:pt>
                <c:pt idx="12">
                  <c:v>10.923269242216797</c:v>
                </c:pt>
                <c:pt idx="13">
                  <c:v>12.009643431156617</c:v>
                </c:pt>
                <c:pt idx="14">
                  <c:v>14.499871024068892</c:v>
                </c:pt>
                <c:pt idx="15">
                  <c:v>15.537631208206836</c:v>
                </c:pt>
                <c:pt idx="16">
                  <c:v>17.362144572097545</c:v>
                </c:pt>
                <c:pt idx="17">
                  <c:v>19.842450939540051</c:v>
                </c:pt>
                <c:pt idx="18">
                  <c:v>22.322757306982556</c:v>
                </c:pt>
                <c:pt idx="19">
                  <c:v>24.803063674425065</c:v>
                </c:pt>
                <c:pt idx="20">
                  <c:v>27.28337004186757</c:v>
                </c:pt>
                <c:pt idx="21">
                  <c:v>29.763676409310076</c:v>
                </c:pt>
                <c:pt idx="22">
                  <c:v>32.243982776752581</c:v>
                </c:pt>
                <c:pt idx="23">
                  <c:v>34.72428914419509</c:v>
                </c:pt>
                <c:pt idx="24">
                  <c:v>37.204595511637592</c:v>
                </c:pt>
                <c:pt idx="25">
                  <c:v>39.684901879080101</c:v>
                </c:pt>
                <c:pt idx="26">
                  <c:v>42.16520824652261</c:v>
                </c:pt>
                <c:pt idx="27">
                  <c:v>44.645514613965112</c:v>
                </c:pt>
                <c:pt idx="28">
                  <c:v>47.125820981407621</c:v>
                </c:pt>
                <c:pt idx="29">
                  <c:v>49.60612734885013</c:v>
                </c:pt>
              </c:numCache>
            </c:numRef>
          </c:xVal>
          <c:yVal>
            <c:numRef>
              <c:f>'Calcoli eqilib.'!$W$116:$W$145</c:f>
              <c:numCache>
                <c:formatCode>0.00E+00</c:formatCode>
                <c:ptCount val="30"/>
                <c:pt idx="0" formatCode="General">
                  <c:v>0</c:v>
                </c:pt>
                <c:pt idx="1">
                  <c:v>1.3005927464524799E-2</c:v>
                </c:pt>
                <c:pt idx="2">
                  <c:v>2.7179967401663899E-2</c:v>
                </c:pt>
                <c:pt idx="3">
                  <c:v>5.1314278351546103E-2</c:v>
                </c:pt>
                <c:pt idx="4">
                  <c:v>6.2949420758358507E-2</c:v>
                </c:pt>
                <c:pt idx="5">
                  <c:v>0.106659773954824</c:v>
                </c:pt>
                <c:pt idx="6">
                  <c:v>7.4802230941029405E-2</c:v>
                </c:pt>
                <c:pt idx="7" formatCode="General">
                  <c:v>-0.138847701215492</c:v>
                </c:pt>
                <c:pt idx="8" formatCode="General">
                  <c:v>-0.80843577079892104</c:v>
                </c:pt>
                <c:pt idx="9" formatCode="General">
                  <c:v>-1.5520142933444501</c:v>
                </c:pt>
                <c:pt idx="10" formatCode="General">
                  <c:v>-2.25843368198192</c:v>
                </c:pt>
                <c:pt idx="11" formatCode="General">
                  <c:v>-2.64878232267889</c:v>
                </c:pt>
                <c:pt idx="12" formatCode="General">
                  <c:v>-2.6648657688321702</c:v>
                </c:pt>
                <c:pt idx="13" formatCode="General">
                  <c:v>-2.4665840615330299</c:v>
                </c:pt>
                <c:pt idx="14" formatCode="General">
                  <c:v>-0.63619374547589702</c:v>
                </c:pt>
                <c:pt idx="15" formatCode="General">
                  <c:v>0.56645647755859796</c:v>
                </c:pt>
                <c:pt idx="16" formatCode="General">
                  <c:v>2.8071626526847</c:v>
                </c:pt>
                <c:pt idx="17" formatCode="General">
                  <c:v>4.8112101514985497</c:v>
                </c:pt>
                <c:pt idx="18" formatCode="General">
                  <c:v>4.3054839160563096</c:v>
                </c:pt>
                <c:pt idx="19" formatCode="General">
                  <c:v>1.4099008960605599</c:v>
                </c:pt>
                <c:pt idx="20" formatCode="General">
                  <c:v>-2.3182863103563198</c:v>
                </c:pt>
                <c:pt idx="21" formatCode="General">
                  <c:v>-5.0517197563801304</c:v>
                </c:pt>
                <c:pt idx="22" formatCode="General">
                  <c:v>-5.6981128495762698</c:v>
                </c:pt>
                <c:pt idx="23" formatCode="General">
                  <c:v>-4.0232971395903103</c:v>
                </c:pt>
                <c:pt idx="24" formatCode="General">
                  <c:v>-0.112837719574594</c:v>
                </c:pt>
                <c:pt idx="25" formatCode="General">
                  <c:v>6.1660254440950704</c:v>
                </c:pt>
                <c:pt idx="26" formatCode="General">
                  <c:v>15.3067380591014</c:v>
                </c:pt>
                <c:pt idx="27" formatCode="General">
                  <c:v>27.989307724707899</c:v>
                </c:pt>
                <c:pt idx="28" formatCode="General">
                  <c:v>44.874099710700698</c:v>
                </c:pt>
                <c:pt idx="29" formatCode="General">
                  <c:v>66.538342632483605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83-4B59-8452-E1FCEEF86719}"/>
            </c:ext>
          </c:extLst>
        </c:ser>
        <c:ser>
          <c:idx val="6"/>
          <c:order val="4"/>
          <c:tx>
            <c:v>T = 20 K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'Calcoli eqilib.'!$S$116:$S$145</c:f>
              <c:numCache>
                <c:formatCode>General</c:formatCode>
                <c:ptCount val="30"/>
                <c:pt idx="0">
                  <c:v>0</c:v>
                </c:pt>
                <c:pt idx="1">
                  <c:v>9.970831597118876E-2</c:v>
                </c:pt>
                <c:pt idx="2">
                  <c:v>0.21330634760005554</c:v>
                </c:pt>
                <c:pt idx="3">
                  <c:v>0.42165208246522606</c:v>
                </c:pt>
                <c:pt idx="4">
                  <c:v>0.53078556263269638</c:v>
                </c:pt>
                <c:pt idx="5">
                  <c:v>1.0318074488560827</c:v>
                </c:pt>
                <c:pt idx="6">
                  <c:v>3.0210131555449729</c:v>
                </c:pt>
                <c:pt idx="7">
                  <c:v>4.1718753100382955</c:v>
                </c:pt>
                <c:pt idx="8">
                  <c:v>6.0172232474155205</c:v>
                </c:pt>
                <c:pt idx="9">
                  <c:v>7.5153282933507946</c:v>
                </c:pt>
                <c:pt idx="10">
                  <c:v>9.0134333392860686</c:v>
                </c:pt>
                <c:pt idx="11">
                  <c:v>10.506577772486457</c:v>
                </c:pt>
                <c:pt idx="12">
                  <c:v>10.923269242216797</c:v>
                </c:pt>
                <c:pt idx="13">
                  <c:v>12.009643431156617</c:v>
                </c:pt>
                <c:pt idx="14">
                  <c:v>14.499871024068892</c:v>
                </c:pt>
                <c:pt idx="15">
                  <c:v>15.537631208206836</c:v>
                </c:pt>
                <c:pt idx="16">
                  <c:v>17.362144572097545</c:v>
                </c:pt>
                <c:pt idx="17">
                  <c:v>19.842450939540051</c:v>
                </c:pt>
                <c:pt idx="18">
                  <c:v>22.322757306982556</c:v>
                </c:pt>
                <c:pt idx="19">
                  <c:v>24.803063674425065</c:v>
                </c:pt>
                <c:pt idx="20">
                  <c:v>27.28337004186757</c:v>
                </c:pt>
                <c:pt idx="21">
                  <c:v>29.763676409310076</c:v>
                </c:pt>
                <c:pt idx="22">
                  <c:v>32.243982776752581</c:v>
                </c:pt>
                <c:pt idx="23">
                  <c:v>34.72428914419509</c:v>
                </c:pt>
                <c:pt idx="24">
                  <c:v>37.204595511637592</c:v>
                </c:pt>
                <c:pt idx="25">
                  <c:v>39.684901879080101</c:v>
                </c:pt>
                <c:pt idx="26">
                  <c:v>42.16520824652261</c:v>
                </c:pt>
                <c:pt idx="27">
                  <c:v>44.645514613965112</c:v>
                </c:pt>
                <c:pt idx="28">
                  <c:v>47.125820981407621</c:v>
                </c:pt>
                <c:pt idx="29">
                  <c:v>49.60612734885013</c:v>
                </c:pt>
              </c:numCache>
            </c:numRef>
          </c:xVal>
          <c:yVal>
            <c:numRef>
              <c:f>'Calcoli eqilib.'!$U$116:$U$145</c:f>
              <c:numCache>
                <c:formatCode>0.00E+00</c:formatCode>
                <c:ptCount val="30"/>
                <c:pt idx="0" formatCode="General">
                  <c:v>0</c:v>
                </c:pt>
                <c:pt idx="1">
                  <c:v>1.6342045142054899E-2</c:v>
                </c:pt>
                <c:pt idx="2">
                  <c:v>3.4378044192839498E-2</c:v>
                </c:pt>
                <c:pt idx="3">
                  <c:v>6.5834375119655494E-2</c:v>
                </c:pt>
                <c:pt idx="4">
                  <c:v>8.1466769399005004E-2</c:v>
                </c:pt>
                <c:pt idx="5" formatCode="General">
                  <c:v>0.14564264344995201</c:v>
                </c:pt>
                <c:pt idx="6" formatCode="General">
                  <c:v>0.26753337944901701</c:v>
                </c:pt>
                <c:pt idx="7" formatCode="General">
                  <c:v>0.23109639193210599</c:v>
                </c:pt>
                <c:pt idx="8">
                  <c:v>7.5006318462408003E-3</c:v>
                </c:pt>
                <c:pt idx="9" formatCode="General">
                  <c:v>-0.28678883322479498</c:v>
                </c:pt>
                <c:pt idx="10" formatCode="General">
                  <c:v>-0.60610987160402696</c:v>
                </c:pt>
                <c:pt idx="11" formatCode="General">
                  <c:v>-0.854023633020628</c:v>
                </c:pt>
                <c:pt idx="12" formatCode="General">
                  <c:v>-0.89805054032117204</c:v>
                </c:pt>
                <c:pt idx="13" formatCode="General">
                  <c:v>-0.94433885964668296</c:v>
                </c:pt>
                <c:pt idx="14" formatCode="General">
                  <c:v>-0.65499152409519201</c:v>
                </c:pt>
                <c:pt idx="15" formatCode="General">
                  <c:v>-0.41426337254102502</c:v>
                </c:pt>
                <c:pt idx="16">
                  <c:v>1.40791823276932E-2</c:v>
                </c:pt>
                <c:pt idx="17" formatCode="General">
                  <c:v>0.19063078508219999</c:v>
                </c:pt>
                <c:pt idx="18" formatCode="General">
                  <c:v>-0.47283937703831902</c:v>
                </c:pt>
                <c:pt idx="19" formatCode="General">
                  <c:v>-1.81582642638181</c:v>
                </c:pt>
                <c:pt idx="20" formatCode="General">
                  <c:v>-3.1673065554842901</c:v>
                </c:pt>
                <c:pt idx="21" formatCode="General">
                  <c:v>-3.7566830354668999</c:v>
                </c:pt>
                <c:pt idx="22" formatCode="General">
                  <c:v>-3.03776030853553</c:v>
                </c:pt>
                <c:pt idx="23" formatCode="General">
                  <c:v>-0.69317165821681304</c:v>
                </c:pt>
                <c:pt idx="24" formatCode="General">
                  <c:v>3.5646003733473099</c:v>
                </c:pt>
                <c:pt idx="25" formatCode="General">
                  <c:v>10.146114192918899</c:v>
                </c:pt>
                <c:pt idx="26" formatCode="General">
                  <c:v>19.578587251223901</c:v>
                </c:pt>
                <c:pt idx="27" formatCode="General">
                  <c:v>32.412519134028997</c:v>
                </c:pt>
                <c:pt idx="28" formatCode="General">
                  <c:v>49.162510870705603</c:v>
                </c:pt>
                <c:pt idx="29" formatCode="General">
                  <c:v>70.327301412780102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E83-4B59-8452-E1FCEEF86719}"/>
            </c:ext>
          </c:extLst>
        </c:ser>
        <c:ser>
          <c:idx val="7"/>
          <c:order val="5"/>
          <c:tx>
            <c:v>T = 32.9 K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'Calcoli eqilib.'!$S$116:$S$145</c:f>
              <c:numCache>
                <c:formatCode>General</c:formatCode>
                <c:ptCount val="30"/>
                <c:pt idx="0">
                  <c:v>0</c:v>
                </c:pt>
                <c:pt idx="1">
                  <c:v>9.970831597118876E-2</c:v>
                </c:pt>
                <c:pt idx="2">
                  <c:v>0.21330634760005554</c:v>
                </c:pt>
                <c:pt idx="3">
                  <c:v>0.42165208246522606</c:v>
                </c:pt>
                <c:pt idx="4">
                  <c:v>0.53078556263269638</c:v>
                </c:pt>
                <c:pt idx="5">
                  <c:v>1.0318074488560827</c:v>
                </c:pt>
                <c:pt idx="6">
                  <c:v>3.0210131555449729</c:v>
                </c:pt>
                <c:pt idx="7">
                  <c:v>4.1718753100382955</c:v>
                </c:pt>
                <c:pt idx="8">
                  <c:v>6.0172232474155205</c:v>
                </c:pt>
                <c:pt idx="9">
                  <c:v>7.5153282933507946</c:v>
                </c:pt>
                <c:pt idx="10">
                  <c:v>9.0134333392860686</c:v>
                </c:pt>
                <c:pt idx="11">
                  <c:v>10.506577772486457</c:v>
                </c:pt>
                <c:pt idx="12">
                  <c:v>10.923269242216797</c:v>
                </c:pt>
                <c:pt idx="13">
                  <c:v>12.009643431156617</c:v>
                </c:pt>
                <c:pt idx="14">
                  <c:v>14.499871024068892</c:v>
                </c:pt>
                <c:pt idx="15">
                  <c:v>15.537631208206836</c:v>
                </c:pt>
                <c:pt idx="16">
                  <c:v>17.362144572097545</c:v>
                </c:pt>
                <c:pt idx="17">
                  <c:v>19.842450939540051</c:v>
                </c:pt>
                <c:pt idx="18">
                  <c:v>22.322757306982556</c:v>
                </c:pt>
                <c:pt idx="19">
                  <c:v>24.803063674425065</c:v>
                </c:pt>
                <c:pt idx="20">
                  <c:v>27.28337004186757</c:v>
                </c:pt>
                <c:pt idx="21">
                  <c:v>29.763676409310076</c:v>
                </c:pt>
                <c:pt idx="22">
                  <c:v>32.243982776752581</c:v>
                </c:pt>
                <c:pt idx="23">
                  <c:v>34.72428914419509</c:v>
                </c:pt>
                <c:pt idx="24">
                  <c:v>37.204595511637592</c:v>
                </c:pt>
                <c:pt idx="25">
                  <c:v>39.684901879080101</c:v>
                </c:pt>
                <c:pt idx="26">
                  <c:v>42.16520824652261</c:v>
                </c:pt>
                <c:pt idx="27">
                  <c:v>44.645514613965112</c:v>
                </c:pt>
                <c:pt idx="28">
                  <c:v>47.125820981407621</c:v>
                </c:pt>
                <c:pt idx="29">
                  <c:v>49.60612734885013</c:v>
                </c:pt>
              </c:numCache>
            </c:numRef>
          </c:xVal>
          <c:yVal>
            <c:numRef>
              <c:f>'Calcoli eqilib.'!$T$116:$T$145</c:f>
              <c:numCache>
                <c:formatCode>0.00E+00</c:formatCode>
                <c:ptCount val="30"/>
                <c:pt idx="0" formatCode="General">
                  <c:v>0</c:v>
                </c:pt>
                <c:pt idx="1">
                  <c:v>2.70833457855587E-2</c:v>
                </c:pt>
                <c:pt idx="2">
                  <c:v>5.7475570791324399E-2</c:v>
                </c:pt>
                <c:pt idx="3" formatCode="General">
                  <c:v>0.111947163239698</c:v>
                </c:pt>
                <c:pt idx="4" formatCode="General">
                  <c:v>0.13983172034321001</c:v>
                </c:pt>
                <c:pt idx="5" formatCode="General">
                  <c:v>0.262253130992953</c:v>
                </c:pt>
                <c:pt idx="6" formatCode="General">
                  <c:v>0.66360558101338996</c:v>
                </c:pt>
                <c:pt idx="7" formatCode="General">
                  <c:v>0.83951963182290901</c:v>
                </c:pt>
                <c:pt idx="8" formatCode="General">
                  <c:v>1.04616711342596</c:v>
                </c:pt>
                <c:pt idx="9" formatCode="General">
                  <c:v>1.1550052284513399</c:v>
                </c:pt>
                <c:pt idx="10" formatCode="General">
                  <c:v>1.2217016694267799</c:v>
                </c:pt>
                <c:pt idx="11" formatCode="General">
                  <c:v>1.25737814977347</c:v>
                </c:pt>
                <c:pt idx="12" formatCode="General">
                  <c:v>1.2633646523348501</c:v>
                </c:pt>
                <c:pt idx="13" formatCode="General">
                  <c:v>1.27331937131878</c:v>
                </c:pt>
                <c:pt idx="14" formatCode="General">
                  <c:v>1.2789735832448199</c:v>
                </c:pt>
                <c:pt idx="15" formatCode="General">
                  <c:v>1.27862003801876</c:v>
                </c:pt>
                <c:pt idx="16" formatCode="General">
                  <c:v>1.27863993319252</c:v>
                </c:pt>
                <c:pt idx="17" formatCode="General">
                  <c:v>1.2956617440153499</c:v>
                </c:pt>
                <c:pt idx="18" formatCode="General">
                  <c:v>1.3911231061451701</c:v>
                </c:pt>
                <c:pt idx="19" formatCode="General">
                  <c:v>1.69730120973218</c:v>
                </c:pt>
                <c:pt idx="20" formatCode="General">
                  <c:v>2.4198204120836899</c:v>
                </c:pt>
                <c:pt idx="21" formatCode="General">
                  <c:v>3.8245721792730998</c:v>
                </c:pt>
                <c:pt idx="22" formatCode="General">
                  <c:v>6.2322951857389599</c:v>
                </c:pt>
                <c:pt idx="23" formatCode="General">
                  <c:v>10.0213707571756</c:v>
                </c:pt>
                <c:pt idx="24" formatCode="General">
                  <c:v>15.6193607944116</c:v>
                </c:pt>
                <c:pt idx="25" formatCode="General">
                  <c:v>23.474129439715099</c:v>
                </c:pt>
                <c:pt idx="26" formatCode="General">
                  <c:v>34.021893196194803</c:v>
                </c:pt>
                <c:pt idx="27" formatCode="General">
                  <c:v>47.678431516129898</c:v>
                </c:pt>
                <c:pt idx="28" formatCode="General">
                  <c:v>64.861213064008197</c:v>
                </c:pt>
                <c:pt idx="29" formatCode="General">
                  <c:v>86.026227715793596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E83-4B59-8452-E1FCEEF86719}"/>
            </c:ext>
          </c:extLst>
        </c:ser>
        <c:ser>
          <c:idx val="2"/>
          <c:order val="6"/>
          <c:tx>
            <c:v>T = 35 K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'Calcoli eqilib.'!$S$116:$S$145</c:f>
              <c:numCache>
                <c:formatCode>General</c:formatCode>
                <c:ptCount val="30"/>
                <c:pt idx="0">
                  <c:v>0</c:v>
                </c:pt>
                <c:pt idx="1">
                  <c:v>9.970831597118876E-2</c:v>
                </c:pt>
                <c:pt idx="2">
                  <c:v>0.21330634760005554</c:v>
                </c:pt>
                <c:pt idx="3">
                  <c:v>0.42165208246522606</c:v>
                </c:pt>
                <c:pt idx="4">
                  <c:v>0.53078556263269638</c:v>
                </c:pt>
                <c:pt idx="5">
                  <c:v>1.0318074488560827</c:v>
                </c:pt>
                <c:pt idx="6">
                  <c:v>3.0210131555449729</c:v>
                </c:pt>
                <c:pt idx="7">
                  <c:v>4.1718753100382955</c:v>
                </c:pt>
                <c:pt idx="8">
                  <c:v>6.0172232474155205</c:v>
                </c:pt>
                <c:pt idx="9">
                  <c:v>7.5153282933507946</c:v>
                </c:pt>
                <c:pt idx="10">
                  <c:v>9.0134333392860686</c:v>
                </c:pt>
                <c:pt idx="11">
                  <c:v>10.506577772486457</c:v>
                </c:pt>
                <c:pt idx="12">
                  <c:v>10.923269242216797</c:v>
                </c:pt>
                <c:pt idx="13">
                  <c:v>12.009643431156617</c:v>
                </c:pt>
                <c:pt idx="14">
                  <c:v>14.499871024068892</c:v>
                </c:pt>
                <c:pt idx="15">
                  <c:v>15.537631208206836</c:v>
                </c:pt>
                <c:pt idx="16">
                  <c:v>17.362144572097545</c:v>
                </c:pt>
                <c:pt idx="17">
                  <c:v>19.842450939540051</c:v>
                </c:pt>
                <c:pt idx="18">
                  <c:v>22.322757306982556</c:v>
                </c:pt>
                <c:pt idx="19">
                  <c:v>24.803063674425065</c:v>
                </c:pt>
                <c:pt idx="20">
                  <c:v>27.28337004186757</c:v>
                </c:pt>
                <c:pt idx="21">
                  <c:v>29.763676409310076</c:v>
                </c:pt>
                <c:pt idx="22">
                  <c:v>32.243982776752581</c:v>
                </c:pt>
                <c:pt idx="23">
                  <c:v>34.72428914419509</c:v>
                </c:pt>
                <c:pt idx="24">
                  <c:v>37.204595511637592</c:v>
                </c:pt>
                <c:pt idx="25">
                  <c:v>39.684901879080101</c:v>
                </c:pt>
                <c:pt idx="26">
                  <c:v>42.16520824652261</c:v>
                </c:pt>
                <c:pt idx="27">
                  <c:v>44.645514613965112</c:v>
                </c:pt>
                <c:pt idx="28">
                  <c:v>47.125820981407621</c:v>
                </c:pt>
                <c:pt idx="29">
                  <c:v>49.60612734885013</c:v>
                </c:pt>
              </c:numCache>
            </c:numRef>
          </c:xVal>
          <c:yVal>
            <c:numRef>
              <c:f>'Calcoli eqilib.'!$X$116:$X$145</c:f>
              <c:numCache>
                <c:formatCode>0.00E+00</c:formatCode>
                <c:ptCount val="30"/>
                <c:pt idx="0" formatCode="General">
                  <c:v>0</c:v>
                </c:pt>
                <c:pt idx="1">
                  <c:v>2.8831272155972199E-2</c:v>
                </c:pt>
                <c:pt idx="2">
                  <c:v>6.1231861133696899E-2</c:v>
                </c:pt>
                <c:pt idx="3" formatCode="General">
                  <c:v>0.119433492059071</c:v>
                </c:pt>
                <c:pt idx="4" formatCode="General">
                  <c:v>0.14929580410207199</c:v>
                </c:pt>
                <c:pt idx="5" formatCode="General">
                  <c:v>0.28100690529130201</c:v>
                </c:pt>
                <c:pt idx="6" formatCode="General">
                  <c:v>0.72272112622740503</c:v>
                </c:pt>
                <c:pt idx="7" formatCode="General">
                  <c:v>0.92468940437605995</c:v>
                </c:pt>
                <c:pt idx="8" formatCode="General">
                  <c:v>1.1774261631062399</c:v>
                </c:pt>
                <c:pt idx="9" formatCode="General">
                  <c:v>1.32713682778276</c:v>
                </c:pt>
                <c:pt idx="10" formatCode="General">
                  <c:v>1.43668100664605</c:v>
                </c:pt>
                <c:pt idx="11" formatCode="General">
                  <c:v>1.51560429339834</c:v>
                </c:pt>
                <c:pt idx="12" formatCode="General">
                  <c:v>1.5335805145855299</c:v>
                </c:pt>
                <c:pt idx="13" formatCode="General">
                  <c:v>1.57445227834098</c:v>
                </c:pt>
                <c:pt idx="14" formatCode="General">
                  <c:v>1.64996419250605</c:v>
                </c:pt>
                <c:pt idx="15" formatCode="General">
                  <c:v>1.67980288230075</c:v>
                </c:pt>
                <c:pt idx="16" formatCode="General">
                  <c:v>1.73883124800902</c:v>
                </c:pt>
                <c:pt idx="17" formatCode="General">
                  <c:v>1.85837840840321</c:v>
                </c:pt>
                <c:pt idx="18" formatCode="General">
                  <c:v>2.0916804298929801</c:v>
                </c:pt>
                <c:pt idx="19" formatCode="General">
                  <c:v>2.57005301159578</c:v>
                </c:pt>
                <c:pt idx="20" formatCode="General">
                  <c:v>3.4891296045393898</c:v>
                </c:pt>
                <c:pt idx="21" formatCode="General">
                  <c:v>5.1046845609105702</c:v>
                </c:pt>
                <c:pt idx="22" formatCode="General">
                  <c:v>7.7325073124325199</c:v>
                </c:pt>
                <c:pt idx="23" formatCode="General">
                  <c:v>11.7489398156118</c:v>
                </c:pt>
                <c:pt idx="24" formatCode="General">
                  <c:v>17.577155401087701</c:v>
                </c:pt>
                <c:pt idx="25" formatCode="General">
                  <c:v>25.6564398793581</c:v>
                </c:pt>
                <c:pt idx="26" formatCode="General">
                  <c:v>36.413134537445202</c:v>
                </c:pt>
                <c:pt idx="27" formatCode="General">
                  <c:v>50.2557051380697</c:v>
                </c:pt>
                <c:pt idx="28" formatCode="General">
                  <c:v>67.597884289393093</c:v>
                </c:pt>
                <c:pt idx="29" formatCode="General">
                  <c:v>88.893371893315603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83-4B59-8452-E1FCEEF86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7"/>
                <c:tx>
                  <c:v>T = 296 K</c:v>
                </c:tx>
                <c:spPr>
                  <a:ln>
                    <a:solidFill>
                      <a:srgbClr val="00B0F0"/>
                    </a:solidFill>
                    <a:prstDash val="sysDash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'Calcoli eqilib.'!$L$96:$L$111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0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5.0000000000000009</c:v>
                      </c:pt>
                      <c:pt idx="4">
                        <c:v>7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18</c:v>
                      </c:pt>
                      <c:pt idx="12">
                        <c:v>20.000000000000004</c:v>
                      </c:pt>
                      <c:pt idx="13">
                        <c:v>21</c:v>
                      </c:pt>
                      <c:pt idx="14">
                        <c:v>23</c:v>
                      </c:pt>
                      <c:pt idx="15">
                        <c:v>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'Calcoli eqilib.'!$Q$96:$Q$111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2.1651150684447198</c:v>
                      </c:pt>
                      <c:pt idx="2">
                        <c:v>4.9381949187026501</c:v>
                      </c:pt>
                      <c:pt idx="3">
                        <c:v>6.1293897261433603</c:v>
                      </c:pt>
                      <c:pt idx="4">
                        <c:v>6.2521555068801904</c:v>
                      </c:pt>
                      <c:pt idx="5">
                        <c:v>5.8572156379492304</c:v>
                      </c:pt>
                      <c:pt idx="6">
                        <c:v>5.0681830687335196</c:v>
                      </c:pt>
                      <c:pt idx="7">
                        <c:v>6.1758626816412496</c:v>
                      </c:pt>
                      <c:pt idx="8">
                        <c:v>7.8445085584583802</c:v>
                      </c:pt>
                      <c:pt idx="9">
                        <c:v>5.7438697077841701</c:v>
                      </c:pt>
                      <c:pt idx="10">
                        <c:v>6.2517707615780802</c:v>
                      </c:pt>
                      <c:pt idx="11">
                        <c:v>7.5915580302068504</c:v>
                      </c:pt>
                      <c:pt idx="12">
                        <c:v>14.0280376946701</c:v>
                      </c:pt>
                      <c:pt idx="13">
                        <c:v>20.0058526784808</c:v>
                      </c:pt>
                      <c:pt idx="14">
                        <c:v>40.378485613045903</c:v>
                      </c:pt>
                      <c:pt idx="15">
                        <c:v>77.271230223885297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8E83-4B59-8452-E1FCEEF86719}"/>
                  </c:ext>
                </c:extLst>
              </c15:ser>
            </c15:filteredScatterSeries>
          </c:ext>
        </c:extLst>
      </c:scatterChart>
      <c:valAx>
        <c:axId val="68415872"/>
        <c:scaling>
          <c:orientation val="minMax"/>
          <c:max val="44"/>
          <c:min val="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el-GR" sz="1050" b="1" i="0" u="none" strike="noStrike" baseline="0">
                    <a:effectLst/>
                  </a:rPr>
                  <a:t>ρ</a:t>
                </a:r>
                <a:r>
                  <a:rPr lang="it-IT" sz="1050" b="1" i="0" u="none" strike="noStrike" baseline="0">
                    <a:effectLst/>
                  </a:rPr>
                  <a:t> </a:t>
                </a:r>
                <a:r>
                  <a:rPr lang="it-IT" sz="1050"/>
                  <a:t>[mol/dm</a:t>
                </a:r>
                <a:r>
                  <a:rPr lang="it-IT" sz="1050" baseline="30000"/>
                  <a:t>3</a:t>
                </a:r>
                <a:r>
                  <a:rPr lang="it-IT" sz="1050"/>
                  <a:t>]</a:t>
                </a:r>
              </a:p>
            </c:rich>
          </c:tx>
          <c:layout>
            <c:manualLayout>
              <c:xMode val="edge"/>
              <c:yMode val="edge"/>
              <c:x val="0.46939557981388691"/>
              <c:y val="0.925259521131287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4"/>
      </c:valAx>
      <c:valAx>
        <c:axId val="68417792"/>
        <c:scaling>
          <c:orientation val="minMax"/>
          <c:max val="16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P [MPa]</a:t>
                </a:r>
              </a:p>
            </c:rich>
          </c:tx>
          <c:layout>
            <c:manualLayout>
              <c:xMode val="edge"/>
              <c:yMode val="edge"/>
              <c:x val="2.8372839876817831E-2"/>
              <c:y val="0.40937689418656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410209377236934"/>
          <c:y val="9.9866404199475067E-2"/>
          <c:w val="0.16362055595323313"/>
          <c:h val="0.2735805345760351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18401866433"/>
          <c:y val="6.8178904962461082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'Thermal cond.'!$G$2</c:f>
              <c:strCache>
                <c:ptCount val="1"/>
                <c:pt idx="0">
                  <c:v> exp. data [28]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'Thermal cond.'!$O$4:$O$16</c:f>
              <c:numCache>
                <c:formatCode>General</c:formatCode>
                <c:ptCount val="13"/>
                <c:pt idx="0">
                  <c:v>298.45</c:v>
                </c:pt>
                <c:pt idx="1">
                  <c:v>298.45</c:v>
                </c:pt>
                <c:pt idx="2">
                  <c:v>298.45</c:v>
                </c:pt>
                <c:pt idx="3">
                  <c:v>298.45</c:v>
                </c:pt>
                <c:pt idx="4">
                  <c:v>298.45</c:v>
                </c:pt>
                <c:pt idx="5">
                  <c:v>298.45</c:v>
                </c:pt>
                <c:pt idx="6">
                  <c:v>298.45</c:v>
                </c:pt>
                <c:pt idx="7">
                  <c:v>298.45</c:v>
                </c:pt>
                <c:pt idx="8">
                  <c:v>298.45</c:v>
                </c:pt>
                <c:pt idx="9">
                  <c:v>298.45</c:v>
                </c:pt>
                <c:pt idx="10">
                  <c:v>298.45</c:v>
                </c:pt>
                <c:pt idx="11">
                  <c:v>298.45</c:v>
                </c:pt>
                <c:pt idx="12">
                  <c:v>298.45</c:v>
                </c:pt>
              </c:numCache>
            </c:numRef>
          </c:xVal>
          <c:yVal>
            <c:numRef>
              <c:f>'Thermal cond.'!$S$4:$S$16</c:f>
              <c:numCache>
                <c:formatCode>General</c:formatCode>
                <c:ptCount val="13"/>
                <c:pt idx="0">
                  <c:v>1.6272957819381093</c:v>
                </c:pt>
                <c:pt idx="1">
                  <c:v>0.7921125340584857</c:v>
                </c:pt>
                <c:pt idx="2">
                  <c:v>0.95684522820310469</c:v>
                </c:pt>
                <c:pt idx="3">
                  <c:v>1.9348472379154336</c:v>
                </c:pt>
                <c:pt idx="4">
                  <c:v>0.92887577011404221</c:v>
                </c:pt>
                <c:pt idx="5">
                  <c:v>0.36341511524607339</c:v>
                </c:pt>
                <c:pt idx="6">
                  <c:v>0.24429135039227529</c:v>
                </c:pt>
                <c:pt idx="7">
                  <c:v>0.82644813918391136</c:v>
                </c:pt>
                <c:pt idx="8">
                  <c:v>0.68497295647043333</c:v>
                </c:pt>
                <c:pt idx="9">
                  <c:v>2.0598793311221901E-3</c:v>
                </c:pt>
                <c:pt idx="10">
                  <c:v>-0.20422680169630977</c:v>
                </c:pt>
                <c:pt idx="11">
                  <c:v>-2.1712403599499894</c:v>
                </c:pt>
                <c:pt idx="12">
                  <c:v>-2.2805247555208612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B4-4188-8BD8-04C3D7599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1"/>
          <c:order val="1"/>
          <c:tx>
            <c:strRef>
              <c:f>'Thermal cond.'!$G$17</c:f>
              <c:strCache>
                <c:ptCount val="1"/>
                <c:pt idx="0">
                  <c:v> exp. data [29]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'Thermal cond.'!$O$17:$O$38</c:f>
              <c:numCache>
                <c:formatCode>General</c:formatCode>
                <c:ptCount val="22"/>
                <c:pt idx="0">
                  <c:v>303.58999999999997</c:v>
                </c:pt>
                <c:pt idx="1">
                  <c:v>303.31</c:v>
                </c:pt>
                <c:pt idx="2">
                  <c:v>303.08</c:v>
                </c:pt>
                <c:pt idx="3">
                  <c:v>302.91999999999996</c:v>
                </c:pt>
                <c:pt idx="4">
                  <c:v>302.79999999999995</c:v>
                </c:pt>
                <c:pt idx="5">
                  <c:v>302.64999999999998</c:v>
                </c:pt>
                <c:pt idx="6">
                  <c:v>302.46999999999997</c:v>
                </c:pt>
                <c:pt idx="7">
                  <c:v>302.33</c:v>
                </c:pt>
                <c:pt idx="8">
                  <c:v>302.09999999999997</c:v>
                </c:pt>
                <c:pt idx="9">
                  <c:v>301.94</c:v>
                </c:pt>
                <c:pt idx="10">
                  <c:v>301.78999999999996</c:v>
                </c:pt>
                <c:pt idx="11">
                  <c:v>301.64999999999998</c:v>
                </c:pt>
                <c:pt idx="12">
                  <c:v>301.42999999999995</c:v>
                </c:pt>
                <c:pt idx="13">
                  <c:v>301.54999999999995</c:v>
                </c:pt>
                <c:pt idx="14">
                  <c:v>301.54999999999995</c:v>
                </c:pt>
                <c:pt idx="15">
                  <c:v>301.53999999999996</c:v>
                </c:pt>
                <c:pt idx="16">
                  <c:v>301.75</c:v>
                </c:pt>
                <c:pt idx="17">
                  <c:v>301.52</c:v>
                </c:pt>
                <c:pt idx="18">
                  <c:v>301.77</c:v>
                </c:pt>
                <c:pt idx="19">
                  <c:v>301.75</c:v>
                </c:pt>
                <c:pt idx="20">
                  <c:v>301.44</c:v>
                </c:pt>
                <c:pt idx="21">
                  <c:v>301.33999999999997</c:v>
                </c:pt>
              </c:numCache>
            </c:numRef>
          </c:xVal>
          <c:yVal>
            <c:numRef>
              <c:f>'Thermal cond.'!$S$17:$S$38</c:f>
              <c:numCache>
                <c:formatCode>General</c:formatCode>
                <c:ptCount val="22"/>
                <c:pt idx="0">
                  <c:v>0.51169444328383185</c:v>
                </c:pt>
                <c:pt idx="1">
                  <c:v>1.1403466638420079</c:v>
                </c:pt>
                <c:pt idx="2">
                  <c:v>1.1942256139054597</c:v>
                </c:pt>
                <c:pt idx="3">
                  <c:v>1.4743887938807159</c:v>
                </c:pt>
                <c:pt idx="4">
                  <c:v>1.7000297313417236</c:v>
                </c:pt>
                <c:pt idx="5">
                  <c:v>1.4451071579785568</c:v>
                </c:pt>
                <c:pt idx="6">
                  <c:v>1.5276305863432607</c:v>
                </c:pt>
                <c:pt idx="7">
                  <c:v>1.6107778991946338</c:v>
                </c:pt>
                <c:pt idx="8">
                  <c:v>1.6728952457975617</c:v>
                </c:pt>
                <c:pt idx="9">
                  <c:v>1.5497952035603917</c:v>
                </c:pt>
                <c:pt idx="10">
                  <c:v>1.3817681869539153</c:v>
                </c:pt>
                <c:pt idx="11">
                  <c:v>1.1500284992132528</c:v>
                </c:pt>
                <c:pt idx="12">
                  <c:v>0.89891391378258079</c:v>
                </c:pt>
                <c:pt idx="13">
                  <c:v>0.53412796691791109</c:v>
                </c:pt>
                <c:pt idx="14">
                  <c:v>0.41176696570140198</c:v>
                </c:pt>
                <c:pt idx="15">
                  <c:v>-0.12913578947689053</c:v>
                </c:pt>
                <c:pt idx="16">
                  <c:v>-0.80145377033450083</c:v>
                </c:pt>
                <c:pt idx="17">
                  <c:v>-1.5077909463211971</c:v>
                </c:pt>
                <c:pt idx="18">
                  <c:v>-2.580780670635737</c:v>
                </c:pt>
                <c:pt idx="19">
                  <c:v>-2.7668544577883099</c:v>
                </c:pt>
                <c:pt idx="20">
                  <c:v>-3.9380263945431033</c:v>
                </c:pt>
                <c:pt idx="21">
                  <c:v>-4.9793299092053003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5BB4-4188-8BD8-04C3D7599817}"/>
            </c:ext>
          </c:extLst>
        </c:ser>
        <c:ser>
          <c:idx val="0"/>
          <c:order val="2"/>
          <c:tx>
            <c:strRef>
              <c:f>'Thermal cond.'!$G$39</c:f>
              <c:strCache>
                <c:ptCount val="1"/>
                <c:pt idx="0">
                  <c:v> exp. data [30]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99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'Thermal cond.'!$O$39:$O$71</c:f>
              <c:numCache>
                <c:formatCode>General</c:formatCode>
                <c:ptCount val="33"/>
                <c:pt idx="0">
                  <c:v>276.81199999999995</c:v>
                </c:pt>
                <c:pt idx="1">
                  <c:v>276.81199999999995</c:v>
                </c:pt>
                <c:pt idx="2">
                  <c:v>276.81199999999995</c:v>
                </c:pt>
                <c:pt idx="3">
                  <c:v>276.81199999999995</c:v>
                </c:pt>
                <c:pt idx="4">
                  <c:v>276.81199999999995</c:v>
                </c:pt>
                <c:pt idx="5">
                  <c:v>299.14999999999998</c:v>
                </c:pt>
                <c:pt idx="6">
                  <c:v>299.14999999999998</c:v>
                </c:pt>
                <c:pt idx="7">
                  <c:v>299.14999999999998</c:v>
                </c:pt>
                <c:pt idx="8">
                  <c:v>299.14999999999998</c:v>
                </c:pt>
                <c:pt idx="9">
                  <c:v>299.14999999999998</c:v>
                </c:pt>
                <c:pt idx="10">
                  <c:v>304.04999999999995</c:v>
                </c:pt>
                <c:pt idx="11">
                  <c:v>304.04999999999995</c:v>
                </c:pt>
                <c:pt idx="12">
                  <c:v>304.04999999999995</c:v>
                </c:pt>
                <c:pt idx="13">
                  <c:v>304.45999999999998</c:v>
                </c:pt>
                <c:pt idx="14">
                  <c:v>305.20399999999995</c:v>
                </c:pt>
                <c:pt idx="15">
                  <c:v>305.20399999999995</c:v>
                </c:pt>
                <c:pt idx="16">
                  <c:v>305.20399999999995</c:v>
                </c:pt>
                <c:pt idx="17">
                  <c:v>305.20399999999995</c:v>
                </c:pt>
                <c:pt idx="18">
                  <c:v>305.20399999999995</c:v>
                </c:pt>
                <c:pt idx="19">
                  <c:v>305.20399999999995</c:v>
                </c:pt>
                <c:pt idx="20">
                  <c:v>305.20399999999995</c:v>
                </c:pt>
                <c:pt idx="21">
                  <c:v>305.20399999999995</c:v>
                </c:pt>
                <c:pt idx="22">
                  <c:v>307.87099999999998</c:v>
                </c:pt>
                <c:pt idx="23">
                  <c:v>307.87099999999998</c:v>
                </c:pt>
                <c:pt idx="24">
                  <c:v>307.87099999999998</c:v>
                </c:pt>
                <c:pt idx="25">
                  <c:v>309.39</c:v>
                </c:pt>
                <c:pt idx="26">
                  <c:v>309.39</c:v>
                </c:pt>
                <c:pt idx="27">
                  <c:v>309.39</c:v>
                </c:pt>
                <c:pt idx="28">
                  <c:v>313.23699999999997</c:v>
                </c:pt>
                <c:pt idx="29">
                  <c:v>313.23699999999997</c:v>
                </c:pt>
                <c:pt idx="30">
                  <c:v>313.23699999999997</c:v>
                </c:pt>
                <c:pt idx="31">
                  <c:v>314.37</c:v>
                </c:pt>
                <c:pt idx="32">
                  <c:v>314.37</c:v>
                </c:pt>
              </c:numCache>
            </c:numRef>
          </c:xVal>
          <c:yVal>
            <c:numRef>
              <c:f>'Thermal cond.'!$S$39:$S$71</c:f>
              <c:numCache>
                <c:formatCode>General</c:formatCode>
                <c:ptCount val="33"/>
                <c:pt idx="0">
                  <c:v>3.1838252133477734</c:v>
                </c:pt>
                <c:pt idx="1">
                  <c:v>2.4942401998950547</c:v>
                </c:pt>
                <c:pt idx="2">
                  <c:v>-3.4205697668624402</c:v>
                </c:pt>
                <c:pt idx="3">
                  <c:v>-6.783986732728267</c:v>
                </c:pt>
                <c:pt idx="4">
                  <c:v>-6.1711716558490979</c:v>
                </c:pt>
                <c:pt idx="5">
                  <c:v>3.7289526383794582</c:v>
                </c:pt>
                <c:pt idx="6">
                  <c:v>3.4493401738449418</c:v>
                </c:pt>
                <c:pt idx="7">
                  <c:v>-1.8826813237427724</c:v>
                </c:pt>
                <c:pt idx="8">
                  <c:v>-0.60144896101950529</c:v>
                </c:pt>
                <c:pt idx="9">
                  <c:v>-0.79886242861163281</c:v>
                </c:pt>
                <c:pt idx="10">
                  <c:v>3.6074111806944371</c:v>
                </c:pt>
                <c:pt idx="11">
                  <c:v>2.976167345801338</c:v>
                </c:pt>
                <c:pt idx="12">
                  <c:v>-0.69718843802909602</c:v>
                </c:pt>
                <c:pt idx="13">
                  <c:v>-3.6703880268182201</c:v>
                </c:pt>
                <c:pt idx="14">
                  <c:v>-0.73637406734580602</c:v>
                </c:pt>
                <c:pt idx="15">
                  <c:v>-12.012677848885087</c:v>
                </c:pt>
                <c:pt idx="16">
                  <c:v>-42.750554096433596</c:v>
                </c:pt>
                <c:pt idx="17">
                  <c:v>-55.724692936554511</c:v>
                </c:pt>
                <c:pt idx="18">
                  <c:v>-43.253357793274262</c:v>
                </c:pt>
                <c:pt idx="19">
                  <c:v>-19.731270648523175</c:v>
                </c:pt>
                <c:pt idx="20">
                  <c:v>-7.2670823756255292</c:v>
                </c:pt>
                <c:pt idx="21">
                  <c:v>-3.8872904306393994</c:v>
                </c:pt>
                <c:pt idx="22">
                  <c:v>1.3047229822706707</c:v>
                </c:pt>
                <c:pt idx="23">
                  <c:v>-10.784313429868233</c:v>
                </c:pt>
                <c:pt idx="24">
                  <c:v>0.54248156121059454</c:v>
                </c:pt>
                <c:pt idx="25">
                  <c:v>3.193220043716666</c:v>
                </c:pt>
                <c:pt idx="26">
                  <c:v>2.6718713936853882</c:v>
                </c:pt>
                <c:pt idx="27">
                  <c:v>-1.1080888631860446</c:v>
                </c:pt>
                <c:pt idx="28">
                  <c:v>4.3147015927883521</c:v>
                </c:pt>
                <c:pt idx="29">
                  <c:v>6.9993919350137963</c:v>
                </c:pt>
                <c:pt idx="30">
                  <c:v>-1.1263415291698837</c:v>
                </c:pt>
                <c:pt idx="31">
                  <c:v>3.721982965489699</c:v>
                </c:pt>
                <c:pt idx="32">
                  <c:v>0.24925163999617816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8A-4E33-97BC-9D7A1447C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/>
      </c:scatterChart>
      <c:valAx>
        <c:axId val="68415872"/>
        <c:scaling>
          <c:orientation val="minMax"/>
          <c:max val="325"/>
          <c:min val="217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T[K]</a:t>
                </a:r>
              </a:p>
            </c:rich>
          </c:tx>
          <c:layout>
            <c:manualLayout>
              <c:xMode val="edge"/>
              <c:yMode val="edge"/>
              <c:x val="0.50538039515893851"/>
              <c:y val="0.937693645852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8"/>
        <c:crossBetween val="midCat"/>
        <c:majorUnit val="6"/>
      </c:valAx>
      <c:valAx>
        <c:axId val="68417792"/>
        <c:scaling>
          <c:orientation val="minMax"/>
          <c:max val="4"/>
          <c:min val="-7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2.0180380678221671E-2"/>
              <c:y val="0.409377012913679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"/>
      </c:valAx>
      <c:valAx>
        <c:axId val="986252751"/>
        <c:scaling>
          <c:orientation val="minMax"/>
          <c:max val="4"/>
          <c:min val="-7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1"/>
      </c:valAx>
      <c:valAx>
        <c:axId val="986251919"/>
        <c:scaling>
          <c:orientation val="minMax"/>
          <c:max val="325"/>
          <c:min val="217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6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481107018707097"/>
          <c:y val="8.5974753092555381E-2"/>
          <c:w val="0.14353839398297982"/>
          <c:h val="0.1476807748418453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5"/>
          <c:order val="0"/>
          <c:tx>
            <c:strRef>
              <c:f>'Err. rel.'!$J$14</c:f>
              <c:strCache>
                <c:ptCount val="1"/>
                <c:pt idx="0">
                  <c:v> exp. data [3]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0"/>
          </c:errBars>
          <c:errBars>
            <c:errDir val="x"/>
            <c:errBarType val="both"/>
            <c:errValType val="fixedVal"/>
            <c:noEndCap val="0"/>
            <c:val val="2.0000000000000007E-2"/>
          </c:errBars>
          <c:xVal>
            <c:numRef>
              <c:f>Dati!$K$75:$K$185</c:f>
              <c:numCache>
                <c:formatCode>0.00</c:formatCode>
                <c:ptCount val="111"/>
                <c:pt idx="0">
                  <c:v>170.11099999999999</c:v>
                </c:pt>
                <c:pt idx="1">
                  <c:v>171.81100000000001</c:v>
                </c:pt>
                <c:pt idx="2">
                  <c:v>172.14099999999999</c:v>
                </c:pt>
                <c:pt idx="3">
                  <c:v>173.59099999999998</c:v>
                </c:pt>
                <c:pt idx="4">
                  <c:v>175.34099999999998</c:v>
                </c:pt>
                <c:pt idx="5">
                  <c:v>177.20099999999999</c:v>
                </c:pt>
                <c:pt idx="6">
                  <c:v>179.20099999999999</c:v>
                </c:pt>
                <c:pt idx="7">
                  <c:v>179.73099999999999</c:v>
                </c:pt>
                <c:pt idx="8">
                  <c:v>180.95099999999999</c:v>
                </c:pt>
                <c:pt idx="9">
                  <c:v>183.02099999999999</c:v>
                </c:pt>
                <c:pt idx="10">
                  <c:v>184.37099999999998</c:v>
                </c:pt>
                <c:pt idx="11">
                  <c:v>185.23099999999999</c:v>
                </c:pt>
                <c:pt idx="12">
                  <c:v>187.251</c:v>
                </c:pt>
                <c:pt idx="13">
                  <c:v>187.691</c:v>
                </c:pt>
                <c:pt idx="14">
                  <c:v>189.881</c:v>
                </c:pt>
                <c:pt idx="15">
                  <c:v>192.791</c:v>
                </c:pt>
                <c:pt idx="16">
                  <c:v>192.941</c:v>
                </c:pt>
                <c:pt idx="17">
                  <c:v>194.541</c:v>
                </c:pt>
                <c:pt idx="18">
                  <c:v>196.761</c:v>
                </c:pt>
                <c:pt idx="19">
                  <c:v>197.471</c:v>
                </c:pt>
                <c:pt idx="20">
                  <c:v>199.291</c:v>
                </c:pt>
                <c:pt idx="21">
                  <c:v>201.74099999999999</c:v>
                </c:pt>
                <c:pt idx="22">
                  <c:v>202.821</c:v>
                </c:pt>
                <c:pt idx="23">
                  <c:v>203.80099999999999</c:v>
                </c:pt>
                <c:pt idx="24">
                  <c:v>205.24099999999999</c:v>
                </c:pt>
                <c:pt idx="25">
                  <c:v>207.03100000000001</c:v>
                </c:pt>
                <c:pt idx="26">
                  <c:v>207.221</c:v>
                </c:pt>
                <c:pt idx="27">
                  <c:v>207.61099999999999</c:v>
                </c:pt>
                <c:pt idx="28">
                  <c:v>207.98099999999999</c:v>
                </c:pt>
                <c:pt idx="29">
                  <c:v>208.441</c:v>
                </c:pt>
                <c:pt idx="30">
                  <c:v>209.30099999999999</c:v>
                </c:pt>
                <c:pt idx="31">
                  <c:v>210.73099999999999</c:v>
                </c:pt>
                <c:pt idx="32">
                  <c:v>210.93099999999998</c:v>
                </c:pt>
                <c:pt idx="33">
                  <c:v>211.11099999999999</c:v>
                </c:pt>
                <c:pt idx="34">
                  <c:v>211.23099999999999</c:v>
                </c:pt>
                <c:pt idx="35">
                  <c:v>211.291</c:v>
                </c:pt>
                <c:pt idx="36">
                  <c:v>213.191</c:v>
                </c:pt>
                <c:pt idx="37">
                  <c:v>213.27099999999999</c:v>
                </c:pt>
                <c:pt idx="38">
                  <c:v>213.28100000000001</c:v>
                </c:pt>
                <c:pt idx="39">
                  <c:v>213.31100000000001</c:v>
                </c:pt>
                <c:pt idx="40">
                  <c:v>213.34099999999998</c:v>
                </c:pt>
                <c:pt idx="41">
                  <c:v>213.34099999999998</c:v>
                </c:pt>
                <c:pt idx="42">
                  <c:v>213.351</c:v>
                </c:pt>
                <c:pt idx="43">
                  <c:v>213.39099999999999</c:v>
                </c:pt>
                <c:pt idx="44">
                  <c:v>213.411</c:v>
                </c:pt>
                <c:pt idx="45">
                  <c:v>213.43099999999998</c:v>
                </c:pt>
                <c:pt idx="46">
                  <c:v>213.471</c:v>
                </c:pt>
                <c:pt idx="47">
                  <c:v>213.511</c:v>
                </c:pt>
                <c:pt idx="48">
                  <c:v>213.541</c:v>
                </c:pt>
                <c:pt idx="49">
                  <c:v>213.68099999999998</c:v>
                </c:pt>
                <c:pt idx="50">
                  <c:v>213.70099999999999</c:v>
                </c:pt>
                <c:pt idx="51">
                  <c:v>213.73099999999999</c:v>
                </c:pt>
                <c:pt idx="52">
                  <c:v>213.80099999999999</c:v>
                </c:pt>
                <c:pt idx="53">
                  <c:v>213.851</c:v>
                </c:pt>
                <c:pt idx="54">
                  <c:v>213.92099999999999</c:v>
                </c:pt>
                <c:pt idx="55">
                  <c:v>214.17099999999999</c:v>
                </c:pt>
                <c:pt idx="56">
                  <c:v>214.23099999999999</c:v>
                </c:pt>
                <c:pt idx="57">
                  <c:v>214.34099999999998</c:v>
                </c:pt>
                <c:pt idx="58">
                  <c:v>214.37099999999998</c:v>
                </c:pt>
                <c:pt idx="59">
                  <c:v>214.39099999999999</c:v>
                </c:pt>
                <c:pt idx="60">
                  <c:v>214.39099999999999</c:v>
                </c:pt>
                <c:pt idx="61">
                  <c:v>214.40099999999998</c:v>
                </c:pt>
                <c:pt idx="62">
                  <c:v>214.46099999999998</c:v>
                </c:pt>
                <c:pt idx="63">
                  <c:v>214.52099999999999</c:v>
                </c:pt>
                <c:pt idx="64">
                  <c:v>214.56100000000001</c:v>
                </c:pt>
                <c:pt idx="65">
                  <c:v>214.62099999999998</c:v>
                </c:pt>
                <c:pt idx="66">
                  <c:v>214.74099999999999</c:v>
                </c:pt>
                <c:pt idx="67">
                  <c:v>214.851</c:v>
                </c:pt>
                <c:pt idx="68">
                  <c:v>214.911</c:v>
                </c:pt>
                <c:pt idx="69">
                  <c:v>215.011</c:v>
                </c:pt>
                <c:pt idx="70">
                  <c:v>215.31100000000001</c:v>
                </c:pt>
                <c:pt idx="71">
                  <c:v>215.601</c:v>
                </c:pt>
                <c:pt idx="72">
                  <c:v>216.191</c:v>
                </c:pt>
                <c:pt idx="73">
                  <c:v>216.33099999999999</c:v>
                </c:pt>
                <c:pt idx="74">
                  <c:v>216.381</c:v>
                </c:pt>
                <c:pt idx="75">
                  <c:v>216.45099999999999</c:v>
                </c:pt>
                <c:pt idx="76">
                  <c:v>216.48099999999999</c:v>
                </c:pt>
                <c:pt idx="77">
                  <c:v>216.49099999999999</c:v>
                </c:pt>
                <c:pt idx="78">
                  <c:v>216.53100000000001</c:v>
                </c:pt>
                <c:pt idx="79">
                  <c:v>216.58099999999999</c:v>
                </c:pt>
                <c:pt idx="80">
                  <c:v>216.58099999999999</c:v>
                </c:pt>
                <c:pt idx="81">
                  <c:v>216.59099999999998</c:v>
                </c:pt>
                <c:pt idx="82">
                  <c:v>216.59099999999998</c:v>
                </c:pt>
                <c:pt idx="83">
                  <c:v>216.59099999999998</c:v>
                </c:pt>
                <c:pt idx="84">
                  <c:v>216.601</c:v>
                </c:pt>
                <c:pt idx="85">
                  <c:v>216.61099999999999</c:v>
                </c:pt>
                <c:pt idx="86">
                  <c:v>216.61099999999999</c:v>
                </c:pt>
                <c:pt idx="87">
                  <c:v>216.62099999999998</c:v>
                </c:pt>
                <c:pt idx="88">
                  <c:v>216.631</c:v>
                </c:pt>
                <c:pt idx="89">
                  <c:v>216.631</c:v>
                </c:pt>
                <c:pt idx="90">
                  <c:v>216.64099999999999</c:v>
                </c:pt>
                <c:pt idx="91">
                  <c:v>216.65099999999998</c:v>
                </c:pt>
                <c:pt idx="92">
                  <c:v>216.661</c:v>
                </c:pt>
                <c:pt idx="93">
                  <c:v>216.67099999999999</c:v>
                </c:pt>
                <c:pt idx="94">
                  <c:v>216.67099999999999</c:v>
                </c:pt>
                <c:pt idx="95">
                  <c:v>216.68099999999998</c:v>
                </c:pt>
                <c:pt idx="96">
                  <c:v>216.68099999999998</c:v>
                </c:pt>
                <c:pt idx="97">
                  <c:v>216.68099999999998</c:v>
                </c:pt>
                <c:pt idx="98">
                  <c:v>216.68099999999998</c:v>
                </c:pt>
                <c:pt idx="99">
                  <c:v>216.691</c:v>
                </c:pt>
                <c:pt idx="100">
                  <c:v>216.70099999999999</c:v>
                </c:pt>
                <c:pt idx="101">
                  <c:v>216.70099999999999</c:v>
                </c:pt>
                <c:pt idx="102">
                  <c:v>216.71099999999998</c:v>
                </c:pt>
                <c:pt idx="103">
                  <c:v>216.721</c:v>
                </c:pt>
                <c:pt idx="104">
                  <c:v>216.73099999999999</c:v>
                </c:pt>
                <c:pt idx="105">
                  <c:v>216.74099999999999</c:v>
                </c:pt>
                <c:pt idx="106">
                  <c:v>216.751</c:v>
                </c:pt>
                <c:pt idx="107">
                  <c:v>216.761</c:v>
                </c:pt>
                <c:pt idx="108">
                  <c:v>216.78100000000001</c:v>
                </c:pt>
                <c:pt idx="109">
                  <c:v>216.81100000000001</c:v>
                </c:pt>
                <c:pt idx="110">
                  <c:v>216.911</c:v>
                </c:pt>
              </c:numCache>
            </c:numRef>
          </c:xVal>
          <c:yVal>
            <c:numRef>
              <c:f>Dati!$M$75:$M$185</c:f>
              <c:numCache>
                <c:formatCode>General</c:formatCode>
                <c:ptCount val="111"/>
                <c:pt idx="0">
                  <c:v>1.009514184E-2</c:v>
                </c:pt>
                <c:pt idx="1">
                  <c:v>1.2089638960000001E-2</c:v>
                </c:pt>
                <c:pt idx="2">
                  <c:v>1.2506936820000002E-2</c:v>
                </c:pt>
                <c:pt idx="3">
                  <c:v>1.4546763420000001E-2</c:v>
                </c:pt>
                <c:pt idx="4">
                  <c:v>1.7442517260000002E-2</c:v>
                </c:pt>
                <c:pt idx="5">
                  <c:v>2.0996881780000004E-2</c:v>
                </c:pt>
                <c:pt idx="6">
                  <c:v>2.556049384E-2</c:v>
                </c:pt>
                <c:pt idx="7">
                  <c:v>2.689504706E-2</c:v>
                </c:pt>
                <c:pt idx="8">
                  <c:v>3.0240096040000001E-2</c:v>
                </c:pt>
                <c:pt idx="9">
                  <c:v>3.6755542180000003E-2</c:v>
                </c:pt>
                <c:pt idx="10">
                  <c:v>4.1631127720000001E-2</c:v>
                </c:pt>
                <c:pt idx="11">
                  <c:v>4.5013506860000004E-2</c:v>
                </c:pt>
                <c:pt idx="12">
                  <c:v>5.3966079159999999E-2</c:v>
                </c:pt>
                <c:pt idx="13">
                  <c:v>5.5956576620000004E-2</c:v>
                </c:pt>
                <c:pt idx="14">
                  <c:v>6.7902227820000008E-2</c:v>
                </c:pt>
                <c:pt idx="15">
                  <c:v>8.6909945360000004E-2</c:v>
                </c:pt>
                <c:pt idx="16">
                  <c:v>8.7612552300000007E-2</c:v>
                </c:pt>
                <c:pt idx="17">
                  <c:v>0.10039546566</c:v>
                </c:pt>
                <c:pt idx="18">
                  <c:v>0.12012045556000001</c:v>
                </c:pt>
                <c:pt idx="19">
                  <c:v>0.12721585240000002</c:v>
                </c:pt>
                <c:pt idx="20">
                  <c:v>0.14699283788</c:v>
                </c:pt>
                <c:pt idx="21">
                  <c:v>0.17774755684000001</c:v>
                </c:pt>
                <c:pt idx="22">
                  <c:v>0.19300359330000003</c:v>
                </c:pt>
                <c:pt idx="23">
                  <c:v>0.20787832884000002</c:v>
                </c:pt>
                <c:pt idx="24">
                  <c:v>0.23150432046000002</c:v>
                </c:pt>
                <c:pt idx="25">
                  <c:v>0.26410554912</c:v>
                </c:pt>
                <c:pt idx="26">
                  <c:v>0.26780390140000004</c:v>
                </c:pt>
                <c:pt idx="27">
                  <c:v>0.27547924894000003</c:v>
                </c:pt>
                <c:pt idx="28">
                  <c:v>0.28304660566000006</c:v>
                </c:pt>
                <c:pt idx="29">
                  <c:v>0.29263779033999998</c:v>
                </c:pt>
                <c:pt idx="30">
                  <c:v>0.31126820662000004</c:v>
                </c:pt>
                <c:pt idx="31">
                  <c:v>0.34496534212000002</c:v>
                </c:pt>
                <c:pt idx="32">
                  <c:v>0.34976093446000001</c:v>
                </c:pt>
                <c:pt idx="33">
                  <c:v>0.35419389095999998</c:v>
                </c:pt>
                <c:pt idx="34">
                  <c:v>0.35732962439999999</c:v>
                </c:pt>
                <c:pt idx="35">
                  <c:v>0.35886416062000004</c:v>
                </c:pt>
                <c:pt idx="36">
                  <c:v>0.40993315272000008</c:v>
                </c:pt>
                <c:pt idx="37">
                  <c:v>0.41224228975999999</c:v>
                </c:pt>
                <c:pt idx="38">
                  <c:v>0.41276091234000001</c:v>
                </c:pt>
                <c:pt idx="39">
                  <c:v>0.41361417313999999</c:v>
                </c:pt>
                <c:pt idx="40">
                  <c:v>0.41433144550000001</c:v>
                </c:pt>
                <c:pt idx="41">
                  <c:v>0.41447410004000007</c:v>
                </c:pt>
                <c:pt idx="42">
                  <c:v>0.41475807590000002</c:v>
                </c:pt>
                <c:pt idx="43">
                  <c:v>0.41575532446000002</c:v>
                </c:pt>
                <c:pt idx="44">
                  <c:v>0.41649792800000002</c:v>
                </c:pt>
                <c:pt idx="45">
                  <c:v>0.41710454310000006</c:v>
                </c:pt>
                <c:pt idx="46">
                  <c:v>0.41826044484000002</c:v>
                </c:pt>
                <c:pt idx="47">
                  <c:v>0.41934568592000004</c:v>
                </c:pt>
                <c:pt idx="48">
                  <c:v>0.42020561282000002</c:v>
                </c:pt>
                <c:pt idx="49">
                  <c:v>0.42426393450000005</c:v>
                </c:pt>
                <c:pt idx="50">
                  <c:v>0.42499453906000001</c:v>
                </c:pt>
                <c:pt idx="51">
                  <c:v>0.42572247718000006</c:v>
                </c:pt>
                <c:pt idx="52">
                  <c:v>0.42776630344000005</c:v>
                </c:pt>
                <c:pt idx="53">
                  <c:v>0.42923817832</c:v>
                </c:pt>
                <c:pt idx="54">
                  <c:v>0.43144732386000006</c:v>
                </c:pt>
                <c:pt idx="55">
                  <c:v>0.43881736401999999</c:v>
                </c:pt>
                <c:pt idx="56">
                  <c:v>0.44087452248000003</c:v>
                </c:pt>
                <c:pt idx="57">
                  <c:v>0.44429156534000003</c:v>
                </c:pt>
                <c:pt idx="58">
                  <c:v>0.44503550210000004</c:v>
                </c:pt>
                <c:pt idx="59">
                  <c:v>0.44568344702000001</c:v>
                </c:pt>
                <c:pt idx="60">
                  <c:v>0.44583810054000006</c:v>
                </c:pt>
                <c:pt idx="61">
                  <c:v>0.44599008762000003</c:v>
                </c:pt>
                <c:pt idx="62">
                  <c:v>0.44793125594000005</c:v>
                </c:pt>
                <c:pt idx="63">
                  <c:v>0.44980842970000001</c:v>
                </c:pt>
                <c:pt idx="64">
                  <c:v>0.45086967282000001</c:v>
                </c:pt>
                <c:pt idx="65">
                  <c:v>0.45288816790000003</c:v>
                </c:pt>
                <c:pt idx="66">
                  <c:v>0.45660385204000004</c:v>
                </c:pt>
                <c:pt idx="67">
                  <c:v>0.46003556032000004</c:v>
                </c:pt>
                <c:pt idx="68">
                  <c:v>0.46211405030000002</c:v>
                </c:pt>
                <c:pt idx="69">
                  <c:v>0.46521645324000005</c:v>
                </c:pt>
                <c:pt idx="70">
                  <c:v>0.47479030606000006</c:v>
                </c:pt>
                <c:pt idx="71">
                  <c:v>0.48436682532000003</c:v>
                </c:pt>
                <c:pt idx="72">
                  <c:v>0.50437045820000004</c:v>
                </c:pt>
                <c:pt idx="73">
                  <c:v>0.50916205087999999</c:v>
                </c:pt>
                <c:pt idx="74">
                  <c:v>0.51094989889999998</c:v>
                </c:pt>
                <c:pt idx="75">
                  <c:v>0.51354301180000006</c:v>
                </c:pt>
                <c:pt idx="76">
                  <c:v>0.51444426852000003</c:v>
                </c:pt>
                <c:pt idx="77">
                  <c:v>0.51471091252000001</c:v>
                </c:pt>
                <c:pt idx="78">
                  <c:v>0.51616145588000006</c:v>
                </c:pt>
                <c:pt idx="79">
                  <c:v>0.51796930220000004</c:v>
                </c:pt>
                <c:pt idx="80">
                  <c:v>0.51867857524000005</c:v>
                </c:pt>
                <c:pt idx="81">
                  <c:v>0.5187985650400001</c:v>
                </c:pt>
                <c:pt idx="82">
                  <c:v>0.51894655245999999</c:v>
                </c:pt>
                <c:pt idx="83">
                  <c:v>0.51897988295999997</c:v>
                </c:pt>
                <c:pt idx="84">
                  <c:v>0.5191372029200001</c:v>
                </c:pt>
                <c:pt idx="85">
                  <c:v>0.51921719612000006</c:v>
                </c:pt>
                <c:pt idx="86">
                  <c:v>0.51928785678</c:v>
                </c:pt>
                <c:pt idx="87">
                  <c:v>0.51957983196000002</c:v>
                </c:pt>
                <c:pt idx="88">
                  <c:v>0.51972648616000006</c:v>
                </c:pt>
                <c:pt idx="89">
                  <c:v>0.51985847494000004</c:v>
                </c:pt>
                <c:pt idx="90">
                  <c:v>0.52002779387999998</c:v>
                </c:pt>
                <c:pt idx="91">
                  <c:v>0.52019444638000001</c:v>
                </c:pt>
                <c:pt idx="92">
                  <c:v>0.52044242530000007</c:v>
                </c:pt>
                <c:pt idx="93">
                  <c:v>0.52057308086000009</c:v>
                </c:pt>
                <c:pt idx="94">
                  <c:v>0.52075306556000001</c:v>
                </c:pt>
                <c:pt idx="95">
                  <c:v>0.52080506114000003</c:v>
                </c:pt>
                <c:pt idx="96">
                  <c:v>0.52085439028000002</c:v>
                </c:pt>
                <c:pt idx="97">
                  <c:v>0.52095438177999998</c:v>
                </c:pt>
                <c:pt idx="98">
                  <c:v>0.52097438007999997</c:v>
                </c:pt>
                <c:pt idx="99">
                  <c:v>0.52123169154000004</c:v>
                </c:pt>
                <c:pt idx="100">
                  <c:v>0.52131168474</c:v>
                </c:pt>
                <c:pt idx="101">
                  <c:v>0.52136767998</c:v>
                </c:pt>
                <c:pt idx="102">
                  <c:v>0.52149966875999998</c:v>
                </c:pt>
                <c:pt idx="103">
                  <c:v>0.52174631445999997</c:v>
                </c:pt>
                <c:pt idx="104">
                  <c:v>0.52210761707999997</c:v>
                </c:pt>
                <c:pt idx="105">
                  <c:v>0.52232626516000003</c:v>
                </c:pt>
                <c:pt idx="106">
                  <c:v>0.52254224680000005</c:v>
                </c:pt>
                <c:pt idx="107">
                  <c:v>0.52272223150000008</c:v>
                </c:pt>
                <c:pt idx="108">
                  <c:v>0.52321152324000009</c:v>
                </c:pt>
                <c:pt idx="109">
                  <c:v>0.52377547530000002</c:v>
                </c:pt>
                <c:pt idx="110">
                  <c:v>0.52613394148000003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43-40E8-B150-ED26D0A943F2}"/>
            </c:ext>
          </c:extLst>
        </c:ser>
        <c:ser>
          <c:idx val="6"/>
          <c:order val="1"/>
          <c:tx>
            <c:strRef>
              <c:f>'Err. rel.'!$Q$15</c:f>
              <c:strCache>
                <c:ptCount val="1"/>
                <c:pt idx="0">
                  <c:v> exp. data [4]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Dati!$D$74:$D$98</c:f>
              <c:numCache>
                <c:formatCode>0.00</c:formatCode>
                <c:ptCount val="25"/>
                <c:pt idx="0">
                  <c:v>216.64000000000001</c:v>
                </c:pt>
                <c:pt idx="1">
                  <c:v>216.97</c:v>
                </c:pt>
                <c:pt idx="2">
                  <c:v>216.99</c:v>
                </c:pt>
                <c:pt idx="3">
                  <c:v>217.1</c:v>
                </c:pt>
                <c:pt idx="4">
                  <c:v>217.29000000000002</c:v>
                </c:pt>
                <c:pt idx="5">
                  <c:v>217.31</c:v>
                </c:pt>
                <c:pt idx="6">
                  <c:v>217.52</c:v>
                </c:pt>
                <c:pt idx="7">
                  <c:v>217.66</c:v>
                </c:pt>
                <c:pt idx="8" formatCode="General">
                  <c:v>218.81</c:v>
                </c:pt>
                <c:pt idx="9" formatCode="General">
                  <c:v>218.95000000000002</c:v>
                </c:pt>
                <c:pt idx="10" formatCode="General">
                  <c:v>219.98000000000002</c:v>
                </c:pt>
                <c:pt idx="11" formatCode="General">
                  <c:v>219.99</c:v>
                </c:pt>
                <c:pt idx="12" formatCode="General">
                  <c:v>221.94</c:v>
                </c:pt>
                <c:pt idx="13" formatCode="General">
                  <c:v>222.03</c:v>
                </c:pt>
                <c:pt idx="14" formatCode="General">
                  <c:v>226.25</c:v>
                </c:pt>
                <c:pt idx="15" formatCode="General">
                  <c:v>235.25</c:v>
                </c:pt>
                <c:pt idx="16" formatCode="General">
                  <c:v>242.65</c:v>
                </c:pt>
                <c:pt idx="17">
                  <c:v>242.66</c:v>
                </c:pt>
                <c:pt idx="18">
                  <c:v>252.25</c:v>
                </c:pt>
                <c:pt idx="19">
                  <c:v>259.08999999999997</c:v>
                </c:pt>
                <c:pt idx="20">
                  <c:v>259.2</c:v>
                </c:pt>
                <c:pt idx="21">
                  <c:v>261.62</c:v>
                </c:pt>
                <c:pt idx="22">
                  <c:v>261.62</c:v>
                </c:pt>
                <c:pt idx="23">
                  <c:v>265.66999999999996</c:v>
                </c:pt>
                <c:pt idx="24">
                  <c:v>266</c:v>
                </c:pt>
              </c:numCache>
            </c:numRef>
          </c:xVal>
          <c:yVal>
            <c:numRef>
              <c:f>Dati!$F$74:$F$98</c:f>
              <c:numCache>
                <c:formatCode>General</c:formatCode>
                <c:ptCount val="25"/>
                <c:pt idx="0">
                  <c:v>0.93218999999999996</c:v>
                </c:pt>
                <c:pt idx="1">
                  <c:v>2.6243174999999996</c:v>
                </c:pt>
                <c:pt idx="2">
                  <c:v>2.573655</c:v>
                </c:pt>
                <c:pt idx="3">
                  <c:v>3.1714725000000001</c:v>
                </c:pt>
                <c:pt idx="4">
                  <c:v>4.1036624999999995</c:v>
                </c:pt>
                <c:pt idx="5">
                  <c:v>4.1036624999999995</c:v>
                </c:pt>
                <c:pt idx="6">
                  <c:v>5.0459849999999999</c:v>
                </c:pt>
                <c:pt idx="7">
                  <c:v>5.7856575000000001</c:v>
                </c:pt>
                <c:pt idx="8">
                  <c:v>11.1356175</c:v>
                </c:pt>
                <c:pt idx="9">
                  <c:v>11.7537</c:v>
                </c:pt>
                <c:pt idx="10">
                  <c:v>16.799685</c:v>
                </c:pt>
                <c:pt idx="11">
                  <c:v>16.799685</c:v>
                </c:pt>
                <c:pt idx="12">
                  <c:v>26.192512499999999</c:v>
                </c:pt>
                <c:pt idx="13">
                  <c:v>26.699137499999999</c:v>
                </c:pt>
                <c:pt idx="14">
                  <c:v>47.936857500000002</c:v>
                </c:pt>
                <c:pt idx="15">
                  <c:v>95.863582500000007</c:v>
                </c:pt>
                <c:pt idx="16">
                  <c:v>138.06544499999998</c:v>
                </c:pt>
                <c:pt idx="17">
                  <c:v>138.06544499999998</c:v>
                </c:pt>
                <c:pt idx="18">
                  <c:v>195.96254999999999</c:v>
                </c:pt>
                <c:pt idx="19">
                  <c:v>240.24157499999998</c:v>
                </c:pt>
                <c:pt idx="20">
                  <c:v>241.13323500000001</c:v>
                </c:pt>
                <c:pt idx="21">
                  <c:v>257.04126000000002</c:v>
                </c:pt>
                <c:pt idx="22">
                  <c:v>257.04126000000002</c:v>
                </c:pt>
                <c:pt idx="23">
                  <c:v>284.27742000000001</c:v>
                </c:pt>
                <c:pt idx="24">
                  <c:v>286.770015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043-40E8-B150-ED26D0A943F2}"/>
            </c:ext>
          </c:extLst>
        </c:ser>
        <c:ser>
          <c:idx val="0"/>
          <c:order val="2"/>
          <c:tx>
            <c:strRef>
              <c:f>'Err. rel.'!$Q$44</c:f>
              <c:strCache>
                <c:ptCount val="1"/>
                <c:pt idx="0">
                  <c:v> exp. data [5]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0000000000000014E-3"/>
          </c:errBars>
          <c:errBars>
            <c:errDir val="y"/>
            <c:errBarType val="both"/>
            <c:errValType val="percentage"/>
            <c:noEndCap val="0"/>
            <c:val val="5.0000000000000018E-3"/>
          </c:errBars>
          <c:xVal>
            <c:numRef>
              <c:f>Dati!$C$103:$C$201</c:f>
              <c:numCache>
                <c:formatCode>General</c:formatCode>
                <c:ptCount val="99"/>
                <c:pt idx="0">
                  <c:v>216.58</c:v>
                </c:pt>
                <c:pt idx="1">
                  <c:v>216.58</c:v>
                </c:pt>
                <c:pt idx="2">
                  <c:v>217</c:v>
                </c:pt>
                <c:pt idx="3">
                  <c:v>217</c:v>
                </c:pt>
                <c:pt idx="4">
                  <c:v>217</c:v>
                </c:pt>
                <c:pt idx="5">
                  <c:v>217</c:v>
                </c:pt>
                <c:pt idx="6">
                  <c:v>217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225</c:v>
                </c:pt>
                <c:pt idx="17">
                  <c:v>225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235</c:v>
                </c:pt>
                <c:pt idx="22">
                  <c:v>235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245</c:v>
                </c:pt>
                <c:pt idx="29">
                  <c:v>245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255</c:v>
                </c:pt>
                <c:pt idx="34">
                  <c:v>255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260</c:v>
                </c:pt>
                <c:pt idx="42">
                  <c:v>260</c:v>
                </c:pt>
                <c:pt idx="43">
                  <c:v>265</c:v>
                </c:pt>
                <c:pt idx="44">
                  <c:v>265</c:v>
                </c:pt>
                <c:pt idx="45">
                  <c:v>270</c:v>
                </c:pt>
                <c:pt idx="46">
                  <c:v>270</c:v>
                </c:pt>
                <c:pt idx="47">
                  <c:v>275</c:v>
                </c:pt>
                <c:pt idx="48">
                  <c:v>280</c:v>
                </c:pt>
                <c:pt idx="49">
                  <c:v>280</c:v>
                </c:pt>
                <c:pt idx="50">
                  <c:v>280</c:v>
                </c:pt>
                <c:pt idx="51">
                  <c:v>280</c:v>
                </c:pt>
                <c:pt idx="52">
                  <c:v>280</c:v>
                </c:pt>
                <c:pt idx="53">
                  <c:v>280</c:v>
                </c:pt>
                <c:pt idx="54">
                  <c:v>280</c:v>
                </c:pt>
                <c:pt idx="55">
                  <c:v>280</c:v>
                </c:pt>
                <c:pt idx="56">
                  <c:v>280</c:v>
                </c:pt>
                <c:pt idx="57">
                  <c:v>285</c:v>
                </c:pt>
                <c:pt idx="58">
                  <c:v>285</c:v>
                </c:pt>
                <c:pt idx="59">
                  <c:v>290</c:v>
                </c:pt>
                <c:pt idx="60">
                  <c:v>290</c:v>
                </c:pt>
                <c:pt idx="61">
                  <c:v>290</c:v>
                </c:pt>
                <c:pt idx="62">
                  <c:v>290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295</c:v>
                </c:pt>
                <c:pt idx="67">
                  <c:v>295</c:v>
                </c:pt>
                <c:pt idx="68">
                  <c:v>297</c:v>
                </c:pt>
                <c:pt idx="69">
                  <c:v>297</c:v>
                </c:pt>
                <c:pt idx="70">
                  <c:v>299</c:v>
                </c:pt>
                <c:pt idx="71">
                  <c:v>299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301</c:v>
                </c:pt>
                <c:pt idx="78">
                  <c:v>301</c:v>
                </c:pt>
                <c:pt idx="79">
                  <c:v>302</c:v>
                </c:pt>
                <c:pt idx="80">
                  <c:v>302</c:v>
                </c:pt>
                <c:pt idx="81">
                  <c:v>302</c:v>
                </c:pt>
                <c:pt idx="82">
                  <c:v>302.5</c:v>
                </c:pt>
                <c:pt idx="83">
                  <c:v>302.5</c:v>
                </c:pt>
                <c:pt idx="84">
                  <c:v>302.5</c:v>
                </c:pt>
                <c:pt idx="85">
                  <c:v>303</c:v>
                </c:pt>
                <c:pt idx="86">
                  <c:v>303</c:v>
                </c:pt>
                <c:pt idx="87">
                  <c:v>303</c:v>
                </c:pt>
                <c:pt idx="88">
                  <c:v>303.39999999999998</c:v>
                </c:pt>
                <c:pt idx="89">
                  <c:v>303.39999999999998</c:v>
                </c:pt>
                <c:pt idx="90">
                  <c:v>303.39999999999998</c:v>
                </c:pt>
                <c:pt idx="91">
                  <c:v>303.60000000000002</c:v>
                </c:pt>
                <c:pt idx="92">
                  <c:v>303.60000000000002</c:v>
                </c:pt>
                <c:pt idx="93">
                  <c:v>303.8</c:v>
                </c:pt>
                <c:pt idx="94">
                  <c:v>303.8</c:v>
                </c:pt>
                <c:pt idx="95">
                  <c:v>303.89999999999998</c:v>
                </c:pt>
                <c:pt idx="96">
                  <c:v>304</c:v>
                </c:pt>
                <c:pt idx="97">
                  <c:v>304</c:v>
                </c:pt>
                <c:pt idx="98">
                  <c:v>304.10000000000002</c:v>
                </c:pt>
              </c:numCache>
            </c:numRef>
          </c:xVal>
          <c:yVal>
            <c:numRef>
              <c:f>Dati!$D$103:$D$201</c:f>
              <c:numCache>
                <c:formatCode>General</c:formatCode>
                <c:ptCount val="99"/>
                <c:pt idx="0">
                  <c:v>0.51793999999999996</c:v>
                </c:pt>
                <c:pt idx="1">
                  <c:v>0.51795999999999998</c:v>
                </c:pt>
                <c:pt idx="2">
                  <c:v>0.52746999999999999</c:v>
                </c:pt>
                <c:pt idx="3">
                  <c:v>0.52746000000000004</c:v>
                </c:pt>
                <c:pt idx="4">
                  <c:v>0.52744000000000002</c:v>
                </c:pt>
                <c:pt idx="5">
                  <c:v>0.52746999999999999</c:v>
                </c:pt>
                <c:pt idx="6">
                  <c:v>0.52742999999999995</c:v>
                </c:pt>
                <c:pt idx="7">
                  <c:v>0.59936999999999996</c:v>
                </c:pt>
                <c:pt idx="8">
                  <c:v>0.59938000000000002</c:v>
                </c:pt>
                <c:pt idx="9">
                  <c:v>0.59936</c:v>
                </c:pt>
                <c:pt idx="10">
                  <c:v>0.59938000000000002</c:v>
                </c:pt>
                <c:pt idx="11">
                  <c:v>0.59941</c:v>
                </c:pt>
                <c:pt idx="12">
                  <c:v>0.59936999999999996</c:v>
                </c:pt>
                <c:pt idx="13">
                  <c:v>0.59936</c:v>
                </c:pt>
                <c:pt idx="14">
                  <c:v>0.59940000000000004</c:v>
                </c:pt>
                <c:pt idx="15">
                  <c:v>0.59941999999999995</c:v>
                </c:pt>
                <c:pt idx="16">
                  <c:v>0.73533999999999999</c:v>
                </c:pt>
                <c:pt idx="17">
                  <c:v>0.73536000000000001</c:v>
                </c:pt>
                <c:pt idx="18">
                  <c:v>0.89324000000000003</c:v>
                </c:pt>
                <c:pt idx="19">
                  <c:v>0.89319999999999999</c:v>
                </c:pt>
                <c:pt idx="20">
                  <c:v>0.89324000000000003</c:v>
                </c:pt>
                <c:pt idx="21">
                  <c:v>1.07498</c:v>
                </c:pt>
                <c:pt idx="22">
                  <c:v>1.0749599999999999</c:v>
                </c:pt>
                <c:pt idx="23">
                  <c:v>1.2827500000000001</c:v>
                </c:pt>
                <c:pt idx="24">
                  <c:v>1.2827999999999999</c:v>
                </c:pt>
                <c:pt idx="25">
                  <c:v>1.28284</c:v>
                </c:pt>
                <c:pt idx="26">
                  <c:v>1.28285</c:v>
                </c:pt>
                <c:pt idx="27">
                  <c:v>1.2827900000000001</c:v>
                </c:pt>
                <c:pt idx="28">
                  <c:v>1.5188699999999999</c:v>
                </c:pt>
                <c:pt idx="29">
                  <c:v>1.51884</c:v>
                </c:pt>
                <c:pt idx="30">
                  <c:v>1.7853399999999999</c:v>
                </c:pt>
                <c:pt idx="31">
                  <c:v>1.7852600000000001</c:v>
                </c:pt>
                <c:pt idx="32">
                  <c:v>1.78532</c:v>
                </c:pt>
                <c:pt idx="33">
                  <c:v>2.0845600000000002</c:v>
                </c:pt>
                <c:pt idx="34">
                  <c:v>2.0844800000000001</c:v>
                </c:pt>
                <c:pt idx="35">
                  <c:v>2.41893</c:v>
                </c:pt>
                <c:pt idx="36">
                  <c:v>2.4189400000000001</c:v>
                </c:pt>
                <c:pt idx="37">
                  <c:v>2.4189600000000002</c:v>
                </c:pt>
                <c:pt idx="38">
                  <c:v>2.4188999999999998</c:v>
                </c:pt>
                <c:pt idx="39">
                  <c:v>2.4188499999999999</c:v>
                </c:pt>
                <c:pt idx="40">
                  <c:v>2.4188900000000002</c:v>
                </c:pt>
                <c:pt idx="41">
                  <c:v>2.4188800000000001</c:v>
                </c:pt>
                <c:pt idx="42">
                  <c:v>2.41892</c:v>
                </c:pt>
                <c:pt idx="43">
                  <c:v>2.7909799999999998</c:v>
                </c:pt>
                <c:pt idx="44">
                  <c:v>2.79095</c:v>
                </c:pt>
                <c:pt idx="45">
                  <c:v>3.2033200000000002</c:v>
                </c:pt>
                <c:pt idx="46">
                  <c:v>3.20329</c:v>
                </c:pt>
                <c:pt idx="47">
                  <c:v>3.6588099999999999</c:v>
                </c:pt>
                <c:pt idx="48">
                  <c:v>4.1606199999999998</c:v>
                </c:pt>
                <c:pt idx="49">
                  <c:v>4.1604700000000001</c:v>
                </c:pt>
                <c:pt idx="50">
                  <c:v>4.1605999999999996</c:v>
                </c:pt>
                <c:pt idx="51">
                  <c:v>4.1605800000000004</c:v>
                </c:pt>
                <c:pt idx="52">
                  <c:v>4.1605600000000003</c:v>
                </c:pt>
                <c:pt idx="53">
                  <c:v>4.1605100000000004</c:v>
                </c:pt>
                <c:pt idx="54">
                  <c:v>4.1605499999999997</c:v>
                </c:pt>
                <c:pt idx="55">
                  <c:v>4.1604999999999999</c:v>
                </c:pt>
                <c:pt idx="56">
                  <c:v>4.1606300000000003</c:v>
                </c:pt>
                <c:pt idx="57">
                  <c:v>4.7118399999999996</c:v>
                </c:pt>
                <c:pt idx="58">
                  <c:v>4.7119299999999997</c:v>
                </c:pt>
                <c:pt idx="59">
                  <c:v>5.3172100000000002</c:v>
                </c:pt>
                <c:pt idx="60">
                  <c:v>5.3173599999999999</c:v>
                </c:pt>
                <c:pt idx="61">
                  <c:v>5.3171900000000001</c:v>
                </c:pt>
                <c:pt idx="62">
                  <c:v>5.3171799999999996</c:v>
                </c:pt>
                <c:pt idx="63">
                  <c:v>5.9813999999999998</c:v>
                </c:pt>
                <c:pt idx="64">
                  <c:v>5.9815699999999996</c:v>
                </c:pt>
                <c:pt idx="65">
                  <c:v>5.9815100000000001</c:v>
                </c:pt>
                <c:pt idx="66">
                  <c:v>5.9814499999999997</c:v>
                </c:pt>
                <c:pt idx="67">
                  <c:v>5.9814800000000004</c:v>
                </c:pt>
                <c:pt idx="68">
                  <c:v>6.2650699999999997</c:v>
                </c:pt>
                <c:pt idx="69">
                  <c:v>6.2653600000000003</c:v>
                </c:pt>
                <c:pt idx="70">
                  <c:v>6.5598000000000001</c:v>
                </c:pt>
                <c:pt idx="71">
                  <c:v>6.5603400000000001</c:v>
                </c:pt>
                <c:pt idx="72">
                  <c:v>6.7117599999999999</c:v>
                </c:pt>
                <c:pt idx="73">
                  <c:v>6.7123400000000002</c:v>
                </c:pt>
                <c:pt idx="74">
                  <c:v>6.7122599999999997</c:v>
                </c:pt>
                <c:pt idx="75">
                  <c:v>6.71225</c:v>
                </c:pt>
                <c:pt idx="76">
                  <c:v>6.7121199999999996</c:v>
                </c:pt>
                <c:pt idx="77">
                  <c:v>6.867</c:v>
                </c:pt>
                <c:pt idx="78">
                  <c:v>6.8673700000000002</c:v>
                </c:pt>
                <c:pt idx="79">
                  <c:v>7.0254700000000003</c:v>
                </c:pt>
                <c:pt idx="80">
                  <c:v>7.0258500000000002</c:v>
                </c:pt>
                <c:pt idx="81">
                  <c:v>7.0258000000000003</c:v>
                </c:pt>
                <c:pt idx="82">
                  <c:v>7.1058599999999998</c:v>
                </c:pt>
                <c:pt idx="83">
                  <c:v>7.1063099999999997</c:v>
                </c:pt>
                <c:pt idx="84">
                  <c:v>7.1058199999999996</c:v>
                </c:pt>
                <c:pt idx="85">
                  <c:v>7.1873399999999998</c:v>
                </c:pt>
                <c:pt idx="86">
                  <c:v>7.1879299999999997</c:v>
                </c:pt>
                <c:pt idx="87">
                  <c:v>7.1878099999999998</c:v>
                </c:pt>
                <c:pt idx="88">
                  <c:v>7.2535999999999996</c:v>
                </c:pt>
                <c:pt idx="89">
                  <c:v>7.2538799999999997</c:v>
                </c:pt>
                <c:pt idx="90">
                  <c:v>7.2539999999999996</c:v>
                </c:pt>
                <c:pt idx="91">
                  <c:v>7.2868399999999998</c:v>
                </c:pt>
                <c:pt idx="92">
                  <c:v>7.2870799999999996</c:v>
                </c:pt>
                <c:pt idx="93">
                  <c:v>7.32029</c:v>
                </c:pt>
                <c:pt idx="94">
                  <c:v>7.3204399999999996</c:v>
                </c:pt>
                <c:pt idx="95">
                  <c:v>7.3372900000000003</c:v>
                </c:pt>
                <c:pt idx="96">
                  <c:v>7.3540299999999998</c:v>
                </c:pt>
                <c:pt idx="97">
                  <c:v>7.3541499999999997</c:v>
                </c:pt>
                <c:pt idx="98">
                  <c:v>7.3709899999999999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43-40E8-B150-ED26D0A943F2}"/>
            </c:ext>
          </c:extLst>
        </c:ser>
        <c:ser>
          <c:idx val="4"/>
          <c:order val="3"/>
          <c:tx>
            <c:strRef>
              <c:f>'Err. rel.'!$M$13</c:f>
              <c:strCache>
                <c:ptCount val="1"/>
                <c:pt idx="0">
                  <c:v> Sublimation line (Corr. Eq. [1])</c:v>
                </c:pt>
              </c:strCache>
            </c:strRef>
          </c:tx>
          <c:spPr>
            <a:ln>
              <a:solidFill>
                <a:srgbClr val="0070C0"/>
              </a:solidFill>
              <a:prstDash val="dashDot"/>
            </a:ln>
          </c:spPr>
          <c:marker>
            <c:symbol val="none"/>
          </c:marker>
          <c:xVal>
            <c:numRef>
              <c:f>'Calcoli eqilib.'!$R$42:$R$58</c:f>
              <c:numCache>
                <c:formatCode>0.00</c:formatCode>
                <c:ptCount val="17"/>
                <c:pt idx="0">
                  <c:v>73.150000000000006</c:v>
                </c:pt>
                <c:pt idx="1">
                  <c:v>90</c:v>
                </c:pt>
                <c:pt idx="2">
                  <c:v>110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185</c:v>
                </c:pt>
                <c:pt idx="10">
                  <c:v>190</c:v>
                </c:pt>
                <c:pt idx="11">
                  <c:v>195</c:v>
                </c:pt>
                <c:pt idx="12">
                  <c:v>200</c:v>
                </c:pt>
                <c:pt idx="13">
                  <c:v>205</c:v>
                </c:pt>
                <c:pt idx="14">
                  <c:v>210</c:v>
                </c:pt>
                <c:pt idx="15">
                  <c:v>213</c:v>
                </c:pt>
                <c:pt idx="16" formatCode="#,##0.00">
                  <c:v>216.59200000000001</c:v>
                </c:pt>
              </c:numCache>
            </c:numRef>
          </c:xVal>
          <c:yVal>
            <c:numRef>
              <c:f>'Calcoli eqilib.'!$Q$42:$Q$58</c:f>
              <c:numCache>
                <c:formatCode>General</c:formatCode>
                <c:ptCount val="17"/>
                <c:pt idx="0">
                  <c:v>3.3504163561910871E-14</c:v>
                </c:pt>
                <c:pt idx="1">
                  <c:v>2.8686214242532602E-10</c:v>
                </c:pt>
                <c:pt idx="2">
                  <c:v>2.9583157345645998E-7</c:v>
                </c:pt>
                <c:pt idx="3">
                  <c:v>3.0868506801518974E-5</c:v>
                </c:pt>
                <c:pt idx="4">
                  <c:v>1.835603343918938E-4</c:v>
                </c:pt>
                <c:pt idx="5">
                  <c:v>8.4264625414091161E-4</c:v>
                </c:pt>
                <c:pt idx="6">
                  <c:v>3.1475480353589866E-3</c:v>
                </c:pt>
                <c:pt idx="7">
                  <c:v>9.9604210984476308E-3</c:v>
                </c:pt>
                <c:pt idx="8">
                  <c:v>2.7557046263219243E-2</c:v>
                </c:pt>
                <c:pt idx="9">
                  <c:v>4.3934831875995596E-2</c:v>
                </c:pt>
                <c:pt idx="10">
                  <c:v>6.8342439412995865E-2</c:v>
                </c:pt>
                <c:pt idx="11">
                  <c:v>0.10397129999588997</c:v>
                </c:pt>
                <c:pt idx="12">
                  <c:v>0.15503130551946942</c:v>
                </c:pt>
                <c:pt idx="13">
                  <c:v>0.2270232433053459</c:v>
                </c:pt>
                <c:pt idx="14">
                  <c:v>0.32708932074315211</c:v>
                </c:pt>
                <c:pt idx="15">
                  <c:v>0.40434938870192988</c:v>
                </c:pt>
                <c:pt idx="16">
                  <c:v>0.51795000000000002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9E-4829-BFDB-2EA66B42487B}"/>
            </c:ext>
          </c:extLst>
        </c:ser>
        <c:ser>
          <c:idx val="2"/>
          <c:order val="4"/>
          <c:tx>
            <c:strRef>
              <c:f>'Err. rel.'!$N$15</c:f>
              <c:strCache>
                <c:ptCount val="1"/>
                <c:pt idx="0">
                  <c:v> Melting line (Corr. Eq. [1])</c:v>
                </c:pt>
              </c:strCache>
            </c:strRef>
          </c:tx>
          <c:spPr>
            <a:ln w="19050">
              <a:solidFill>
                <a:schemeClr val="tx1"/>
              </a:solidFill>
              <a:prstDash val="dashDot"/>
            </a:ln>
          </c:spPr>
          <c:marker>
            <c:symbol val="none"/>
          </c:marker>
          <c:xVal>
            <c:numRef>
              <c:f>'Calcoli eqilib.'!$B$64:$B$89</c:f>
              <c:numCache>
                <c:formatCode>0.00</c:formatCode>
                <c:ptCount val="26"/>
                <c:pt idx="0" formatCode="#,##0.00">
                  <c:v>216.59200000000001</c:v>
                </c:pt>
                <c:pt idx="1">
                  <c:v>216.8</c:v>
                </c:pt>
                <c:pt idx="2">
                  <c:v>217</c:v>
                </c:pt>
                <c:pt idx="3">
                  <c:v>217.3</c:v>
                </c:pt>
                <c:pt idx="4">
                  <c:v>217.7</c:v>
                </c:pt>
                <c:pt idx="5">
                  <c:v>217.9</c:v>
                </c:pt>
                <c:pt idx="6">
                  <c:v>218</c:v>
                </c:pt>
                <c:pt idx="7">
                  <c:v>218.2</c:v>
                </c:pt>
                <c:pt idx="8">
                  <c:v>218.5</c:v>
                </c:pt>
                <c:pt idx="9">
                  <c:v>218.60006999999999</c:v>
                </c:pt>
                <c:pt idx="10" formatCode="General">
                  <c:v>218.81</c:v>
                </c:pt>
                <c:pt idx="11" formatCode="General">
                  <c:v>218.95</c:v>
                </c:pt>
                <c:pt idx="12" formatCode="General">
                  <c:v>219.98</c:v>
                </c:pt>
                <c:pt idx="13" formatCode="General">
                  <c:v>219.99</c:v>
                </c:pt>
                <c:pt idx="14" formatCode="General">
                  <c:v>221.94</c:v>
                </c:pt>
                <c:pt idx="15" formatCode="General">
                  <c:v>222.03</c:v>
                </c:pt>
                <c:pt idx="16" formatCode="General">
                  <c:v>226.25</c:v>
                </c:pt>
                <c:pt idx="17" formatCode="General">
                  <c:v>235.25</c:v>
                </c:pt>
                <c:pt idx="18" formatCode="General">
                  <c:v>242.65</c:v>
                </c:pt>
                <c:pt idx="19" formatCode="General">
                  <c:v>242.66</c:v>
                </c:pt>
                <c:pt idx="20" formatCode="General">
                  <c:v>252.25</c:v>
                </c:pt>
                <c:pt idx="21" formatCode="General">
                  <c:v>259.08999999999997</c:v>
                </c:pt>
                <c:pt idx="22" formatCode="General">
                  <c:v>259.2</c:v>
                </c:pt>
                <c:pt idx="23" formatCode="General">
                  <c:v>261.62</c:v>
                </c:pt>
                <c:pt idx="24" formatCode="General">
                  <c:v>265.67</c:v>
                </c:pt>
                <c:pt idx="25" formatCode="General">
                  <c:v>266</c:v>
                </c:pt>
              </c:numCache>
            </c:numRef>
          </c:xVal>
          <c:yVal>
            <c:numRef>
              <c:f>'Calcoli eqilib.'!$L$64:$L$89</c:f>
              <c:numCache>
                <c:formatCode>General</c:formatCode>
                <c:ptCount val="26"/>
                <c:pt idx="0">
                  <c:v>0.51795000000000002</c:v>
                </c:pt>
                <c:pt idx="1">
                  <c:v>1.491623607724752</c:v>
                </c:pt>
                <c:pt idx="2">
                  <c:v>2.4297000645423315</c:v>
                </c:pt>
                <c:pt idx="3">
                  <c:v>3.8402188563961106</c:v>
                </c:pt>
                <c:pt idx="4">
                  <c:v>5.7272649112383904</c:v>
                </c:pt>
                <c:pt idx="5">
                  <c:v>6.6735112239614818</c:v>
                </c:pt>
                <c:pt idx="6">
                  <c:v>7.1473152016486008</c:v>
                </c:pt>
                <c:pt idx="7">
                  <c:v>8.0962847996735281</c:v>
                </c:pt>
                <c:pt idx="8">
                  <c:v>9.5231433033381023</c:v>
                </c:pt>
                <c:pt idx="9">
                  <c:v>10.000004294380487</c:v>
                </c:pt>
                <c:pt idx="10">
                  <c:v>11.001855200879723</c:v>
                </c:pt>
                <c:pt idx="11">
                  <c:v>11.671090298746494</c:v>
                </c:pt>
                <c:pt idx="12">
                  <c:v>16.622097111410177</c:v>
                </c:pt>
                <c:pt idx="13">
                  <c:v>16.670401156777167</c:v>
                </c:pt>
                <c:pt idx="14">
                  <c:v>26.176426640187337</c:v>
                </c:pt>
                <c:pt idx="15">
                  <c:v>26.619332904395044</c:v>
                </c:pt>
                <c:pt idx="16">
                  <c:v>47.799479329411767</c:v>
                </c:pt>
                <c:pt idx="17">
                  <c:v>95.670545100769004</c:v>
                </c:pt>
                <c:pt idx="18">
                  <c:v>137.78534838136468</c:v>
                </c:pt>
                <c:pt idx="19">
                  <c:v>137.8439419063638</c:v>
                </c:pt>
                <c:pt idx="20">
                  <c:v>196.12443686398731</c:v>
                </c:pt>
                <c:pt idx="21">
                  <c:v>240.24297359850127</c:v>
                </c:pt>
                <c:pt idx="22">
                  <c:v>240.96983182697372</c:v>
                </c:pt>
                <c:pt idx="23">
                  <c:v>257.09965940827811</c:v>
                </c:pt>
                <c:pt idx="24">
                  <c:v>284.68845573065386</c:v>
                </c:pt>
                <c:pt idx="25">
                  <c:v>286.9692336987523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9E-4829-BFDB-2EA66B42487B}"/>
            </c:ext>
          </c:extLst>
        </c:ser>
        <c:ser>
          <c:idx val="3"/>
          <c:order val="5"/>
          <c:tx>
            <c:strRef>
              <c:f>'Err. rel.'!$K$44</c:f>
              <c:strCache>
                <c:ptCount val="1"/>
                <c:pt idx="0">
                  <c:v> Saturation line (Corr. Eq. [1])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Dot"/>
            </a:ln>
          </c:spPr>
          <c:marker>
            <c:symbol val="none"/>
          </c:marker>
          <c:xVal>
            <c:numRef>
              <c:f>Dati!$P$39:$P$70</c:f>
              <c:numCache>
                <c:formatCode>0</c:formatCode>
                <c:ptCount val="32"/>
                <c:pt idx="0" formatCode="0.00">
                  <c:v>216.59200000000001</c:v>
                </c:pt>
                <c:pt idx="1">
                  <c:v>217</c:v>
                </c:pt>
                <c:pt idx="2">
                  <c:v>220</c:v>
                </c:pt>
                <c:pt idx="3" formatCode="General">
                  <c:v>225</c:v>
                </c:pt>
                <c:pt idx="4" formatCode="General">
                  <c:v>230</c:v>
                </c:pt>
                <c:pt idx="5" formatCode="General">
                  <c:v>235</c:v>
                </c:pt>
                <c:pt idx="6" formatCode="General">
                  <c:v>240</c:v>
                </c:pt>
                <c:pt idx="7" formatCode="General">
                  <c:v>245</c:v>
                </c:pt>
                <c:pt idx="8" formatCode="General">
                  <c:v>250</c:v>
                </c:pt>
                <c:pt idx="9" formatCode="General">
                  <c:v>255</c:v>
                </c:pt>
                <c:pt idx="10" formatCode="General">
                  <c:v>260</c:v>
                </c:pt>
                <c:pt idx="11" formatCode="General">
                  <c:v>265</c:v>
                </c:pt>
                <c:pt idx="12" formatCode="General">
                  <c:v>270</c:v>
                </c:pt>
                <c:pt idx="13" formatCode="General">
                  <c:v>275</c:v>
                </c:pt>
                <c:pt idx="14" formatCode="General">
                  <c:v>280</c:v>
                </c:pt>
                <c:pt idx="15" formatCode="General">
                  <c:v>285</c:v>
                </c:pt>
                <c:pt idx="16" formatCode="General">
                  <c:v>290</c:v>
                </c:pt>
                <c:pt idx="17" formatCode="General">
                  <c:v>295</c:v>
                </c:pt>
                <c:pt idx="18" formatCode="General">
                  <c:v>297</c:v>
                </c:pt>
                <c:pt idx="19" formatCode="General">
                  <c:v>299</c:v>
                </c:pt>
                <c:pt idx="20" formatCode="General">
                  <c:v>300</c:v>
                </c:pt>
                <c:pt idx="21" formatCode="General">
                  <c:v>301</c:v>
                </c:pt>
                <c:pt idx="22" formatCode="General">
                  <c:v>302</c:v>
                </c:pt>
                <c:pt idx="23" formatCode="General">
                  <c:v>302.5</c:v>
                </c:pt>
                <c:pt idx="24" formatCode="General">
                  <c:v>303</c:v>
                </c:pt>
                <c:pt idx="25" formatCode="General">
                  <c:v>303.39999999999998</c:v>
                </c:pt>
                <c:pt idx="26" formatCode="General">
                  <c:v>303.60000000000002</c:v>
                </c:pt>
                <c:pt idx="27" formatCode="General">
                  <c:v>303.8</c:v>
                </c:pt>
                <c:pt idx="28" formatCode="General">
                  <c:v>303.89999999999998</c:v>
                </c:pt>
                <c:pt idx="29" formatCode="General">
                  <c:v>304</c:v>
                </c:pt>
                <c:pt idx="30" formatCode="General">
                  <c:v>304.10000000000002</c:v>
                </c:pt>
                <c:pt idx="31" formatCode="0.00">
                  <c:v>304.12819999999999</c:v>
                </c:pt>
              </c:numCache>
            </c:numRef>
          </c:xVal>
          <c:yVal>
            <c:numRef>
              <c:f>Dati!$Q$39:$Q$70</c:f>
              <c:numCache>
                <c:formatCode>General</c:formatCode>
                <c:ptCount val="32"/>
                <c:pt idx="0">
                  <c:v>0.51795000000000002</c:v>
                </c:pt>
                <c:pt idx="1">
                  <c:v>0.52721322780292745</c:v>
                </c:pt>
                <c:pt idx="2">
                  <c:v>0.59912789711238545</c:v>
                </c:pt>
                <c:pt idx="3">
                  <c:v>0.73508900227401175</c:v>
                </c:pt>
                <c:pt idx="4">
                  <c:v>0.89292261912453497</c:v>
                </c:pt>
                <c:pt idx="5">
                  <c:v>1.0746892282713261</c:v>
                </c:pt>
                <c:pt idx="6">
                  <c:v>1.2825037568404196</c:v>
                </c:pt>
                <c:pt idx="7">
                  <c:v>1.5185384414622787</c:v>
                </c:pt>
                <c:pt idx="8">
                  <c:v>1.7850290653665548</c:v>
                </c:pt>
                <c:pt idx="9">
                  <c:v>2.0842852342942773</c:v>
                </c:pt>
                <c:pt idx="10">
                  <c:v>2.4187057550446407</c:v>
                </c:pt>
                <c:pt idx="11">
                  <c:v>2.7908008757345892</c:v>
                </c:pt>
                <c:pt idx="12">
                  <c:v>3.2032243859797105</c:v>
                </c:pt>
                <c:pt idx="13">
                  <c:v>3.6588208974763661</c:v>
                </c:pt>
                <c:pt idx="14">
                  <c:v>4.1606983126636461</c:v>
                </c:pt>
                <c:pt idx="15">
                  <c:v>4.712345960460719</c:v>
                </c:pt>
                <c:pt idx="16">
                  <c:v>5.3178458116826866</c:v>
                </c:pt>
                <c:pt idx="17">
                  <c:v>5.9823096345263096</c:v>
                </c:pt>
                <c:pt idx="18">
                  <c:v>6.2661109089253992</c:v>
                </c:pt>
                <c:pt idx="19">
                  <c:v>6.5611059009308415</c:v>
                </c:pt>
                <c:pt idx="20">
                  <c:v>6.7130657327416188</c:v>
                </c:pt>
                <c:pt idx="21">
                  <c:v>6.8681926026531919</c:v>
                </c:pt>
                <c:pt idx="22">
                  <c:v>7.0266931453300883</c:v>
                </c:pt>
                <c:pt idx="23">
                  <c:v>7.1073007410630078</c:v>
                </c:pt>
                <c:pt idx="24">
                  <c:v>7.1888881766182164</c:v>
                </c:pt>
                <c:pt idx="25">
                  <c:v>7.2549251098506318</c:v>
                </c:pt>
                <c:pt idx="26">
                  <c:v>7.288225234906184</c:v>
                </c:pt>
                <c:pt idx="27">
                  <c:v>7.32173527580753</c:v>
                </c:pt>
                <c:pt idx="28">
                  <c:v>7.3385782941944697</c:v>
                </c:pt>
                <c:pt idx="29">
                  <c:v>7.3554890970538933</c:v>
                </c:pt>
                <c:pt idx="30">
                  <c:v>7.3724842361861835</c:v>
                </c:pt>
                <c:pt idx="31">
                  <c:v>7.3773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9E-4829-BFDB-2EA66B42487B}"/>
            </c:ext>
          </c:extLst>
        </c:ser>
        <c:ser>
          <c:idx val="9"/>
          <c:order val="6"/>
          <c:tx>
            <c:strRef>
              <c:f>'Err. rel.'!$J$12</c:f>
              <c:strCache>
                <c:ptCount val="1"/>
                <c:pt idx="0">
                  <c:v> Sublimation line (EoS model)</c:v>
                </c:pt>
              </c:strCache>
            </c:strRef>
          </c:tx>
          <c:spPr>
            <a:ln w="15875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'Calcoli eqilib.'!$B$95:$B$176</c:f>
              <c:numCache>
                <c:formatCode>0.00</c:formatCode>
                <c:ptCount val="82"/>
                <c:pt idx="0">
                  <c:v>73.64</c:v>
                </c:pt>
                <c:pt idx="1">
                  <c:v>90</c:v>
                </c:pt>
                <c:pt idx="2">
                  <c:v>110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 formatCode="General">
                  <c:v>170.11</c:v>
                </c:pt>
                <c:pt idx="8" formatCode="General">
                  <c:v>171.81</c:v>
                </c:pt>
                <c:pt idx="9" formatCode="General">
                  <c:v>172.14</c:v>
                </c:pt>
                <c:pt idx="10" formatCode="General">
                  <c:v>173.59</c:v>
                </c:pt>
                <c:pt idx="11" formatCode="General">
                  <c:v>175.34</c:v>
                </c:pt>
                <c:pt idx="12" formatCode="General">
                  <c:v>177.2</c:v>
                </c:pt>
                <c:pt idx="13" formatCode="General">
                  <c:v>179.2</c:v>
                </c:pt>
                <c:pt idx="14" formatCode="General">
                  <c:v>179.73</c:v>
                </c:pt>
                <c:pt idx="15" formatCode="General">
                  <c:v>180.95</c:v>
                </c:pt>
                <c:pt idx="16" formatCode="General">
                  <c:v>183.02</c:v>
                </c:pt>
                <c:pt idx="17" formatCode="General">
                  <c:v>184.37</c:v>
                </c:pt>
                <c:pt idx="18" formatCode="General">
                  <c:v>185.23</c:v>
                </c:pt>
                <c:pt idx="19" formatCode="General">
                  <c:v>187.25</c:v>
                </c:pt>
                <c:pt idx="20" formatCode="General">
                  <c:v>189.88</c:v>
                </c:pt>
                <c:pt idx="21" formatCode="General">
                  <c:v>192.79</c:v>
                </c:pt>
                <c:pt idx="22" formatCode="General">
                  <c:v>194.54</c:v>
                </c:pt>
                <c:pt idx="23" formatCode="General">
                  <c:v>197.47</c:v>
                </c:pt>
                <c:pt idx="24" formatCode="General">
                  <c:v>199.29</c:v>
                </c:pt>
                <c:pt idx="25" formatCode="General">
                  <c:v>201.74</c:v>
                </c:pt>
                <c:pt idx="26" formatCode="General">
                  <c:v>202.82</c:v>
                </c:pt>
                <c:pt idx="27" formatCode="General">
                  <c:v>203.8</c:v>
                </c:pt>
                <c:pt idx="28" formatCode="General">
                  <c:v>205.24</c:v>
                </c:pt>
                <c:pt idx="29" formatCode="General">
                  <c:v>207.03</c:v>
                </c:pt>
                <c:pt idx="30" formatCode="General">
                  <c:v>207.22</c:v>
                </c:pt>
                <c:pt idx="31" formatCode="General">
                  <c:v>207.61</c:v>
                </c:pt>
                <c:pt idx="32" formatCode="General">
                  <c:v>207.98</c:v>
                </c:pt>
                <c:pt idx="33" formatCode="General">
                  <c:v>208.44</c:v>
                </c:pt>
                <c:pt idx="34" formatCode="General">
                  <c:v>209.3</c:v>
                </c:pt>
                <c:pt idx="35" formatCode="General">
                  <c:v>210.73</c:v>
                </c:pt>
                <c:pt idx="36" formatCode="General">
                  <c:v>210.93</c:v>
                </c:pt>
                <c:pt idx="37" formatCode="General">
                  <c:v>211.11</c:v>
                </c:pt>
                <c:pt idx="38" formatCode="General">
                  <c:v>211.23</c:v>
                </c:pt>
                <c:pt idx="39" formatCode="General">
                  <c:v>211.29</c:v>
                </c:pt>
                <c:pt idx="40" formatCode="General">
                  <c:v>213.19</c:v>
                </c:pt>
                <c:pt idx="41" formatCode="General">
                  <c:v>213.27</c:v>
                </c:pt>
                <c:pt idx="42" formatCode="General">
                  <c:v>213.28</c:v>
                </c:pt>
                <c:pt idx="43" formatCode="General">
                  <c:v>213.35</c:v>
                </c:pt>
                <c:pt idx="44" formatCode="General">
                  <c:v>213.39</c:v>
                </c:pt>
                <c:pt idx="45" formatCode="General">
                  <c:v>213.41</c:v>
                </c:pt>
                <c:pt idx="46" formatCode="General">
                  <c:v>213.43</c:v>
                </c:pt>
                <c:pt idx="47" formatCode="General">
                  <c:v>213.47</c:v>
                </c:pt>
                <c:pt idx="48" formatCode="General">
                  <c:v>213.51</c:v>
                </c:pt>
                <c:pt idx="49" formatCode="General">
                  <c:v>213.54</c:v>
                </c:pt>
                <c:pt idx="50" formatCode="General">
                  <c:v>213.68</c:v>
                </c:pt>
                <c:pt idx="51" formatCode="General">
                  <c:v>213.7</c:v>
                </c:pt>
                <c:pt idx="52" formatCode="General">
                  <c:v>213.73</c:v>
                </c:pt>
                <c:pt idx="53" formatCode="General">
                  <c:v>213.8</c:v>
                </c:pt>
                <c:pt idx="54" formatCode="General">
                  <c:v>213.85</c:v>
                </c:pt>
                <c:pt idx="55" formatCode="General">
                  <c:v>213.92</c:v>
                </c:pt>
                <c:pt idx="56" formatCode="General">
                  <c:v>214.17</c:v>
                </c:pt>
                <c:pt idx="57" formatCode="General">
                  <c:v>214.23</c:v>
                </c:pt>
                <c:pt idx="58" formatCode="General">
                  <c:v>214.34</c:v>
                </c:pt>
                <c:pt idx="59" formatCode="General">
                  <c:v>214.37</c:v>
                </c:pt>
                <c:pt idx="60" formatCode="General">
                  <c:v>214.39</c:v>
                </c:pt>
                <c:pt idx="61" formatCode="General">
                  <c:v>214.4</c:v>
                </c:pt>
                <c:pt idx="62" formatCode="General">
                  <c:v>214.46</c:v>
                </c:pt>
                <c:pt idx="63" formatCode="General">
                  <c:v>214.52</c:v>
                </c:pt>
                <c:pt idx="64" formatCode="General">
                  <c:v>214.56</c:v>
                </c:pt>
                <c:pt idx="65" formatCode="General">
                  <c:v>214.62</c:v>
                </c:pt>
                <c:pt idx="66" formatCode="General">
                  <c:v>214.74</c:v>
                </c:pt>
                <c:pt idx="67" formatCode="General">
                  <c:v>214.85</c:v>
                </c:pt>
                <c:pt idx="68" formatCode="General">
                  <c:v>214.91</c:v>
                </c:pt>
                <c:pt idx="69" formatCode="General">
                  <c:v>215.01</c:v>
                </c:pt>
                <c:pt idx="70" formatCode="General">
                  <c:v>215.31</c:v>
                </c:pt>
                <c:pt idx="71" formatCode="General">
                  <c:v>215.6</c:v>
                </c:pt>
                <c:pt idx="72" formatCode="General">
                  <c:v>216.19</c:v>
                </c:pt>
                <c:pt idx="73" formatCode="General">
                  <c:v>216.33</c:v>
                </c:pt>
                <c:pt idx="74" formatCode="General">
                  <c:v>216.38</c:v>
                </c:pt>
                <c:pt idx="75" formatCode="General">
                  <c:v>216.45</c:v>
                </c:pt>
                <c:pt idx="76" formatCode="General">
                  <c:v>216.48</c:v>
                </c:pt>
                <c:pt idx="77" formatCode="General">
                  <c:v>216.49</c:v>
                </c:pt>
                <c:pt idx="78" formatCode="General">
                  <c:v>216.53</c:v>
                </c:pt>
                <c:pt idx="79" formatCode="General">
                  <c:v>216.58</c:v>
                </c:pt>
                <c:pt idx="80" formatCode="General">
                  <c:v>216.59</c:v>
                </c:pt>
                <c:pt idx="81" formatCode="General">
                  <c:v>216.5932799</c:v>
                </c:pt>
              </c:numCache>
            </c:numRef>
          </c:xVal>
          <c:yVal>
            <c:numRef>
              <c:f>'Calcoli eqilib.'!$C$95:$C$176</c:f>
              <c:numCache>
                <c:formatCode>0.00E+00</c:formatCode>
                <c:ptCount val="82"/>
                <c:pt idx="0">
                  <c:v>3.2199999999999998E-14</c:v>
                </c:pt>
                <c:pt idx="1">
                  <c:v>4.5900000000000002E-10</c:v>
                </c:pt>
                <c:pt idx="2">
                  <c:v>3.5880000000000001E-7</c:v>
                </c:pt>
                <c:pt idx="3">
                  <c:v>3.2703500000000003E-5</c:v>
                </c:pt>
                <c:pt idx="4" formatCode="General">
                  <c:v>1.9000000000000001E-4</c:v>
                </c:pt>
                <c:pt idx="5" formatCode="General">
                  <c:v>8.4999999999999995E-4</c:v>
                </c:pt>
                <c:pt idx="6" formatCode="General">
                  <c:v>3.1700000000000001E-3</c:v>
                </c:pt>
                <c:pt idx="7" formatCode="General">
                  <c:v>1.0120000000000001E-2</c:v>
                </c:pt>
                <c:pt idx="8" formatCode="General">
                  <c:v>1.214E-2</c:v>
                </c:pt>
                <c:pt idx="9" formatCode="General">
                  <c:v>1.2565E-2</c:v>
                </c:pt>
                <c:pt idx="10" formatCode="General">
                  <c:v>1.4619999999999999E-2</c:v>
                </c:pt>
                <c:pt idx="11" formatCode="General">
                  <c:v>1.7479999999999999E-2</c:v>
                </c:pt>
                <c:pt idx="12" formatCode="General">
                  <c:v>2.1059999999999999E-2</c:v>
                </c:pt>
                <c:pt idx="13" formatCode="General">
                  <c:v>2.5610000000000001E-2</c:v>
                </c:pt>
                <c:pt idx="14" formatCode="General">
                  <c:v>2.6960000000000001E-2</c:v>
                </c:pt>
                <c:pt idx="15" formatCode="General">
                  <c:v>3.0290000000000001E-2</c:v>
                </c:pt>
                <c:pt idx="16" formatCode="General">
                  <c:v>3.678E-2</c:v>
                </c:pt>
                <c:pt idx="17" formatCode="General">
                  <c:v>4.1640000000000003E-2</c:v>
                </c:pt>
                <c:pt idx="18" formatCode="General">
                  <c:v>4.5019999999999998E-2</c:v>
                </c:pt>
                <c:pt idx="19" formatCode="General">
                  <c:v>5.3940000000000002E-2</c:v>
                </c:pt>
                <c:pt idx="20" formatCode="General">
                  <c:v>6.7849999999999994E-2</c:v>
                </c:pt>
                <c:pt idx="21" formatCode="General">
                  <c:v>8.6819999999999994E-2</c:v>
                </c:pt>
                <c:pt idx="22" formatCode="General">
                  <c:v>0.10034</c:v>
                </c:pt>
                <c:pt idx="23" formatCode="General">
                  <c:v>0.12716</c:v>
                </c:pt>
                <c:pt idx="24" formatCode="General">
                  <c:v>0.14682999999999999</c:v>
                </c:pt>
                <c:pt idx="25" formatCode="General">
                  <c:v>0.17751</c:v>
                </c:pt>
                <c:pt idx="26" formatCode="General">
                  <c:v>0.19273000000000001</c:v>
                </c:pt>
                <c:pt idx="27" formatCode="General">
                  <c:v>0.20754</c:v>
                </c:pt>
                <c:pt idx="28" formatCode="General">
                  <c:v>0.23111999999999999</c:v>
                </c:pt>
                <c:pt idx="29" formatCode="General">
                  <c:v>0.26371</c:v>
                </c:pt>
                <c:pt idx="30" formatCode="General">
                  <c:v>0.26740000000000003</c:v>
                </c:pt>
                <c:pt idx="31" formatCode="General">
                  <c:v>0.27511999999999998</c:v>
                </c:pt>
                <c:pt idx="32" formatCode="General">
                  <c:v>0.28261999999999998</c:v>
                </c:pt>
                <c:pt idx="33" formatCode="General">
                  <c:v>0.29220000000000002</c:v>
                </c:pt>
                <c:pt idx="34" formatCode="General">
                  <c:v>0.31089</c:v>
                </c:pt>
                <c:pt idx="35" formatCode="General">
                  <c:v>0.34433999999999998</c:v>
                </c:pt>
                <c:pt idx="36" formatCode="General">
                  <c:v>0.34927000000000002</c:v>
                </c:pt>
                <c:pt idx="37" formatCode="General">
                  <c:v>0.35376000000000002</c:v>
                </c:pt>
                <c:pt idx="38" formatCode="General">
                  <c:v>0.35677999999999999</c:v>
                </c:pt>
                <c:pt idx="39" formatCode="General">
                  <c:v>0.35830000000000001</c:v>
                </c:pt>
                <c:pt idx="40" formatCode="General">
                  <c:v>0.40949999999999998</c:v>
                </c:pt>
                <c:pt idx="41" formatCode="General">
                  <c:v>0.4118</c:v>
                </c:pt>
                <c:pt idx="42" formatCode="General">
                  <c:v>0.41208</c:v>
                </c:pt>
                <c:pt idx="43" formatCode="General">
                  <c:v>0.41410000000000002</c:v>
                </c:pt>
                <c:pt idx="44" formatCode="General">
                  <c:v>0.41526000000000002</c:v>
                </c:pt>
                <c:pt idx="45" formatCode="General">
                  <c:v>0.41583999999999999</c:v>
                </c:pt>
                <c:pt idx="46" formatCode="General">
                  <c:v>0.41642000000000001</c:v>
                </c:pt>
                <c:pt idx="47" formatCode="General">
                  <c:v>0.41758000000000001</c:v>
                </c:pt>
                <c:pt idx="48" formatCode="General">
                  <c:v>0.41875000000000001</c:v>
                </c:pt>
                <c:pt idx="49" formatCode="General">
                  <c:v>0.41961999999999999</c:v>
                </c:pt>
                <c:pt idx="50" formatCode="General">
                  <c:v>0.42373</c:v>
                </c:pt>
                <c:pt idx="51" formatCode="General">
                  <c:v>0.42431999999999997</c:v>
                </c:pt>
                <c:pt idx="52" formatCode="General">
                  <c:v>0.42520999999999998</c:v>
                </c:pt>
                <c:pt idx="53" formatCode="General">
                  <c:v>0.42729</c:v>
                </c:pt>
                <c:pt idx="54" formatCode="General">
                  <c:v>0.42876999999999998</c:v>
                </c:pt>
                <c:pt idx="55" formatCode="General">
                  <c:v>0.43086999999999998</c:v>
                </c:pt>
                <c:pt idx="56" formatCode="General">
                  <c:v>0.43841000000000002</c:v>
                </c:pt>
                <c:pt idx="57" formatCode="General">
                  <c:v>0.44024000000000002</c:v>
                </c:pt>
                <c:pt idx="58" formatCode="General">
                  <c:v>0.44361</c:v>
                </c:pt>
                <c:pt idx="59" formatCode="General">
                  <c:v>0.44452999999999998</c:v>
                </c:pt>
                <c:pt idx="60" formatCode="General">
                  <c:v>0.44514999999999999</c:v>
                </c:pt>
                <c:pt idx="61" formatCode="General">
                  <c:v>0.44546000000000002</c:v>
                </c:pt>
                <c:pt idx="62" formatCode="General">
                  <c:v>0.44730999999999999</c:v>
                </c:pt>
                <c:pt idx="63" formatCode="General">
                  <c:v>0.44917000000000001</c:v>
                </c:pt>
                <c:pt idx="64" formatCode="General">
                  <c:v>0.45041999999999999</c:v>
                </c:pt>
                <c:pt idx="65" formatCode="General">
                  <c:v>0.45229000000000003</c:v>
                </c:pt>
                <c:pt idx="66" formatCode="General">
                  <c:v>0.45606000000000002</c:v>
                </c:pt>
                <c:pt idx="67" formatCode="General">
                  <c:v>0.45954</c:v>
                </c:pt>
                <c:pt idx="68" formatCode="General">
                  <c:v>0.46145000000000003</c:v>
                </c:pt>
                <c:pt idx="69" formatCode="General">
                  <c:v>0.46464</c:v>
                </c:pt>
                <c:pt idx="70" formatCode="General">
                  <c:v>0.47434999999999999</c:v>
                </c:pt>
                <c:pt idx="71" formatCode="General">
                  <c:v>0.48391000000000001</c:v>
                </c:pt>
                <c:pt idx="72" formatCode="General">
                  <c:v>0.50390000000000001</c:v>
                </c:pt>
                <c:pt idx="73" formatCode="General">
                  <c:v>0.50875000000000004</c:v>
                </c:pt>
                <c:pt idx="74" formatCode="General">
                  <c:v>0.51049999999999995</c:v>
                </c:pt>
                <c:pt idx="75" formatCode="General">
                  <c:v>0.51295000000000002</c:v>
                </c:pt>
                <c:pt idx="76" formatCode="General">
                  <c:v>0.51400000000000001</c:v>
                </c:pt>
                <c:pt idx="77" formatCode="General">
                  <c:v>0.51434999999999997</c:v>
                </c:pt>
                <c:pt idx="78" formatCode="General">
                  <c:v>0.51576</c:v>
                </c:pt>
                <c:pt idx="79" formatCode="General">
                  <c:v>0.51751999999999998</c:v>
                </c:pt>
                <c:pt idx="80" formatCode="General">
                  <c:v>0.51788000000000001</c:v>
                </c:pt>
                <c:pt idx="81" formatCode="General">
                  <c:v>0.51798999999999995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02-42B8-A039-EE59A3F15579}"/>
            </c:ext>
          </c:extLst>
        </c:ser>
        <c:ser>
          <c:idx val="8"/>
          <c:order val="7"/>
          <c:tx>
            <c:strRef>
              <c:f>'Err. rel.'!$L$15</c:f>
              <c:strCache>
                <c:ptCount val="1"/>
                <c:pt idx="0">
                  <c:v> Melting line (EoS model)</c:v>
                </c:pt>
              </c:strCache>
            </c:strRef>
          </c:tx>
          <c:spPr>
            <a:ln w="15875" cmpd="sng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'Calcoli eqilib.'!$F$95:$F$143</c:f>
              <c:numCache>
                <c:formatCode>General</c:formatCode>
                <c:ptCount val="49"/>
                <c:pt idx="0">
                  <c:v>216.5932799</c:v>
                </c:pt>
                <c:pt idx="1">
                  <c:v>216.6</c:v>
                </c:pt>
                <c:pt idx="2">
                  <c:v>216.61</c:v>
                </c:pt>
                <c:pt idx="3">
                  <c:v>216.61</c:v>
                </c:pt>
                <c:pt idx="4">
                  <c:v>216.62</c:v>
                </c:pt>
                <c:pt idx="5">
                  <c:v>216.63</c:v>
                </c:pt>
                <c:pt idx="6">
                  <c:v>216.64</c:v>
                </c:pt>
                <c:pt idx="7">
                  <c:v>216.65</c:v>
                </c:pt>
                <c:pt idx="8">
                  <c:v>216.66</c:v>
                </c:pt>
                <c:pt idx="9">
                  <c:v>216.67</c:v>
                </c:pt>
                <c:pt idx="10">
                  <c:v>216.68</c:v>
                </c:pt>
                <c:pt idx="11">
                  <c:v>216.69</c:v>
                </c:pt>
                <c:pt idx="12">
                  <c:v>216.7</c:v>
                </c:pt>
                <c:pt idx="13">
                  <c:v>216.71</c:v>
                </c:pt>
                <c:pt idx="14">
                  <c:v>216.72</c:v>
                </c:pt>
                <c:pt idx="15">
                  <c:v>216.73</c:v>
                </c:pt>
                <c:pt idx="16">
                  <c:v>216.74</c:v>
                </c:pt>
                <c:pt idx="17">
                  <c:v>216.75</c:v>
                </c:pt>
                <c:pt idx="18">
                  <c:v>216.76</c:v>
                </c:pt>
                <c:pt idx="19">
                  <c:v>216.78</c:v>
                </c:pt>
                <c:pt idx="20">
                  <c:v>216.81</c:v>
                </c:pt>
                <c:pt idx="21">
                  <c:v>216.91</c:v>
                </c:pt>
                <c:pt idx="22">
                  <c:v>216.97</c:v>
                </c:pt>
                <c:pt idx="23">
                  <c:v>216.99</c:v>
                </c:pt>
                <c:pt idx="24">
                  <c:v>217.1</c:v>
                </c:pt>
                <c:pt idx="25">
                  <c:v>217.29</c:v>
                </c:pt>
                <c:pt idx="26">
                  <c:v>217.31</c:v>
                </c:pt>
                <c:pt idx="27">
                  <c:v>217.52</c:v>
                </c:pt>
                <c:pt idx="28">
                  <c:v>217.66</c:v>
                </c:pt>
                <c:pt idx="29">
                  <c:v>217.9</c:v>
                </c:pt>
                <c:pt idx="30">
                  <c:v>218</c:v>
                </c:pt>
                <c:pt idx="31">
                  <c:v>218.5</c:v>
                </c:pt>
                <c:pt idx="32">
                  <c:v>218.61799999999999</c:v>
                </c:pt>
                <c:pt idx="33">
                  <c:v>218.81</c:v>
                </c:pt>
                <c:pt idx="34">
                  <c:v>218.95</c:v>
                </c:pt>
                <c:pt idx="35">
                  <c:v>219.98</c:v>
                </c:pt>
                <c:pt idx="36">
                  <c:v>219.99</c:v>
                </c:pt>
                <c:pt idx="37">
                  <c:v>221.94</c:v>
                </c:pt>
                <c:pt idx="38">
                  <c:v>222.03</c:v>
                </c:pt>
                <c:pt idx="39">
                  <c:v>226.25</c:v>
                </c:pt>
                <c:pt idx="40">
                  <c:v>235.25</c:v>
                </c:pt>
                <c:pt idx="41">
                  <c:v>242.65</c:v>
                </c:pt>
                <c:pt idx="42">
                  <c:v>242.66</c:v>
                </c:pt>
                <c:pt idx="43">
                  <c:v>252.25</c:v>
                </c:pt>
                <c:pt idx="44">
                  <c:v>259.08999999999997</c:v>
                </c:pt>
                <c:pt idx="45">
                  <c:v>259.2</c:v>
                </c:pt>
                <c:pt idx="46">
                  <c:v>261.62</c:v>
                </c:pt>
                <c:pt idx="47">
                  <c:v>265.67</c:v>
                </c:pt>
                <c:pt idx="48">
                  <c:v>266</c:v>
                </c:pt>
              </c:numCache>
            </c:numRef>
          </c:xVal>
          <c:yVal>
            <c:numRef>
              <c:f>'Calcoli eqilib.'!$G$95:$G$143</c:f>
              <c:numCache>
                <c:formatCode>General</c:formatCode>
                <c:ptCount val="49"/>
                <c:pt idx="0">
                  <c:v>0.51798999999999995</c:v>
                </c:pt>
                <c:pt idx="1">
                  <c:v>0.54908999999999997</c:v>
                </c:pt>
                <c:pt idx="2">
                  <c:v>0.59535000000000005</c:v>
                </c:pt>
                <c:pt idx="3">
                  <c:v>0.59535000000000005</c:v>
                </c:pt>
                <c:pt idx="4">
                  <c:v>0.64161999999999997</c:v>
                </c:pt>
                <c:pt idx="5">
                  <c:v>0.68789</c:v>
                </c:pt>
                <c:pt idx="6">
                  <c:v>0.73416999999999999</c:v>
                </c:pt>
                <c:pt idx="7">
                  <c:v>0.78044999999999998</c:v>
                </c:pt>
                <c:pt idx="8">
                  <c:v>0.82674000000000003</c:v>
                </c:pt>
                <c:pt idx="9">
                  <c:v>0.87302999999999997</c:v>
                </c:pt>
                <c:pt idx="10">
                  <c:v>0.91934000000000005</c:v>
                </c:pt>
                <c:pt idx="11">
                  <c:v>0.96564000000000005</c:v>
                </c:pt>
                <c:pt idx="12">
                  <c:v>1.01196</c:v>
                </c:pt>
                <c:pt idx="13">
                  <c:v>1.0582800000000001</c:v>
                </c:pt>
                <c:pt idx="14">
                  <c:v>1.1046</c:v>
                </c:pt>
                <c:pt idx="15">
                  <c:v>1.15093</c:v>
                </c:pt>
                <c:pt idx="16">
                  <c:v>1.1972700000000001</c:v>
                </c:pt>
                <c:pt idx="17">
                  <c:v>1.2436100000000001</c:v>
                </c:pt>
                <c:pt idx="18">
                  <c:v>1.28996</c:v>
                </c:pt>
                <c:pt idx="19">
                  <c:v>1.3826799999999999</c:v>
                </c:pt>
                <c:pt idx="20">
                  <c:v>1.5218</c:v>
                </c:pt>
                <c:pt idx="21">
                  <c:v>1.9859100000000001</c:v>
                </c:pt>
                <c:pt idx="22">
                  <c:v>2.2646600000000001</c:v>
                </c:pt>
                <c:pt idx="23">
                  <c:v>2.3576299999999999</c:v>
                </c:pt>
                <c:pt idx="24">
                  <c:v>2.8693599999999999</c:v>
                </c:pt>
                <c:pt idx="25">
                  <c:v>3.7549199999999998</c:v>
                </c:pt>
                <c:pt idx="26">
                  <c:v>3.8482699999999999</c:v>
                </c:pt>
                <c:pt idx="27">
                  <c:v>4.8297600000000003</c:v>
                </c:pt>
                <c:pt idx="28">
                  <c:v>5.4855099999999997</c:v>
                </c:pt>
                <c:pt idx="29">
                  <c:v>6.6123099999999999</c:v>
                </c:pt>
                <c:pt idx="30">
                  <c:v>7.0827900000000001</c:v>
                </c:pt>
                <c:pt idx="31">
                  <c:v>9.4438099999999991</c:v>
                </c:pt>
                <c:pt idx="32">
                  <c:v>10.002649999999999</c:v>
                </c:pt>
                <c:pt idx="33">
                  <c:v>10.9148</c:v>
                </c:pt>
                <c:pt idx="34">
                  <c:v>11.5809</c:v>
                </c:pt>
                <c:pt idx="35">
                  <c:v>16.515250000000002</c:v>
                </c:pt>
                <c:pt idx="36">
                  <c:v>16.56344</c:v>
                </c:pt>
                <c:pt idx="37">
                  <c:v>26.065539999999999</c:v>
                </c:pt>
                <c:pt idx="38">
                  <c:v>26.509029999999999</c:v>
                </c:pt>
                <c:pt idx="39">
                  <c:v>47.774900000000002</c:v>
                </c:pt>
                <c:pt idx="40">
                  <c:v>96.021569999999997</c:v>
                </c:pt>
                <c:pt idx="41">
                  <c:v>138.42627999999999</c:v>
                </c:pt>
                <c:pt idx="42">
                  <c:v>138.48518000000001</c:v>
                </c:pt>
                <c:pt idx="43">
                  <c:v>196.88381000000001</c:v>
                </c:pt>
                <c:pt idx="44">
                  <c:v>240.81712999999999</c:v>
                </c:pt>
                <c:pt idx="45">
                  <c:v>241.53886</c:v>
                </c:pt>
                <c:pt idx="46">
                  <c:v>257.53726999999998</c:v>
                </c:pt>
                <c:pt idx="47">
                  <c:v>284.82368000000002</c:v>
                </c:pt>
                <c:pt idx="48">
                  <c:v>287.07508000000001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02-42B8-A039-EE59A3F15579}"/>
            </c:ext>
          </c:extLst>
        </c:ser>
        <c:ser>
          <c:idx val="7"/>
          <c:order val="8"/>
          <c:tx>
            <c:strRef>
              <c:f>'Err. rel.'!$N$44</c:f>
              <c:strCache>
                <c:ptCount val="1"/>
                <c:pt idx="0">
                  <c:v> Saturation line (EoS model)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'Calcoli eqilib.'!$D$95:$D$127</c:f>
              <c:numCache>
                <c:formatCode>General</c:formatCode>
                <c:ptCount val="33"/>
                <c:pt idx="0">
                  <c:v>216.5932799</c:v>
                </c:pt>
                <c:pt idx="1">
                  <c:v>217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  <c:pt idx="5">
                  <c:v>235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255</c:v>
                </c:pt>
                <c:pt idx="10">
                  <c:v>260</c:v>
                </c:pt>
                <c:pt idx="11">
                  <c:v>265</c:v>
                </c:pt>
                <c:pt idx="12">
                  <c:v>270</c:v>
                </c:pt>
                <c:pt idx="13">
                  <c:v>275</c:v>
                </c:pt>
                <c:pt idx="14">
                  <c:v>280</c:v>
                </c:pt>
                <c:pt idx="15">
                  <c:v>285</c:v>
                </c:pt>
                <c:pt idx="16">
                  <c:v>290</c:v>
                </c:pt>
                <c:pt idx="17">
                  <c:v>295</c:v>
                </c:pt>
                <c:pt idx="18">
                  <c:v>297</c:v>
                </c:pt>
                <c:pt idx="19">
                  <c:v>299</c:v>
                </c:pt>
                <c:pt idx="20">
                  <c:v>300</c:v>
                </c:pt>
                <c:pt idx="21">
                  <c:v>301</c:v>
                </c:pt>
                <c:pt idx="22">
                  <c:v>302</c:v>
                </c:pt>
                <c:pt idx="23">
                  <c:v>302.5</c:v>
                </c:pt>
                <c:pt idx="24">
                  <c:v>303</c:v>
                </c:pt>
                <c:pt idx="25">
                  <c:v>303.39999999999998</c:v>
                </c:pt>
                <c:pt idx="26">
                  <c:v>303.60000000000002</c:v>
                </c:pt>
                <c:pt idx="27">
                  <c:v>303.8</c:v>
                </c:pt>
                <c:pt idx="28">
                  <c:v>303.89999999999998</c:v>
                </c:pt>
                <c:pt idx="29">
                  <c:v>304</c:v>
                </c:pt>
                <c:pt idx="30">
                  <c:v>304.10000000000002</c:v>
                </c:pt>
                <c:pt idx="31">
                  <c:v>304.12</c:v>
                </c:pt>
                <c:pt idx="32">
                  <c:v>304.12700000000001</c:v>
                </c:pt>
              </c:numCache>
            </c:numRef>
          </c:xVal>
          <c:yVal>
            <c:numRef>
              <c:f>'Calcoli eqilib.'!$E$95:$E$127</c:f>
              <c:numCache>
                <c:formatCode>General</c:formatCode>
                <c:ptCount val="33"/>
                <c:pt idx="0">
                  <c:v>0.51798999999999995</c:v>
                </c:pt>
                <c:pt idx="1">
                  <c:v>0.52722000000000002</c:v>
                </c:pt>
                <c:pt idx="2">
                  <c:v>0.59913000000000005</c:v>
                </c:pt>
                <c:pt idx="3">
                  <c:v>0.73509000000000002</c:v>
                </c:pt>
                <c:pt idx="4">
                  <c:v>0.89290999999999998</c:v>
                </c:pt>
                <c:pt idx="5">
                  <c:v>1.07467</c:v>
                </c:pt>
                <c:pt idx="6">
                  <c:v>1.2824800000000001</c:v>
                </c:pt>
                <c:pt idx="7">
                  <c:v>1.5185299999999999</c:v>
                </c:pt>
                <c:pt idx="8">
                  <c:v>1.78505</c:v>
                </c:pt>
                <c:pt idx="9">
                  <c:v>2.0843400000000001</c:v>
                </c:pt>
                <c:pt idx="10">
                  <c:v>2.4188000000000001</c:v>
                </c:pt>
                <c:pt idx="11">
                  <c:v>2.7909199999999998</c:v>
                </c:pt>
                <c:pt idx="12">
                  <c:v>3.2033499999999999</c:v>
                </c:pt>
                <c:pt idx="13">
                  <c:v>3.6589200000000002</c:v>
                </c:pt>
                <c:pt idx="14">
                  <c:v>4.1607399999999997</c:v>
                </c:pt>
                <c:pt idx="15">
                  <c:v>4.7123499999999998</c:v>
                </c:pt>
                <c:pt idx="16">
                  <c:v>5.3180399999999999</c:v>
                </c:pt>
                <c:pt idx="17">
                  <c:v>5.9835700000000003</c:v>
                </c:pt>
                <c:pt idx="18">
                  <c:v>6.2681500000000003</c:v>
                </c:pt>
                <c:pt idx="19">
                  <c:v>6.5638500000000004</c:v>
                </c:pt>
                <c:pt idx="20">
                  <c:v>6.7158499999999997</c:v>
                </c:pt>
                <c:pt idx="21">
                  <c:v>6.8705800000000004</c:v>
                </c:pt>
                <c:pt idx="22">
                  <c:v>7.0282</c:v>
                </c:pt>
                <c:pt idx="23">
                  <c:v>7.1082799999999997</c:v>
                </c:pt>
                <c:pt idx="24">
                  <c:v>7.1894099999999996</c:v>
                </c:pt>
                <c:pt idx="25">
                  <c:v>7.2551800000000002</c:v>
                </c:pt>
                <c:pt idx="26">
                  <c:v>7.2883899999999997</c:v>
                </c:pt>
                <c:pt idx="27">
                  <c:v>7.3218399999999999</c:v>
                </c:pt>
                <c:pt idx="28">
                  <c:v>7.3386500000000003</c:v>
                </c:pt>
                <c:pt idx="29">
                  <c:v>7.3555400000000004</c:v>
                </c:pt>
                <c:pt idx="30">
                  <c:v>7.3724999999999996</c:v>
                </c:pt>
                <c:pt idx="31">
                  <c:v>7.3759100000000002</c:v>
                </c:pt>
                <c:pt idx="32">
                  <c:v>7.3807900000000002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2-42B8-A039-EE59A3F15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325"/>
          <c:min val="7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15"/>
      </c:valAx>
      <c:valAx>
        <c:axId val="68417792"/>
        <c:scaling>
          <c:orientation val="minMax"/>
          <c:max val="29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P [MPa]</a:t>
                </a:r>
              </a:p>
            </c:rich>
          </c:tx>
          <c:layout>
            <c:manualLayout>
              <c:xMode val="edge"/>
              <c:yMode val="edge"/>
              <c:x val="2.8372839876817831E-2"/>
              <c:y val="0.40937689418656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29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599594502357334"/>
          <c:y val="9.1227246702153597E-2"/>
          <c:w val="0.2885853175591514"/>
          <c:h val="0.3700367907575268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v> model</c:v>
          </c:tx>
          <c:spPr>
            <a:ln w="15875" cmpd="sng">
              <a:noFill/>
              <a:prstDash val="solid"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rel.'!$B$4:$B$87</c:f>
              <c:numCache>
                <c:formatCode>0.00</c:formatCode>
                <c:ptCount val="84"/>
                <c:pt idx="0">
                  <c:v>170.11</c:v>
                </c:pt>
                <c:pt idx="1">
                  <c:v>171.81</c:v>
                </c:pt>
                <c:pt idx="2">
                  <c:v>172.14</c:v>
                </c:pt>
                <c:pt idx="3">
                  <c:v>173.59</c:v>
                </c:pt>
                <c:pt idx="4">
                  <c:v>175.34</c:v>
                </c:pt>
                <c:pt idx="5">
                  <c:v>177.2</c:v>
                </c:pt>
                <c:pt idx="6">
                  <c:v>179.2</c:v>
                </c:pt>
                <c:pt idx="7">
                  <c:v>179.73</c:v>
                </c:pt>
                <c:pt idx="8">
                  <c:v>180.95</c:v>
                </c:pt>
                <c:pt idx="9">
                  <c:v>183.02</c:v>
                </c:pt>
                <c:pt idx="10">
                  <c:v>184.37</c:v>
                </c:pt>
                <c:pt idx="11">
                  <c:v>185.23</c:v>
                </c:pt>
                <c:pt idx="12">
                  <c:v>187.25</c:v>
                </c:pt>
                <c:pt idx="13">
                  <c:v>187.69</c:v>
                </c:pt>
                <c:pt idx="14">
                  <c:v>189.88</c:v>
                </c:pt>
                <c:pt idx="15">
                  <c:v>192.79</c:v>
                </c:pt>
                <c:pt idx="16">
                  <c:v>192.94</c:v>
                </c:pt>
                <c:pt idx="17">
                  <c:v>194.54</c:v>
                </c:pt>
                <c:pt idx="18">
                  <c:v>196.76</c:v>
                </c:pt>
                <c:pt idx="19">
                  <c:v>197.47</c:v>
                </c:pt>
                <c:pt idx="20">
                  <c:v>199.29</c:v>
                </c:pt>
                <c:pt idx="21">
                  <c:v>201.74</c:v>
                </c:pt>
                <c:pt idx="22">
                  <c:v>202.82</c:v>
                </c:pt>
                <c:pt idx="23">
                  <c:v>203.8</c:v>
                </c:pt>
                <c:pt idx="24">
                  <c:v>205.24</c:v>
                </c:pt>
                <c:pt idx="25">
                  <c:v>207.03</c:v>
                </c:pt>
                <c:pt idx="26">
                  <c:v>207.22</c:v>
                </c:pt>
                <c:pt idx="27">
                  <c:v>207.61</c:v>
                </c:pt>
                <c:pt idx="28">
                  <c:v>207.98</c:v>
                </c:pt>
                <c:pt idx="29">
                  <c:v>208.44</c:v>
                </c:pt>
                <c:pt idx="30">
                  <c:v>209.3</c:v>
                </c:pt>
                <c:pt idx="31">
                  <c:v>210.73</c:v>
                </c:pt>
                <c:pt idx="32">
                  <c:v>210.93</c:v>
                </c:pt>
                <c:pt idx="33">
                  <c:v>211.11</c:v>
                </c:pt>
                <c:pt idx="34">
                  <c:v>211.23</c:v>
                </c:pt>
                <c:pt idx="35">
                  <c:v>211.29</c:v>
                </c:pt>
                <c:pt idx="36">
                  <c:v>213.19</c:v>
                </c:pt>
                <c:pt idx="37">
                  <c:v>213.27</c:v>
                </c:pt>
                <c:pt idx="38">
                  <c:v>213.28</c:v>
                </c:pt>
                <c:pt idx="39">
                  <c:v>213.31</c:v>
                </c:pt>
                <c:pt idx="40">
                  <c:v>213.34</c:v>
                </c:pt>
                <c:pt idx="41">
                  <c:v>213.34</c:v>
                </c:pt>
                <c:pt idx="42">
                  <c:v>213.35</c:v>
                </c:pt>
                <c:pt idx="43">
                  <c:v>213.39</c:v>
                </c:pt>
                <c:pt idx="44">
                  <c:v>213.41</c:v>
                </c:pt>
                <c:pt idx="45">
                  <c:v>213.43</c:v>
                </c:pt>
                <c:pt idx="46">
                  <c:v>213.47</c:v>
                </c:pt>
                <c:pt idx="47">
                  <c:v>213.51</c:v>
                </c:pt>
                <c:pt idx="48">
                  <c:v>213.54</c:v>
                </c:pt>
                <c:pt idx="49">
                  <c:v>213.68</c:v>
                </c:pt>
                <c:pt idx="50">
                  <c:v>213.7</c:v>
                </c:pt>
                <c:pt idx="51">
                  <c:v>213.73</c:v>
                </c:pt>
                <c:pt idx="52">
                  <c:v>213.8</c:v>
                </c:pt>
                <c:pt idx="53">
                  <c:v>213.85</c:v>
                </c:pt>
                <c:pt idx="54">
                  <c:v>213.92</c:v>
                </c:pt>
                <c:pt idx="55">
                  <c:v>214.17</c:v>
                </c:pt>
                <c:pt idx="56">
                  <c:v>214.23</c:v>
                </c:pt>
                <c:pt idx="57">
                  <c:v>214.34</c:v>
                </c:pt>
                <c:pt idx="58">
                  <c:v>214.37</c:v>
                </c:pt>
                <c:pt idx="59">
                  <c:v>214.39</c:v>
                </c:pt>
                <c:pt idx="60">
                  <c:v>214.39</c:v>
                </c:pt>
                <c:pt idx="61">
                  <c:v>214.4</c:v>
                </c:pt>
                <c:pt idx="62">
                  <c:v>214.46</c:v>
                </c:pt>
                <c:pt idx="63">
                  <c:v>214.52</c:v>
                </c:pt>
                <c:pt idx="64">
                  <c:v>214.56</c:v>
                </c:pt>
                <c:pt idx="65">
                  <c:v>214.62</c:v>
                </c:pt>
                <c:pt idx="66">
                  <c:v>214.74</c:v>
                </c:pt>
                <c:pt idx="67">
                  <c:v>214.85</c:v>
                </c:pt>
                <c:pt idx="68">
                  <c:v>214.91</c:v>
                </c:pt>
                <c:pt idx="69">
                  <c:v>215.01</c:v>
                </c:pt>
                <c:pt idx="70">
                  <c:v>215.31</c:v>
                </c:pt>
                <c:pt idx="71">
                  <c:v>215.6</c:v>
                </c:pt>
                <c:pt idx="72">
                  <c:v>216.19</c:v>
                </c:pt>
                <c:pt idx="73">
                  <c:v>216.33</c:v>
                </c:pt>
                <c:pt idx="74">
                  <c:v>216.38</c:v>
                </c:pt>
                <c:pt idx="75">
                  <c:v>216.45</c:v>
                </c:pt>
                <c:pt idx="76">
                  <c:v>216.48</c:v>
                </c:pt>
                <c:pt idx="77">
                  <c:v>216.49</c:v>
                </c:pt>
                <c:pt idx="78">
                  <c:v>216.53</c:v>
                </c:pt>
                <c:pt idx="79">
                  <c:v>216.58</c:v>
                </c:pt>
                <c:pt idx="80">
                  <c:v>216.58</c:v>
                </c:pt>
                <c:pt idx="81">
                  <c:v>216.59</c:v>
                </c:pt>
                <c:pt idx="82">
                  <c:v>216.59</c:v>
                </c:pt>
                <c:pt idx="83">
                  <c:v>216.59</c:v>
                </c:pt>
              </c:numCache>
            </c:numRef>
          </c:xVal>
          <c:yVal>
            <c:numRef>
              <c:f>'Err. rel.'!$G$4:$G$87</c:f>
              <c:numCache>
                <c:formatCode>General</c:formatCode>
                <c:ptCount val="84"/>
                <c:pt idx="0">
                  <c:v>0.19801980198020713</c:v>
                </c:pt>
                <c:pt idx="1">
                  <c:v>0.41356492969395947</c:v>
                </c:pt>
                <c:pt idx="2">
                  <c:v>0.43964828137489603</c:v>
                </c:pt>
                <c:pt idx="3">
                  <c:v>0.48109965635738061</c:v>
                </c:pt>
                <c:pt idx="4">
                  <c:v>0.22935779816512827</c:v>
                </c:pt>
                <c:pt idx="5">
                  <c:v>0.28571428571427404</c:v>
                </c:pt>
                <c:pt idx="6">
                  <c:v>0.19561815336463784</c:v>
                </c:pt>
                <c:pt idx="7">
                  <c:v>0.22304832713755027</c:v>
                </c:pt>
                <c:pt idx="8">
                  <c:v>0.16534391534392009</c:v>
                </c:pt>
                <c:pt idx="9">
                  <c:v>5.4406964091401479E-2</c:v>
                </c:pt>
                <c:pt idx="10">
                  <c:v>2.4021138601977087E-2</c:v>
                </c:pt>
                <c:pt idx="11">
                  <c:v>2.221728504775855E-2</c:v>
                </c:pt>
                <c:pt idx="12">
                  <c:v>-5.5586436909385417E-2</c:v>
                </c:pt>
                <c:pt idx="13">
                  <c:v>0.19656897784131341</c:v>
                </c:pt>
                <c:pt idx="14">
                  <c:v>-7.3637702503694211E-2</c:v>
                </c:pt>
                <c:pt idx="15">
                  <c:v>-0.10355540214015273</c:v>
                </c:pt>
                <c:pt idx="16">
                  <c:v>0.34242666362288393</c:v>
                </c:pt>
                <c:pt idx="17">
                  <c:v>-5.9760956175303276E-2</c:v>
                </c:pt>
                <c:pt idx="18">
                  <c:v>1.6650016650010195E-2</c:v>
                </c:pt>
                <c:pt idx="19">
                  <c:v>-4.7162395849712699E-2</c:v>
                </c:pt>
                <c:pt idx="20">
                  <c:v>-0.10885094224098321</c:v>
                </c:pt>
                <c:pt idx="21">
                  <c:v>-0.135021097046408</c:v>
                </c:pt>
                <c:pt idx="22">
                  <c:v>-0.1398963730569909</c:v>
                </c:pt>
                <c:pt idx="23">
                  <c:v>-0.16355589763325329</c:v>
                </c:pt>
                <c:pt idx="24">
                  <c:v>-0.16414686825054825</c:v>
                </c:pt>
                <c:pt idx="25">
                  <c:v>-0.15145204649578262</c:v>
                </c:pt>
                <c:pt idx="26">
                  <c:v>-0.14936519790887079</c:v>
                </c:pt>
                <c:pt idx="27">
                  <c:v>-0.13068099317555792</c:v>
                </c:pt>
                <c:pt idx="28">
                  <c:v>-0.15191662250487242</c:v>
                </c:pt>
                <c:pt idx="29">
                  <c:v>-0.15035538545653224</c:v>
                </c:pt>
                <c:pt idx="30">
                  <c:v>-0.1220805088829606</c:v>
                </c:pt>
                <c:pt idx="31">
                  <c:v>-0.18262457605009694</c:v>
                </c:pt>
                <c:pt idx="32">
                  <c:v>-0.14009606587373927</c:v>
                </c:pt>
                <c:pt idx="33">
                  <c:v>-0.12140376634009598</c:v>
                </c:pt>
                <c:pt idx="34">
                  <c:v>-0.15391934626255702</c:v>
                </c:pt>
                <c:pt idx="35">
                  <c:v>-0.15604971297999357</c:v>
                </c:pt>
                <c:pt idx="36">
                  <c:v>-0.1048959578464717</c:v>
                </c:pt>
                <c:pt idx="37">
                  <c:v>-0.10673394139336211</c:v>
                </c:pt>
                <c:pt idx="38">
                  <c:v>-0.1647446457990149</c:v>
                </c:pt>
                <c:pt idx="39">
                  <c:v>-0.16053615206448474</c:v>
                </c:pt>
                <c:pt idx="40">
                  <c:v>-0.1257448754739553</c:v>
                </c:pt>
                <c:pt idx="41">
                  <c:v>-0.16020305254370548</c:v>
                </c:pt>
                <c:pt idx="42">
                  <c:v>-0.15912817050824427</c:v>
                </c:pt>
                <c:pt idx="43">
                  <c:v>-0.12026168943621331</c:v>
                </c:pt>
                <c:pt idx="44">
                  <c:v>-0.1584633853541402</c:v>
                </c:pt>
                <c:pt idx="45">
                  <c:v>-0.16303044833373626</c:v>
                </c:pt>
                <c:pt idx="46">
                  <c:v>-0.1625783005785908</c:v>
                </c:pt>
                <c:pt idx="47">
                  <c:v>-0.14307857398354346</c:v>
                </c:pt>
                <c:pt idx="48">
                  <c:v>-0.14040598748244437</c:v>
                </c:pt>
                <c:pt idx="49">
                  <c:v>-0.12492339603074304</c:v>
                </c:pt>
                <c:pt idx="50">
                  <c:v>-0.1576507682533716</c:v>
                </c:pt>
                <c:pt idx="51">
                  <c:v>-0.11979704970403328</c:v>
                </c:pt>
                <c:pt idx="52">
                  <c:v>-0.11220983238655831</c:v>
                </c:pt>
                <c:pt idx="53">
                  <c:v>-0.1094958531357809</c:v>
                </c:pt>
                <c:pt idx="54">
                  <c:v>-0.13443040908564721</c:v>
                </c:pt>
                <c:pt idx="55">
                  <c:v>-9.3432386855650598E-2</c:v>
                </c:pt>
                <c:pt idx="56">
                  <c:v>-0.14289926735771633</c:v>
                </c:pt>
                <c:pt idx="57">
                  <c:v>-0.15305318598213191</c:v>
                </c:pt>
                <c:pt idx="58">
                  <c:v>-0.11459644076937139</c:v>
                </c:pt>
                <c:pt idx="59">
                  <c:v>-0.11891940405672914</c:v>
                </c:pt>
                <c:pt idx="60">
                  <c:v>-0.15476404091154314</c:v>
                </c:pt>
                <c:pt idx="61">
                  <c:v>-0.11883674521849703</c:v>
                </c:pt>
                <c:pt idx="62">
                  <c:v>-0.1384144844060477</c:v>
                </c:pt>
                <c:pt idx="63">
                  <c:v>-0.14228229696982592</c:v>
                </c:pt>
                <c:pt idx="64">
                  <c:v>-9.9807039723203136E-2</c:v>
                </c:pt>
                <c:pt idx="65">
                  <c:v>-0.13248250126962163</c:v>
                </c:pt>
                <c:pt idx="66">
                  <c:v>-0.11826544021024638</c:v>
                </c:pt>
                <c:pt idx="67">
                  <c:v>-0.10868620119989576</c:v>
                </c:pt>
                <c:pt idx="68">
                  <c:v>-0.14282313734824909</c:v>
                </c:pt>
                <c:pt idx="69">
                  <c:v>-0.12467219809982909</c:v>
                </c:pt>
                <c:pt idx="70">
                  <c:v>-9.2672549969459325E-2</c:v>
                </c:pt>
                <c:pt idx="71">
                  <c:v>-9.4349945392643436E-2</c:v>
                </c:pt>
                <c:pt idx="72">
                  <c:v>-9.3185558221141315E-2</c:v>
                </c:pt>
                <c:pt idx="73">
                  <c:v>-8.0524785921893022E-2</c:v>
                </c:pt>
                <c:pt idx="74">
                  <c:v>-8.8071239847355209E-2</c:v>
                </c:pt>
                <c:pt idx="75">
                  <c:v>-0.11488881099816556</c:v>
                </c:pt>
                <c:pt idx="76">
                  <c:v>-8.5529896586578794E-2</c:v>
                </c:pt>
                <c:pt idx="77">
                  <c:v>-6.9942297604481549E-2</c:v>
                </c:pt>
                <c:pt idx="78">
                  <c:v>-7.7495350278974737E-2</c:v>
                </c:pt>
                <c:pt idx="79">
                  <c:v>-8.6877618394899589E-2</c:v>
                </c:pt>
                <c:pt idx="80">
                  <c:v>-0.22364463638467838</c:v>
                </c:pt>
                <c:pt idx="81">
                  <c:v>-0.17733230531997529</c:v>
                </c:pt>
                <c:pt idx="82">
                  <c:v>-0.20618556701031224</c:v>
                </c:pt>
                <c:pt idx="83">
                  <c:v>-0.21195421788893404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FF-4E22-9E3C-FEE588BBE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1"/>
          <c:order val="1"/>
          <c:tx>
            <c:v> corr. eq. [1]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rel.'!$B$4:$B$87</c:f>
              <c:numCache>
                <c:formatCode>0.00</c:formatCode>
                <c:ptCount val="84"/>
                <c:pt idx="0">
                  <c:v>170.11</c:v>
                </c:pt>
                <c:pt idx="1">
                  <c:v>171.81</c:v>
                </c:pt>
                <c:pt idx="2">
                  <c:v>172.14</c:v>
                </c:pt>
                <c:pt idx="3">
                  <c:v>173.59</c:v>
                </c:pt>
                <c:pt idx="4">
                  <c:v>175.34</c:v>
                </c:pt>
                <c:pt idx="5">
                  <c:v>177.2</c:v>
                </c:pt>
                <c:pt idx="6">
                  <c:v>179.2</c:v>
                </c:pt>
                <c:pt idx="7">
                  <c:v>179.73</c:v>
                </c:pt>
                <c:pt idx="8">
                  <c:v>180.95</c:v>
                </c:pt>
                <c:pt idx="9">
                  <c:v>183.02</c:v>
                </c:pt>
                <c:pt idx="10">
                  <c:v>184.37</c:v>
                </c:pt>
                <c:pt idx="11">
                  <c:v>185.23</c:v>
                </c:pt>
                <c:pt idx="12">
                  <c:v>187.25</c:v>
                </c:pt>
                <c:pt idx="13">
                  <c:v>187.69</c:v>
                </c:pt>
                <c:pt idx="14">
                  <c:v>189.88</c:v>
                </c:pt>
                <c:pt idx="15">
                  <c:v>192.79</c:v>
                </c:pt>
                <c:pt idx="16">
                  <c:v>192.94</c:v>
                </c:pt>
                <c:pt idx="17">
                  <c:v>194.54</c:v>
                </c:pt>
                <c:pt idx="18">
                  <c:v>196.76</c:v>
                </c:pt>
                <c:pt idx="19">
                  <c:v>197.47</c:v>
                </c:pt>
                <c:pt idx="20">
                  <c:v>199.29</c:v>
                </c:pt>
                <c:pt idx="21">
                  <c:v>201.74</c:v>
                </c:pt>
                <c:pt idx="22">
                  <c:v>202.82</c:v>
                </c:pt>
                <c:pt idx="23">
                  <c:v>203.8</c:v>
                </c:pt>
                <c:pt idx="24">
                  <c:v>205.24</c:v>
                </c:pt>
                <c:pt idx="25">
                  <c:v>207.03</c:v>
                </c:pt>
                <c:pt idx="26">
                  <c:v>207.22</c:v>
                </c:pt>
                <c:pt idx="27">
                  <c:v>207.61</c:v>
                </c:pt>
                <c:pt idx="28">
                  <c:v>207.98</c:v>
                </c:pt>
                <c:pt idx="29">
                  <c:v>208.44</c:v>
                </c:pt>
                <c:pt idx="30">
                  <c:v>209.3</c:v>
                </c:pt>
                <c:pt idx="31">
                  <c:v>210.73</c:v>
                </c:pt>
                <c:pt idx="32">
                  <c:v>210.93</c:v>
                </c:pt>
                <c:pt idx="33">
                  <c:v>211.11</c:v>
                </c:pt>
                <c:pt idx="34">
                  <c:v>211.23</c:v>
                </c:pt>
                <c:pt idx="35">
                  <c:v>211.29</c:v>
                </c:pt>
                <c:pt idx="36">
                  <c:v>213.19</c:v>
                </c:pt>
                <c:pt idx="37">
                  <c:v>213.27</c:v>
                </c:pt>
                <c:pt idx="38">
                  <c:v>213.28</c:v>
                </c:pt>
                <c:pt idx="39">
                  <c:v>213.31</c:v>
                </c:pt>
                <c:pt idx="40">
                  <c:v>213.34</c:v>
                </c:pt>
                <c:pt idx="41">
                  <c:v>213.34</c:v>
                </c:pt>
                <c:pt idx="42">
                  <c:v>213.35</c:v>
                </c:pt>
                <c:pt idx="43">
                  <c:v>213.39</c:v>
                </c:pt>
                <c:pt idx="44">
                  <c:v>213.41</c:v>
                </c:pt>
                <c:pt idx="45">
                  <c:v>213.43</c:v>
                </c:pt>
                <c:pt idx="46">
                  <c:v>213.47</c:v>
                </c:pt>
                <c:pt idx="47">
                  <c:v>213.51</c:v>
                </c:pt>
                <c:pt idx="48">
                  <c:v>213.54</c:v>
                </c:pt>
                <c:pt idx="49">
                  <c:v>213.68</c:v>
                </c:pt>
                <c:pt idx="50">
                  <c:v>213.7</c:v>
                </c:pt>
                <c:pt idx="51">
                  <c:v>213.73</c:v>
                </c:pt>
                <c:pt idx="52">
                  <c:v>213.8</c:v>
                </c:pt>
                <c:pt idx="53">
                  <c:v>213.85</c:v>
                </c:pt>
                <c:pt idx="54">
                  <c:v>213.92</c:v>
                </c:pt>
                <c:pt idx="55">
                  <c:v>214.17</c:v>
                </c:pt>
                <c:pt idx="56">
                  <c:v>214.23</c:v>
                </c:pt>
                <c:pt idx="57">
                  <c:v>214.34</c:v>
                </c:pt>
                <c:pt idx="58">
                  <c:v>214.37</c:v>
                </c:pt>
                <c:pt idx="59">
                  <c:v>214.39</c:v>
                </c:pt>
                <c:pt idx="60">
                  <c:v>214.39</c:v>
                </c:pt>
                <c:pt idx="61">
                  <c:v>214.4</c:v>
                </c:pt>
                <c:pt idx="62">
                  <c:v>214.46</c:v>
                </c:pt>
                <c:pt idx="63">
                  <c:v>214.52</c:v>
                </c:pt>
                <c:pt idx="64">
                  <c:v>214.56</c:v>
                </c:pt>
                <c:pt idx="65">
                  <c:v>214.62</c:v>
                </c:pt>
                <c:pt idx="66">
                  <c:v>214.74</c:v>
                </c:pt>
                <c:pt idx="67">
                  <c:v>214.85</c:v>
                </c:pt>
                <c:pt idx="68">
                  <c:v>214.91</c:v>
                </c:pt>
                <c:pt idx="69">
                  <c:v>215.01</c:v>
                </c:pt>
                <c:pt idx="70">
                  <c:v>215.31</c:v>
                </c:pt>
                <c:pt idx="71">
                  <c:v>215.6</c:v>
                </c:pt>
                <c:pt idx="72">
                  <c:v>216.19</c:v>
                </c:pt>
                <c:pt idx="73">
                  <c:v>216.33</c:v>
                </c:pt>
                <c:pt idx="74">
                  <c:v>216.38</c:v>
                </c:pt>
                <c:pt idx="75">
                  <c:v>216.45</c:v>
                </c:pt>
                <c:pt idx="76">
                  <c:v>216.48</c:v>
                </c:pt>
                <c:pt idx="77">
                  <c:v>216.49</c:v>
                </c:pt>
                <c:pt idx="78">
                  <c:v>216.53</c:v>
                </c:pt>
                <c:pt idx="79">
                  <c:v>216.58</c:v>
                </c:pt>
                <c:pt idx="80">
                  <c:v>216.58</c:v>
                </c:pt>
                <c:pt idx="81">
                  <c:v>216.59</c:v>
                </c:pt>
                <c:pt idx="82">
                  <c:v>216.59</c:v>
                </c:pt>
                <c:pt idx="83">
                  <c:v>216.59</c:v>
                </c:pt>
              </c:numCache>
            </c:numRef>
          </c:xVal>
          <c:yVal>
            <c:numRef>
              <c:f>'Err. rel.'!$I$4:$I$87</c:f>
              <c:numCache>
                <c:formatCode>General</c:formatCode>
                <c:ptCount val="84"/>
                <c:pt idx="0">
                  <c:v>-0.19801980198018995</c:v>
                </c:pt>
                <c:pt idx="1">
                  <c:v>0</c:v>
                </c:pt>
                <c:pt idx="2">
                  <c:v>0</c:v>
                </c:pt>
                <c:pt idx="3">
                  <c:v>6.8728522336766962E-2</c:v>
                </c:pt>
                <c:pt idx="4">
                  <c:v>-0.17201834862386609</c:v>
                </c:pt>
                <c:pt idx="5">
                  <c:v>-0.14285714285715354</c:v>
                </c:pt>
                <c:pt idx="6">
                  <c:v>-0.19561815336462426</c:v>
                </c:pt>
                <c:pt idx="7">
                  <c:v>-0.18587360594796071</c:v>
                </c:pt>
                <c:pt idx="8">
                  <c:v>-0.23148148148148354</c:v>
                </c:pt>
                <c:pt idx="9">
                  <c:v>-0.32644178454842776</c:v>
                </c:pt>
                <c:pt idx="10">
                  <c:v>-0.33629594042757921</c:v>
                </c:pt>
                <c:pt idx="11">
                  <c:v>-0.33325927571651698</c:v>
                </c:pt>
                <c:pt idx="12">
                  <c:v>-0.4076338706688864</c:v>
                </c:pt>
                <c:pt idx="13">
                  <c:v>-0.1250893495353835</c:v>
                </c:pt>
                <c:pt idx="14">
                  <c:v>-0.38291605301914039</c:v>
                </c:pt>
                <c:pt idx="15">
                  <c:v>-0.35669082959383813</c:v>
                </c:pt>
                <c:pt idx="16">
                  <c:v>9.1313776966111884E-2</c:v>
                </c:pt>
                <c:pt idx="17">
                  <c:v>-0.27888446215139689</c:v>
                </c:pt>
                <c:pt idx="18">
                  <c:v>-0.15817515817516617</c:v>
                </c:pt>
                <c:pt idx="19">
                  <c:v>-0.20437038201541441</c:v>
                </c:pt>
                <c:pt idx="20">
                  <c:v>-0.23130825226206336</c:v>
                </c:pt>
                <c:pt idx="21">
                  <c:v>-0.20815752461321038</c:v>
                </c:pt>
                <c:pt idx="22">
                  <c:v>-0.18134715025907613</c:v>
                </c:pt>
                <c:pt idx="23">
                  <c:v>-0.18760823552049327</c:v>
                </c:pt>
                <c:pt idx="24">
                  <c:v>-0.16414686825054825</c:v>
                </c:pt>
                <c:pt idx="25">
                  <c:v>-0.11737533603424045</c:v>
                </c:pt>
                <c:pt idx="26">
                  <c:v>-0.11575802837937901</c:v>
                </c:pt>
                <c:pt idx="27">
                  <c:v>-9.0750689705251922E-2</c:v>
                </c:pt>
                <c:pt idx="28">
                  <c:v>-0.10952128599188569</c:v>
                </c:pt>
                <c:pt idx="29">
                  <c:v>-0.10251503553855333</c:v>
                </c:pt>
                <c:pt idx="30">
                  <c:v>-6.4252899412078901E-2</c:v>
                </c:pt>
                <c:pt idx="31">
                  <c:v>-0.11595211177783908</c:v>
                </c:pt>
                <c:pt idx="32">
                  <c:v>-7.433668801464946E-2</c:v>
                </c:pt>
                <c:pt idx="33">
                  <c:v>-5.6466868065156543E-2</c:v>
                </c:pt>
                <c:pt idx="34">
                  <c:v>-8.6754540620708309E-2</c:v>
                </c:pt>
                <c:pt idx="35">
                  <c:v>-8.91712645599919E-2</c:v>
                </c:pt>
                <c:pt idx="36">
                  <c:v>-4.3909935842708137E-2</c:v>
                </c:pt>
                <c:pt idx="37">
                  <c:v>-4.8515427906068789E-2</c:v>
                </c:pt>
                <c:pt idx="38">
                  <c:v>-0.10417676131409086</c:v>
                </c:pt>
                <c:pt idx="39">
                  <c:v>-0.10251103686044959</c:v>
                </c:pt>
                <c:pt idx="40">
                  <c:v>-6.5406643480700508E-2</c:v>
                </c:pt>
                <c:pt idx="41">
                  <c:v>-9.9885638182377043E-2</c:v>
                </c:pt>
                <c:pt idx="42">
                  <c:v>-0.10126338123252759</c:v>
                </c:pt>
                <c:pt idx="43">
                  <c:v>-6.2536078506839995E-2</c:v>
                </c:pt>
                <c:pt idx="44">
                  <c:v>-0.10084033613444801</c:v>
                </c:pt>
                <c:pt idx="45">
                  <c:v>-0.1054902900983101</c:v>
                </c:pt>
                <c:pt idx="46">
                  <c:v>-0.10519772390379092</c:v>
                </c:pt>
                <c:pt idx="47">
                  <c:v>-8.5847144390134009E-2</c:v>
                </c:pt>
                <c:pt idx="48">
                  <c:v>-8.3291687489579366E-2</c:v>
                </c:pt>
                <c:pt idx="49">
                  <c:v>-6.8354311035688606E-2</c:v>
                </c:pt>
                <c:pt idx="50">
                  <c:v>-0.10117885126708534</c:v>
                </c:pt>
                <c:pt idx="51">
                  <c:v>-6.57709292492724E-2</c:v>
                </c:pt>
                <c:pt idx="52">
                  <c:v>-5.8442621034661732E-2</c:v>
                </c:pt>
                <c:pt idx="53">
                  <c:v>-5.5912776069336027E-2</c:v>
                </c:pt>
                <c:pt idx="54">
                  <c:v>-8.3439564260059565E-2</c:v>
                </c:pt>
                <c:pt idx="55">
                  <c:v>-4.3297935372127061E-2</c:v>
                </c:pt>
                <c:pt idx="56">
                  <c:v>-9.526617823847755E-2</c:v>
                </c:pt>
                <c:pt idx="57">
                  <c:v>-0.10578676089941838</c:v>
                </c:pt>
                <c:pt idx="58">
                  <c:v>-6.7409671040797897E-2</c:v>
                </c:pt>
                <c:pt idx="59">
                  <c:v>-7.4044157242864145E-2</c:v>
                </c:pt>
                <c:pt idx="60">
                  <c:v>-0.10990489861833627</c:v>
                </c:pt>
                <c:pt idx="61">
                  <c:v>-7.3992690419067017E-2</c:v>
                </c:pt>
                <c:pt idx="62">
                  <c:v>-9.3764650726670673E-2</c:v>
                </c:pt>
                <c:pt idx="63">
                  <c:v>-9.7819079166758402E-2</c:v>
                </c:pt>
                <c:pt idx="64">
                  <c:v>-5.7666289617846048E-2</c:v>
                </c:pt>
                <c:pt idx="65">
                  <c:v>-9.0529709200914452E-2</c:v>
                </c:pt>
                <c:pt idx="66">
                  <c:v>-7.6653526062202576E-2</c:v>
                </c:pt>
                <c:pt idx="67">
                  <c:v>-6.955916876793039E-2</c:v>
                </c:pt>
                <c:pt idx="68">
                  <c:v>-0.10603535954643828</c:v>
                </c:pt>
                <c:pt idx="69">
                  <c:v>-8.8130346932638631E-2</c:v>
                </c:pt>
                <c:pt idx="70">
                  <c:v>-6.3185829524624981E-2</c:v>
                </c:pt>
                <c:pt idx="71">
                  <c:v>-6.9575342663719078E-2</c:v>
                </c:pt>
                <c:pt idx="72">
                  <c:v>-8.3272200963573559E-2</c:v>
                </c:pt>
                <c:pt idx="73">
                  <c:v>-7.2668709246598615E-2</c:v>
                </c:pt>
                <c:pt idx="74">
                  <c:v>-8.2199823857515592E-2</c:v>
                </c:pt>
                <c:pt idx="75">
                  <c:v>-0.11099427503212202</c:v>
                </c:pt>
                <c:pt idx="76">
                  <c:v>-8.1642174014457655E-2</c:v>
                </c:pt>
                <c:pt idx="77">
                  <c:v>-6.6056614404228969E-2</c:v>
                </c:pt>
                <c:pt idx="78">
                  <c:v>-7.5557966522008968E-2</c:v>
                </c:pt>
                <c:pt idx="79">
                  <c:v>-8.4947004652778324E-2</c:v>
                </c:pt>
                <c:pt idx="80">
                  <c:v>-0.22171666538134963</c:v>
                </c:pt>
                <c:pt idx="81">
                  <c:v>-0.17733230531997529</c:v>
                </c:pt>
                <c:pt idx="82">
                  <c:v>-0.20618556701031224</c:v>
                </c:pt>
                <c:pt idx="83">
                  <c:v>-0.21195421788893404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6C-4D99-AC5E-A998A14B5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</c:scatterChart>
      <c:valAx>
        <c:axId val="68415872"/>
        <c:scaling>
          <c:orientation val="minMax"/>
          <c:max val="218"/>
          <c:min val="17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0.5"/>
        <c:crossBetween val="midCat"/>
        <c:majorUnit val="3"/>
      </c:valAx>
      <c:valAx>
        <c:axId val="68417792"/>
        <c:scaling>
          <c:orientation val="minMax"/>
          <c:max val="0.5"/>
          <c:min val="-0.5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1.6360770219037934E-2"/>
              <c:y val="0.409376778722331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0.1"/>
      </c:valAx>
      <c:valAx>
        <c:axId val="986252751"/>
        <c:scaling>
          <c:orientation val="minMax"/>
          <c:max val="0.5"/>
          <c:min val="-0.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</c:valAx>
      <c:valAx>
        <c:axId val="986251919"/>
        <c:scaling>
          <c:orientation val="minMax"/>
          <c:max val="218"/>
          <c:min val="170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3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76617822019968684"/>
          <c:y val="8.9623253490174484E-2"/>
          <c:w val="0.15119709354627339"/>
          <c:h val="0.11526310458516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37618358331024"/>
          <c:y val="7.5930671623692922E-2"/>
          <c:w val="0.81947875244691393"/>
          <c:h val="0.79145189738983202"/>
        </c:manualLayout>
      </c:layou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Exp data</c:v>
                </c:tx>
                <c:marker>
                  <c:symbol val="circle"/>
                  <c:size val="5"/>
                  <c:spPr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'Err. rel.'!$K$47:$K$143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217</c:v>
                      </c:pt>
                      <c:pt idx="1">
                        <c:v>217</c:v>
                      </c:pt>
                      <c:pt idx="2">
                        <c:v>217</c:v>
                      </c:pt>
                      <c:pt idx="3">
                        <c:v>217</c:v>
                      </c:pt>
                      <c:pt idx="4">
                        <c:v>217</c:v>
                      </c:pt>
                      <c:pt idx="5">
                        <c:v>220</c:v>
                      </c:pt>
                      <c:pt idx="6">
                        <c:v>220</c:v>
                      </c:pt>
                      <c:pt idx="7">
                        <c:v>220</c:v>
                      </c:pt>
                      <c:pt idx="8">
                        <c:v>220</c:v>
                      </c:pt>
                      <c:pt idx="9">
                        <c:v>220</c:v>
                      </c:pt>
                      <c:pt idx="10">
                        <c:v>220</c:v>
                      </c:pt>
                      <c:pt idx="11">
                        <c:v>220</c:v>
                      </c:pt>
                      <c:pt idx="12">
                        <c:v>220</c:v>
                      </c:pt>
                      <c:pt idx="13">
                        <c:v>220</c:v>
                      </c:pt>
                      <c:pt idx="14">
                        <c:v>225</c:v>
                      </c:pt>
                      <c:pt idx="15">
                        <c:v>225</c:v>
                      </c:pt>
                      <c:pt idx="16">
                        <c:v>230</c:v>
                      </c:pt>
                      <c:pt idx="17">
                        <c:v>230</c:v>
                      </c:pt>
                      <c:pt idx="18">
                        <c:v>230</c:v>
                      </c:pt>
                      <c:pt idx="19">
                        <c:v>235</c:v>
                      </c:pt>
                      <c:pt idx="20">
                        <c:v>235</c:v>
                      </c:pt>
                      <c:pt idx="21">
                        <c:v>240</c:v>
                      </c:pt>
                      <c:pt idx="22">
                        <c:v>240</c:v>
                      </c:pt>
                      <c:pt idx="23">
                        <c:v>240</c:v>
                      </c:pt>
                      <c:pt idx="24">
                        <c:v>240</c:v>
                      </c:pt>
                      <c:pt idx="25">
                        <c:v>240</c:v>
                      </c:pt>
                      <c:pt idx="26">
                        <c:v>245</c:v>
                      </c:pt>
                      <c:pt idx="27">
                        <c:v>245</c:v>
                      </c:pt>
                      <c:pt idx="28">
                        <c:v>250</c:v>
                      </c:pt>
                      <c:pt idx="29">
                        <c:v>250</c:v>
                      </c:pt>
                      <c:pt idx="30">
                        <c:v>250</c:v>
                      </c:pt>
                      <c:pt idx="31">
                        <c:v>255</c:v>
                      </c:pt>
                      <c:pt idx="32">
                        <c:v>255</c:v>
                      </c:pt>
                      <c:pt idx="33">
                        <c:v>260</c:v>
                      </c:pt>
                      <c:pt idx="34">
                        <c:v>260</c:v>
                      </c:pt>
                      <c:pt idx="35">
                        <c:v>260</c:v>
                      </c:pt>
                      <c:pt idx="36">
                        <c:v>260</c:v>
                      </c:pt>
                      <c:pt idx="37">
                        <c:v>260</c:v>
                      </c:pt>
                      <c:pt idx="38">
                        <c:v>260</c:v>
                      </c:pt>
                      <c:pt idx="39">
                        <c:v>260</c:v>
                      </c:pt>
                      <c:pt idx="40">
                        <c:v>260</c:v>
                      </c:pt>
                      <c:pt idx="41">
                        <c:v>265</c:v>
                      </c:pt>
                      <c:pt idx="42">
                        <c:v>265</c:v>
                      </c:pt>
                      <c:pt idx="43">
                        <c:v>270</c:v>
                      </c:pt>
                      <c:pt idx="44">
                        <c:v>270</c:v>
                      </c:pt>
                      <c:pt idx="45">
                        <c:v>275</c:v>
                      </c:pt>
                      <c:pt idx="46">
                        <c:v>280</c:v>
                      </c:pt>
                      <c:pt idx="47">
                        <c:v>280</c:v>
                      </c:pt>
                      <c:pt idx="48">
                        <c:v>280</c:v>
                      </c:pt>
                      <c:pt idx="49">
                        <c:v>280</c:v>
                      </c:pt>
                      <c:pt idx="50">
                        <c:v>280</c:v>
                      </c:pt>
                      <c:pt idx="51">
                        <c:v>280</c:v>
                      </c:pt>
                      <c:pt idx="52">
                        <c:v>280</c:v>
                      </c:pt>
                      <c:pt idx="53">
                        <c:v>280</c:v>
                      </c:pt>
                      <c:pt idx="54">
                        <c:v>280</c:v>
                      </c:pt>
                      <c:pt idx="55">
                        <c:v>285</c:v>
                      </c:pt>
                      <c:pt idx="56">
                        <c:v>285</c:v>
                      </c:pt>
                      <c:pt idx="57">
                        <c:v>290</c:v>
                      </c:pt>
                      <c:pt idx="58">
                        <c:v>290</c:v>
                      </c:pt>
                      <c:pt idx="59">
                        <c:v>290</c:v>
                      </c:pt>
                      <c:pt idx="60">
                        <c:v>290</c:v>
                      </c:pt>
                      <c:pt idx="61">
                        <c:v>295</c:v>
                      </c:pt>
                      <c:pt idx="62">
                        <c:v>295</c:v>
                      </c:pt>
                      <c:pt idx="63">
                        <c:v>295</c:v>
                      </c:pt>
                      <c:pt idx="64">
                        <c:v>295</c:v>
                      </c:pt>
                      <c:pt idx="65">
                        <c:v>295</c:v>
                      </c:pt>
                      <c:pt idx="66">
                        <c:v>297</c:v>
                      </c:pt>
                      <c:pt idx="67">
                        <c:v>297</c:v>
                      </c:pt>
                      <c:pt idx="68">
                        <c:v>299</c:v>
                      </c:pt>
                      <c:pt idx="69">
                        <c:v>299</c:v>
                      </c:pt>
                      <c:pt idx="70">
                        <c:v>300</c:v>
                      </c:pt>
                      <c:pt idx="71">
                        <c:v>300</c:v>
                      </c:pt>
                      <c:pt idx="72">
                        <c:v>300</c:v>
                      </c:pt>
                      <c:pt idx="73">
                        <c:v>300</c:v>
                      </c:pt>
                      <c:pt idx="74">
                        <c:v>300</c:v>
                      </c:pt>
                      <c:pt idx="75">
                        <c:v>301</c:v>
                      </c:pt>
                      <c:pt idx="76">
                        <c:v>301</c:v>
                      </c:pt>
                      <c:pt idx="77">
                        <c:v>302</c:v>
                      </c:pt>
                      <c:pt idx="78">
                        <c:v>302</c:v>
                      </c:pt>
                      <c:pt idx="79">
                        <c:v>302</c:v>
                      </c:pt>
                      <c:pt idx="80">
                        <c:v>302.5</c:v>
                      </c:pt>
                      <c:pt idx="81">
                        <c:v>302.5</c:v>
                      </c:pt>
                      <c:pt idx="82">
                        <c:v>302.5</c:v>
                      </c:pt>
                      <c:pt idx="83">
                        <c:v>303</c:v>
                      </c:pt>
                      <c:pt idx="84">
                        <c:v>303</c:v>
                      </c:pt>
                      <c:pt idx="85">
                        <c:v>303</c:v>
                      </c:pt>
                      <c:pt idx="86">
                        <c:v>303.39999999999998</c:v>
                      </c:pt>
                      <c:pt idx="87">
                        <c:v>303.39999999999998</c:v>
                      </c:pt>
                      <c:pt idx="88">
                        <c:v>303.39999999999998</c:v>
                      </c:pt>
                      <c:pt idx="89">
                        <c:v>303.60000000000002</c:v>
                      </c:pt>
                      <c:pt idx="90">
                        <c:v>303.60000000000002</c:v>
                      </c:pt>
                      <c:pt idx="91">
                        <c:v>303.8</c:v>
                      </c:pt>
                      <c:pt idx="92">
                        <c:v>303.8</c:v>
                      </c:pt>
                      <c:pt idx="93">
                        <c:v>303.89999999999998</c:v>
                      </c:pt>
                      <c:pt idx="94">
                        <c:v>304</c:v>
                      </c:pt>
                      <c:pt idx="95">
                        <c:v>304</c:v>
                      </c:pt>
                      <c:pt idx="96">
                        <c:v>304.10000000000002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'Err. rel.'!$P$47:$P$143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-4.7396060439451056E-2</c:v>
                      </c:pt>
                      <c:pt idx="1">
                        <c:v>-4.5501080650668858E-2</c:v>
                      </c:pt>
                      <c:pt idx="2">
                        <c:v>-4.1710905505839141E-2</c:v>
                      </c:pt>
                      <c:pt idx="3">
                        <c:v>-4.7396060439451056E-2</c:v>
                      </c:pt>
                      <c:pt idx="4">
                        <c:v>-3.9815710141617368E-2</c:v>
                      </c:pt>
                      <c:pt idx="5">
                        <c:v>-4.0042044146338149E-2</c:v>
                      </c:pt>
                      <c:pt idx="6">
                        <c:v>-4.1709766758979687E-2</c:v>
                      </c:pt>
                      <c:pt idx="7">
                        <c:v>-3.8374265883601252E-2</c:v>
                      </c:pt>
                      <c:pt idx="8">
                        <c:v>-4.1709766758979687E-2</c:v>
                      </c:pt>
                      <c:pt idx="9">
                        <c:v>-4.6712600724036463E-2</c:v>
                      </c:pt>
                      <c:pt idx="10">
                        <c:v>-4.0042044146338149E-2</c:v>
                      </c:pt>
                      <c:pt idx="11">
                        <c:v>-3.8374265883601252E-2</c:v>
                      </c:pt>
                      <c:pt idx="12">
                        <c:v>-4.5045045045043787E-2</c:v>
                      </c:pt>
                      <c:pt idx="13">
                        <c:v>-4.8380100764055502E-2</c:v>
                      </c:pt>
                      <c:pt idx="14">
                        <c:v>-3.3997878532375833E-2</c:v>
                      </c:pt>
                      <c:pt idx="15">
                        <c:v>-3.67167101827666E-2</c:v>
                      </c:pt>
                      <c:pt idx="16">
                        <c:v>-3.6944158344907579E-2</c:v>
                      </c:pt>
                      <c:pt idx="17">
                        <c:v>-3.2467532467533866E-2</c:v>
                      </c:pt>
                      <c:pt idx="18">
                        <c:v>-3.6944158344907579E-2</c:v>
                      </c:pt>
                      <c:pt idx="19">
                        <c:v>-2.8837745818529877E-2</c:v>
                      </c:pt>
                      <c:pt idx="20">
                        <c:v>-2.6977748009219083E-2</c:v>
                      </c:pt>
                      <c:pt idx="21">
                        <c:v>-2.1048528551938606E-2</c:v>
                      </c:pt>
                      <c:pt idx="22">
                        <c:v>-2.494543186777954E-2</c:v>
                      </c:pt>
                      <c:pt idx="23">
                        <c:v>-2.8062735804926252E-2</c:v>
                      </c:pt>
                      <c:pt idx="24">
                        <c:v>-2.8842031414427365E-2</c:v>
                      </c:pt>
                      <c:pt idx="25">
                        <c:v>-2.4166075507295229E-2</c:v>
                      </c:pt>
                      <c:pt idx="26">
                        <c:v>-2.2385062579418052E-2</c:v>
                      </c:pt>
                      <c:pt idx="27">
                        <c:v>-2.0410313133709442E-2</c:v>
                      </c:pt>
                      <c:pt idx="28">
                        <c:v>-1.624340461760233E-2</c:v>
                      </c:pt>
                      <c:pt idx="29">
                        <c:v>-1.1762992505295783E-2</c:v>
                      </c:pt>
                      <c:pt idx="30">
                        <c:v>-1.5123339233302292E-2</c:v>
                      </c:pt>
                      <c:pt idx="31">
                        <c:v>-1.0553785930849147E-2</c:v>
                      </c:pt>
                      <c:pt idx="32">
                        <c:v>-6.7163033466394011E-3</c:v>
                      </c:pt>
                      <c:pt idx="33">
                        <c:v>-5.3742770563829246E-3</c:v>
                      </c:pt>
                      <c:pt idx="34">
                        <c:v>-5.7876590572742189E-3</c:v>
                      </c:pt>
                      <c:pt idx="35">
                        <c:v>-6.6144128055098056E-3</c:v>
                      </c:pt>
                      <c:pt idx="36">
                        <c:v>-4.1341105461063683E-3</c:v>
                      </c:pt>
                      <c:pt idx="37">
                        <c:v>-2.0670980011114155E-3</c:v>
                      </c:pt>
                      <c:pt idx="38">
                        <c:v>-3.7207148733570156E-3</c:v>
                      </c:pt>
                      <c:pt idx="39">
                        <c:v>-3.3073157825142217E-3</c:v>
                      </c:pt>
                      <c:pt idx="40">
                        <c:v>-4.9608916375861118E-3</c:v>
                      </c:pt>
                      <c:pt idx="41">
                        <c:v>-2.1497825136672062E-3</c:v>
                      </c:pt>
                      <c:pt idx="42">
                        <c:v>-1.0749028108778924E-3</c:v>
                      </c:pt>
                      <c:pt idx="43">
                        <c:v>9.3652835182724318E-4</c:v>
                      </c:pt>
                      <c:pt idx="44">
                        <c:v>1.8730742455397103E-3</c:v>
                      </c:pt>
                      <c:pt idx="45">
                        <c:v>3.0064419852431951E-3</c:v>
                      </c:pt>
                      <c:pt idx="46">
                        <c:v>2.8841855300387434E-3</c:v>
                      </c:pt>
                      <c:pt idx="47">
                        <c:v>6.4896514095654665E-3</c:v>
                      </c:pt>
                      <c:pt idx="48">
                        <c:v>3.3648992933718457E-3</c:v>
                      </c:pt>
                      <c:pt idx="49">
                        <c:v>3.8456176782869652E-3</c:v>
                      </c:pt>
                      <c:pt idx="50">
                        <c:v>4.3263406848934481E-3</c:v>
                      </c:pt>
                      <c:pt idx="51">
                        <c:v>5.5281684216426904E-3</c:v>
                      </c:pt>
                      <c:pt idx="52">
                        <c:v>4.5667039213544477E-3</c:v>
                      </c:pt>
                      <c:pt idx="53">
                        <c:v>5.768537435399494E-3</c:v>
                      </c:pt>
                      <c:pt idx="54">
                        <c:v>2.6438303814419538E-3</c:v>
                      </c:pt>
                      <c:pt idx="55">
                        <c:v>1.0823797072910637E-2</c:v>
                      </c:pt>
                      <c:pt idx="56">
                        <c:v>8.9135449805087721E-3</c:v>
                      </c:pt>
                      <c:pt idx="57">
                        <c:v>1.5609690044208605E-2</c:v>
                      </c:pt>
                      <c:pt idx="58">
                        <c:v>1.2788300961379593E-2</c:v>
                      </c:pt>
                      <c:pt idx="59">
                        <c:v>1.5985887282564577E-2</c:v>
                      </c:pt>
                      <c:pt idx="60">
                        <c:v>1.6173986963019967E-2</c:v>
                      </c:pt>
                      <c:pt idx="61">
                        <c:v>3.6279131975799135E-2</c:v>
                      </c:pt>
                      <c:pt idx="62">
                        <c:v>3.3436037695800065E-2</c:v>
                      </c:pt>
                      <c:pt idx="63">
                        <c:v>3.4439464282433246E-2</c:v>
                      </c:pt>
                      <c:pt idx="64">
                        <c:v>3.5442910999850641E-2</c:v>
                      </c:pt>
                      <c:pt idx="65">
                        <c:v>3.494118512475048E-2</c:v>
                      </c:pt>
                      <c:pt idx="66">
                        <c:v>4.9161461883117631E-2</c:v>
                      </c:pt>
                      <c:pt idx="67">
                        <c:v>4.4530561691587874E-2</c:v>
                      </c:pt>
                      <c:pt idx="68">
                        <c:v>6.1739687185589975E-2</c:v>
                      </c:pt>
                      <c:pt idx="69">
                        <c:v>5.350332452281964E-2</c:v>
                      </c:pt>
                      <c:pt idx="70">
                        <c:v>6.0937816608455979E-2</c:v>
                      </c:pt>
                      <c:pt idx="71">
                        <c:v>5.2291749226044237E-2</c:v>
                      </c:pt>
                      <c:pt idx="72">
                        <c:v>5.3484221409778258E-2</c:v>
                      </c:pt>
                      <c:pt idx="73">
                        <c:v>5.3633282431369562E-2</c:v>
                      </c:pt>
                      <c:pt idx="74">
                        <c:v>5.55711161302243E-2</c:v>
                      </c:pt>
                      <c:pt idx="75">
                        <c:v>5.2133391582938123E-2</c:v>
                      </c:pt>
                      <c:pt idx="76">
                        <c:v>4.6742785083666048E-2</c:v>
                      </c:pt>
                      <c:pt idx="77">
                        <c:v>3.88586101712722E-2</c:v>
                      </c:pt>
                      <c:pt idx="78">
                        <c:v>3.344791021726698E-2</c:v>
                      </c:pt>
                      <c:pt idx="79">
                        <c:v>3.4159810982375464E-2</c:v>
                      </c:pt>
                      <c:pt idx="80">
                        <c:v>3.4056398521781557E-2</c:v>
                      </c:pt>
                      <c:pt idx="81">
                        <c:v>2.7721841574600985E-2</c:v>
                      </c:pt>
                      <c:pt idx="82">
                        <c:v>3.4619509078475517E-2</c:v>
                      </c:pt>
                      <c:pt idx="83">
                        <c:v>2.8800641127312669E-2</c:v>
                      </c:pt>
                      <c:pt idx="84">
                        <c:v>2.0590072524355772E-2</c:v>
                      </c:pt>
                      <c:pt idx="85">
                        <c:v>2.2259909485640602E-2</c:v>
                      </c:pt>
                      <c:pt idx="86">
                        <c:v>2.1782287415911837E-2</c:v>
                      </c:pt>
                      <c:pt idx="87">
                        <c:v>1.7921443420631757E-2</c:v>
                      </c:pt>
                      <c:pt idx="88">
                        <c:v>1.6266887234637786E-2</c:v>
                      </c:pt>
                      <c:pt idx="89">
                        <c:v>2.1271223191396276E-2</c:v>
                      </c:pt>
                      <c:pt idx="90">
                        <c:v>1.7977022346401365E-2</c:v>
                      </c:pt>
                      <c:pt idx="91">
                        <c:v>2.1174024526349918E-2</c:v>
                      </c:pt>
                      <c:pt idx="92">
                        <c:v>1.9124533497990422E-2</c:v>
                      </c:pt>
                      <c:pt idx="93">
                        <c:v>1.8535453825595388E-2</c:v>
                      </c:pt>
                      <c:pt idx="94">
                        <c:v>2.0532959479368E-2</c:v>
                      </c:pt>
                      <c:pt idx="95">
                        <c:v>1.8900892693250321E-2</c:v>
                      </c:pt>
                      <c:pt idx="96">
                        <c:v>2.0485714944663856E-2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E23-4CF4-A0C9-7093E696A3E3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1"/>
          <c:tx>
            <c:v>Corr. Eq.</c:v>
          </c:tx>
          <c:spPr>
            <a:ln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'Err. rel.'!$K$47:$K$143</c:f>
              <c:numCache>
                <c:formatCode>General</c:formatCode>
                <c:ptCount val="97"/>
                <c:pt idx="0">
                  <c:v>217</c:v>
                </c:pt>
                <c:pt idx="1">
                  <c:v>217</c:v>
                </c:pt>
                <c:pt idx="2">
                  <c:v>217</c:v>
                </c:pt>
                <c:pt idx="3">
                  <c:v>217</c:v>
                </c:pt>
                <c:pt idx="4">
                  <c:v>217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225</c:v>
                </c:pt>
                <c:pt idx="15">
                  <c:v>225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235</c:v>
                </c:pt>
                <c:pt idx="20">
                  <c:v>235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245</c:v>
                </c:pt>
                <c:pt idx="27">
                  <c:v>245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255</c:v>
                </c:pt>
                <c:pt idx="32">
                  <c:v>255</c:v>
                </c:pt>
                <c:pt idx="33">
                  <c:v>260</c:v>
                </c:pt>
                <c:pt idx="34">
                  <c:v>260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265</c:v>
                </c:pt>
                <c:pt idx="42">
                  <c:v>265</c:v>
                </c:pt>
                <c:pt idx="43">
                  <c:v>270</c:v>
                </c:pt>
                <c:pt idx="44">
                  <c:v>270</c:v>
                </c:pt>
                <c:pt idx="45">
                  <c:v>275</c:v>
                </c:pt>
                <c:pt idx="46">
                  <c:v>280</c:v>
                </c:pt>
                <c:pt idx="47">
                  <c:v>280</c:v>
                </c:pt>
                <c:pt idx="48">
                  <c:v>280</c:v>
                </c:pt>
                <c:pt idx="49">
                  <c:v>280</c:v>
                </c:pt>
                <c:pt idx="50">
                  <c:v>280</c:v>
                </c:pt>
                <c:pt idx="51">
                  <c:v>280</c:v>
                </c:pt>
                <c:pt idx="52">
                  <c:v>280</c:v>
                </c:pt>
                <c:pt idx="53">
                  <c:v>280</c:v>
                </c:pt>
                <c:pt idx="54">
                  <c:v>280</c:v>
                </c:pt>
                <c:pt idx="55">
                  <c:v>285</c:v>
                </c:pt>
                <c:pt idx="56">
                  <c:v>285</c:v>
                </c:pt>
                <c:pt idx="57">
                  <c:v>290</c:v>
                </c:pt>
                <c:pt idx="58">
                  <c:v>290</c:v>
                </c:pt>
                <c:pt idx="59">
                  <c:v>290</c:v>
                </c:pt>
                <c:pt idx="60">
                  <c:v>290</c:v>
                </c:pt>
                <c:pt idx="61">
                  <c:v>295</c:v>
                </c:pt>
                <c:pt idx="62">
                  <c:v>295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297</c:v>
                </c:pt>
                <c:pt idx="67">
                  <c:v>297</c:v>
                </c:pt>
                <c:pt idx="68">
                  <c:v>299</c:v>
                </c:pt>
                <c:pt idx="69">
                  <c:v>299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301</c:v>
                </c:pt>
                <c:pt idx="76">
                  <c:v>301</c:v>
                </c:pt>
                <c:pt idx="77">
                  <c:v>302</c:v>
                </c:pt>
                <c:pt idx="78">
                  <c:v>302</c:v>
                </c:pt>
                <c:pt idx="79">
                  <c:v>302</c:v>
                </c:pt>
                <c:pt idx="80">
                  <c:v>302.5</c:v>
                </c:pt>
                <c:pt idx="81">
                  <c:v>302.5</c:v>
                </c:pt>
                <c:pt idx="82">
                  <c:v>302.5</c:v>
                </c:pt>
                <c:pt idx="83">
                  <c:v>303</c:v>
                </c:pt>
                <c:pt idx="84">
                  <c:v>303</c:v>
                </c:pt>
                <c:pt idx="85">
                  <c:v>303</c:v>
                </c:pt>
                <c:pt idx="86">
                  <c:v>303.39999999999998</c:v>
                </c:pt>
                <c:pt idx="87">
                  <c:v>303.39999999999998</c:v>
                </c:pt>
                <c:pt idx="88">
                  <c:v>303.39999999999998</c:v>
                </c:pt>
                <c:pt idx="89">
                  <c:v>303.60000000000002</c:v>
                </c:pt>
                <c:pt idx="90">
                  <c:v>303.60000000000002</c:v>
                </c:pt>
                <c:pt idx="91">
                  <c:v>303.8</c:v>
                </c:pt>
                <c:pt idx="92">
                  <c:v>303.8</c:v>
                </c:pt>
                <c:pt idx="93">
                  <c:v>303.89999999999998</c:v>
                </c:pt>
                <c:pt idx="94">
                  <c:v>304</c:v>
                </c:pt>
                <c:pt idx="95">
                  <c:v>304</c:v>
                </c:pt>
                <c:pt idx="96">
                  <c:v>304.10000000000002</c:v>
                </c:pt>
              </c:numCache>
            </c:numRef>
          </c:xVal>
          <c:yVal>
            <c:numRef>
              <c:f>'Err. rel.'!$Q$47:$Q$143</c:f>
              <c:numCache>
                <c:formatCode>General</c:formatCode>
                <c:ptCount val="97"/>
                <c:pt idx="0">
                  <c:v>1.2844897738393301E-3</c:v>
                </c:pt>
                <c:pt idx="1">
                  <c:v>1.2844897738393301E-3</c:v>
                </c:pt>
                <c:pt idx="2">
                  <c:v>1.2844897738393301E-3</c:v>
                </c:pt>
                <c:pt idx="3">
                  <c:v>1.2844897738393301E-3</c:v>
                </c:pt>
                <c:pt idx="4">
                  <c:v>1.2844897738393301E-3</c:v>
                </c:pt>
                <c:pt idx="5">
                  <c:v>3.5101019507877335E-4</c:v>
                </c:pt>
                <c:pt idx="6">
                  <c:v>3.5101019507877335E-4</c:v>
                </c:pt>
                <c:pt idx="7">
                  <c:v>3.5101019507877335E-4</c:v>
                </c:pt>
                <c:pt idx="8">
                  <c:v>3.5101019507877335E-4</c:v>
                </c:pt>
                <c:pt idx="9">
                  <c:v>3.5101019507877335E-4</c:v>
                </c:pt>
                <c:pt idx="10">
                  <c:v>3.5101019507877335E-4</c:v>
                </c:pt>
                <c:pt idx="11">
                  <c:v>3.5101019507877335E-4</c:v>
                </c:pt>
                <c:pt idx="12">
                  <c:v>3.5101019507877335E-4</c:v>
                </c:pt>
                <c:pt idx="13">
                  <c:v>3.5101019507877335E-4</c:v>
                </c:pt>
                <c:pt idx="14">
                  <c:v>1.3576587287511847E-4</c:v>
                </c:pt>
                <c:pt idx="15">
                  <c:v>1.3576587287511847E-4</c:v>
                </c:pt>
                <c:pt idx="16">
                  <c:v>-1.4132243636273043E-3</c:v>
                </c:pt>
                <c:pt idx="17">
                  <c:v>-1.4132243636273043E-3</c:v>
                </c:pt>
                <c:pt idx="18">
                  <c:v>-1.4132243636273043E-3</c:v>
                </c:pt>
                <c:pt idx="19">
                  <c:v>-1.7891683938961245E-3</c:v>
                </c:pt>
                <c:pt idx="20">
                  <c:v>-1.7891683938961245E-3</c:v>
                </c:pt>
                <c:pt idx="21">
                  <c:v>-1.8523922343489951E-3</c:v>
                </c:pt>
                <c:pt idx="22">
                  <c:v>-1.8523922343489951E-3</c:v>
                </c:pt>
                <c:pt idx="23">
                  <c:v>-1.8523922343489951E-3</c:v>
                </c:pt>
                <c:pt idx="24">
                  <c:v>-1.8523922343489951E-3</c:v>
                </c:pt>
                <c:pt idx="25">
                  <c:v>-1.8523922343489951E-3</c:v>
                </c:pt>
                <c:pt idx="26">
                  <c:v>-5.5586343896059387E-4</c:v>
                </c:pt>
                <c:pt idx="27">
                  <c:v>-5.5586343896059387E-4</c:v>
                </c:pt>
                <c:pt idx="28">
                  <c:v>1.172810034888687E-3</c:v>
                </c:pt>
                <c:pt idx="29">
                  <c:v>1.172810034888687E-3</c:v>
                </c:pt>
                <c:pt idx="30">
                  <c:v>1.172810034888687E-3</c:v>
                </c:pt>
                <c:pt idx="31">
                  <c:v>2.6275674320625571E-3</c:v>
                </c:pt>
                <c:pt idx="32">
                  <c:v>2.6275674320625571E-3</c:v>
                </c:pt>
                <c:pt idx="33">
                  <c:v>3.8965053853813577E-3</c:v>
                </c:pt>
                <c:pt idx="34">
                  <c:v>3.8965053853813577E-3</c:v>
                </c:pt>
                <c:pt idx="35">
                  <c:v>3.8965053853813577E-3</c:v>
                </c:pt>
                <c:pt idx="36">
                  <c:v>3.8965053853813577E-3</c:v>
                </c:pt>
                <c:pt idx="37">
                  <c:v>3.8965053853813577E-3</c:v>
                </c:pt>
                <c:pt idx="38">
                  <c:v>3.8965053853813577E-3</c:v>
                </c:pt>
                <c:pt idx="39">
                  <c:v>3.8965053853813577E-3</c:v>
                </c:pt>
                <c:pt idx="40">
                  <c:v>3.8965053853813577E-3</c:v>
                </c:pt>
                <c:pt idx="41">
                  <c:v>4.2684521502136703E-3</c:v>
                </c:pt>
                <c:pt idx="42">
                  <c:v>4.2684521502136703E-3</c:v>
                </c:pt>
                <c:pt idx="43">
                  <c:v>3.9214861296914807E-3</c:v>
                </c:pt>
                <c:pt idx="44">
                  <c:v>3.9214861296914807E-3</c:v>
                </c:pt>
                <c:pt idx="45">
                  <c:v>2.7086048426533792E-3</c:v>
                </c:pt>
                <c:pt idx="46">
                  <c:v>1.0019231596115213E-3</c:v>
                </c:pt>
                <c:pt idx="47">
                  <c:v>1.0019231596115213E-3</c:v>
                </c:pt>
                <c:pt idx="48">
                  <c:v>1.0019231596115213E-3</c:v>
                </c:pt>
                <c:pt idx="49">
                  <c:v>1.0019231596115213E-3</c:v>
                </c:pt>
                <c:pt idx="50">
                  <c:v>1.0019231596115213E-3</c:v>
                </c:pt>
                <c:pt idx="51">
                  <c:v>1.0019231596115213E-3</c:v>
                </c:pt>
                <c:pt idx="52">
                  <c:v>1.0019231596115213E-3</c:v>
                </c:pt>
                <c:pt idx="53">
                  <c:v>1.0019231596115213E-3</c:v>
                </c:pt>
                <c:pt idx="54">
                  <c:v>1.0019231596115213E-3</c:v>
                </c:pt>
                <c:pt idx="55">
                  <c:v>8.5732245334292783E-5</c:v>
                </c:pt>
                <c:pt idx="56">
                  <c:v>8.5732245334292783E-5</c:v>
                </c:pt>
                <c:pt idx="57">
                  <c:v>3.6516290028914353E-3</c:v>
                </c:pt>
                <c:pt idx="58">
                  <c:v>3.6516290028914353E-3</c:v>
                </c:pt>
                <c:pt idx="59">
                  <c:v>3.6516290028914353E-3</c:v>
                </c:pt>
                <c:pt idx="60">
                  <c:v>3.6516290028914353E-3</c:v>
                </c:pt>
                <c:pt idx="61">
                  <c:v>2.1068200693364195E-2</c:v>
                </c:pt>
                <c:pt idx="62">
                  <c:v>2.1068200693364195E-2</c:v>
                </c:pt>
                <c:pt idx="63">
                  <c:v>2.1068200693364195E-2</c:v>
                </c:pt>
                <c:pt idx="64">
                  <c:v>2.1068200693364195E-2</c:v>
                </c:pt>
                <c:pt idx="65">
                  <c:v>2.1068200693364195E-2</c:v>
                </c:pt>
                <c:pt idx="66">
                  <c:v>3.2541572110885951E-2</c:v>
                </c:pt>
                <c:pt idx="67">
                  <c:v>3.2541572110885951E-2</c:v>
                </c:pt>
                <c:pt idx="68">
                  <c:v>4.182372669189531E-2</c:v>
                </c:pt>
                <c:pt idx="69">
                  <c:v>4.182372669189531E-2</c:v>
                </c:pt>
                <c:pt idx="70">
                  <c:v>4.1475342425341434E-2</c:v>
                </c:pt>
                <c:pt idx="71">
                  <c:v>4.1475342425341434E-2</c:v>
                </c:pt>
                <c:pt idx="72">
                  <c:v>4.1475342425341434E-2</c:v>
                </c:pt>
                <c:pt idx="73">
                  <c:v>4.1475342425341434E-2</c:v>
                </c:pt>
                <c:pt idx="74">
                  <c:v>4.1475342425341434E-2</c:v>
                </c:pt>
                <c:pt idx="75">
                  <c:v>3.4760192935733382E-2</c:v>
                </c:pt>
                <c:pt idx="76">
                  <c:v>3.4760192935733382E-2</c:v>
                </c:pt>
                <c:pt idx="77">
                  <c:v>2.1444724693463129E-2</c:v>
                </c:pt>
                <c:pt idx="78">
                  <c:v>2.1444724693463129E-2</c:v>
                </c:pt>
                <c:pt idx="79">
                  <c:v>2.1444724693463129E-2</c:v>
                </c:pt>
                <c:pt idx="80">
                  <c:v>1.3778212512525624E-2</c:v>
                </c:pt>
                <c:pt idx="81">
                  <c:v>1.3778212512525624E-2</c:v>
                </c:pt>
                <c:pt idx="82">
                  <c:v>1.3778212512525624E-2</c:v>
                </c:pt>
                <c:pt idx="83">
                  <c:v>7.2587441500232318E-3</c:v>
                </c:pt>
                <c:pt idx="84">
                  <c:v>7.2587441500232318E-3</c:v>
                </c:pt>
                <c:pt idx="85">
                  <c:v>7.2587441500232318E-3</c:v>
                </c:pt>
                <c:pt idx="86">
                  <c:v>3.5133374381571885E-3</c:v>
                </c:pt>
                <c:pt idx="87">
                  <c:v>3.5133374381571885E-3</c:v>
                </c:pt>
                <c:pt idx="88">
                  <c:v>3.5133374381571885E-3</c:v>
                </c:pt>
                <c:pt idx="89">
                  <c:v>2.2607012638525665E-3</c:v>
                </c:pt>
                <c:pt idx="90">
                  <c:v>2.2607012638525665E-3</c:v>
                </c:pt>
                <c:pt idx="91">
                  <c:v>1.4303166674587368E-3</c:v>
                </c:pt>
                <c:pt idx="92">
                  <c:v>1.4303166674587368E-3</c:v>
                </c:pt>
                <c:pt idx="93">
                  <c:v>9.7711024025696927E-4</c:v>
                </c:pt>
                <c:pt idx="94">
                  <c:v>6.9204099589723089E-4</c:v>
                </c:pt>
                <c:pt idx="95">
                  <c:v>6.9204099589723089E-4</c:v>
                </c:pt>
                <c:pt idx="96">
                  <c:v>2.1382209164462037E-4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23-4CF4-A0C9-7093E696A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</c:scatterChart>
      <c:valAx>
        <c:axId val="68415872"/>
        <c:scaling>
          <c:orientation val="minMax"/>
          <c:max val="306"/>
          <c:min val="216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0.1"/>
        <c:crossBetween val="midCat"/>
        <c:majorUnit val="10"/>
      </c:valAx>
      <c:valAx>
        <c:axId val="68417792"/>
        <c:scaling>
          <c:orientation val="minMax"/>
          <c:max val="5.000000000000001E-2"/>
          <c:min val="-1.0000000000000002E-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1.2186090031797384E-2"/>
              <c:y val="0.409376954641233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.0000000000000002E-2"/>
      </c:valAx>
      <c:valAx>
        <c:axId val="986252751"/>
        <c:scaling>
          <c:orientation val="minMax"/>
          <c:max val="5.000000000000001E-2"/>
          <c:min val="-1.0000000000000002E-2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1.0000000000000002E-2"/>
      </c:valAx>
      <c:valAx>
        <c:axId val="986251919"/>
        <c:scaling>
          <c:orientation val="minMax"/>
          <c:max val="306"/>
          <c:min val="216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96631151157039"/>
          <c:y val="7.5930708661417309E-2"/>
          <c:w val="0.81268754818211386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v> model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rel.'!$K$18:$K$41</c:f>
              <c:numCache>
                <c:formatCode>General</c:formatCode>
                <c:ptCount val="24"/>
                <c:pt idx="0">
                  <c:v>216.64</c:v>
                </c:pt>
                <c:pt idx="1">
                  <c:v>216.97</c:v>
                </c:pt>
                <c:pt idx="2">
                  <c:v>216.99</c:v>
                </c:pt>
                <c:pt idx="3">
                  <c:v>217.1</c:v>
                </c:pt>
                <c:pt idx="4">
                  <c:v>217.29</c:v>
                </c:pt>
                <c:pt idx="5">
                  <c:v>217.31</c:v>
                </c:pt>
                <c:pt idx="6">
                  <c:v>217.52</c:v>
                </c:pt>
                <c:pt idx="7">
                  <c:v>217.66</c:v>
                </c:pt>
                <c:pt idx="8">
                  <c:v>218.81</c:v>
                </c:pt>
                <c:pt idx="9">
                  <c:v>218.95</c:v>
                </c:pt>
                <c:pt idx="10">
                  <c:v>219.98</c:v>
                </c:pt>
                <c:pt idx="11">
                  <c:v>219.99</c:v>
                </c:pt>
                <c:pt idx="12">
                  <c:v>221.94</c:v>
                </c:pt>
                <c:pt idx="13">
                  <c:v>222.03</c:v>
                </c:pt>
                <c:pt idx="14">
                  <c:v>226.25</c:v>
                </c:pt>
                <c:pt idx="15">
                  <c:v>235.25</c:v>
                </c:pt>
                <c:pt idx="16">
                  <c:v>242.65</c:v>
                </c:pt>
                <c:pt idx="17">
                  <c:v>242.66</c:v>
                </c:pt>
                <c:pt idx="18">
                  <c:v>252.25</c:v>
                </c:pt>
                <c:pt idx="19">
                  <c:v>259.08999999999997</c:v>
                </c:pt>
                <c:pt idx="20">
                  <c:v>259.2</c:v>
                </c:pt>
                <c:pt idx="21">
                  <c:v>261.62</c:v>
                </c:pt>
                <c:pt idx="22">
                  <c:v>265.67</c:v>
                </c:pt>
                <c:pt idx="23">
                  <c:v>266</c:v>
                </c:pt>
              </c:numCache>
            </c:numRef>
          </c:xVal>
          <c:yVal>
            <c:numRef>
              <c:f>'Err. rel.'!$P$18:$P$41</c:f>
              <c:numCache>
                <c:formatCode>General</c:formatCode>
                <c:ptCount val="24"/>
                <c:pt idx="0">
                  <c:v>-21.24245057338096</c:v>
                </c:pt>
                <c:pt idx="1">
                  <c:v>-13.704883550786484</c:v>
                </c:pt>
                <c:pt idx="2">
                  <c:v>-8.3938826418408006</c:v>
                </c:pt>
                <c:pt idx="3">
                  <c:v>-9.5258665539954634</c:v>
                </c:pt>
                <c:pt idx="4">
                  <c:v>-8.4982674003206853</c:v>
                </c:pt>
                <c:pt idx="5">
                  <c:v>-6.2234688058952212</c:v>
                </c:pt>
                <c:pt idx="6">
                  <c:v>-4.2849951842853091</c:v>
                </c:pt>
                <c:pt idx="7">
                  <c:v>-5.1878264536803123</c:v>
                </c:pt>
                <c:pt idx="8">
                  <c:v>-1.9829838803281521</c:v>
                </c:pt>
                <c:pt idx="9">
                  <c:v>-1.4701753490390304</c:v>
                </c:pt>
                <c:pt idx="10">
                  <c:v>-1.6930972217633748</c:v>
                </c:pt>
                <c:pt idx="11">
                  <c:v>-1.4062466052190874</c:v>
                </c:pt>
                <c:pt idx="12">
                  <c:v>-0.48476640032146906</c:v>
                </c:pt>
                <c:pt idx="13">
                  <c:v>-0.71203610978069942</c:v>
                </c:pt>
                <c:pt idx="14">
                  <c:v>-0.33785589720811326</c:v>
                </c:pt>
                <c:pt idx="15">
                  <c:v>0.16480450227278973</c:v>
                </c:pt>
                <c:pt idx="16">
                  <c:v>0.26135069495483121</c:v>
                </c:pt>
                <c:pt idx="17">
                  <c:v>0.3040116228937681</c:v>
                </c:pt>
                <c:pt idx="18">
                  <c:v>0.47012043882875476</c:v>
                </c:pt>
                <c:pt idx="19">
                  <c:v>0.23957343769494518</c:v>
                </c:pt>
                <c:pt idx="20">
                  <c:v>0.16821613163361174</c:v>
                </c:pt>
                <c:pt idx="21">
                  <c:v>0.19296901983749831</c:v>
                </c:pt>
                <c:pt idx="22">
                  <c:v>0.19215736515408713</c:v>
                </c:pt>
                <c:pt idx="23">
                  <c:v>0.10637967152877306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0D-4F60-B1EF-A7C71EE8C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1"/>
          <c:order val="1"/>
          <c:tx>
            <c:v> corr. eq. [1]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rel.'!$K$18:$K$41</c:f>
              <c:numCache>
                <c:formatCode>General</c:formatCode>
                <c:ptCount val="24"/>
                <c:pt idx="0">
                  <c:v>216.64</c:v>
                </c:pt>
                <c:pt idx="1">
                  <c:v>216.97</c:v>
                </c:pt>
                <c:pt idx="2">
                  <c:v>216.99</c:v>
                </c:pt>
                <c:pt idx="3">
                  <c:v>217.1</c:v>
                </c:pt>
                <c:pt idx="4">
                  <c:v>217.29</c:v>
                </c:pt>
                <c:pt idx="5">
                  <c:v>217.31</c:v>
                </c:pt>
                <c:pt idx="6">
                  <c:v>217.52</c:v>
                </c:pt>
                <c:pt idx="7">
                  <c:v>217.66</c:v>
                </c:pt>
                <c:pt idx="8">
                  <c:v>218.81</c:v>
                </c:pt>
                <c:pt idx="9">
                  <c:v>218.95</c:v>
                </c:pt>
                <c:pt idx="10">
                  <c:v>219.98</c:v>
                </c:pt>
                <c:pt idx="11">
                  <c:v>219.99</c:v>
                </c:pt>
                <c:pt idx="12">
                  <c:v>221.94</c:v>
                </c:pt>
                <c:pt idx="13">
                  <c:v>222.03</c:v>
                </c:pt>
                <c:pt idx="14">
                  <c:v>226.25</c:v>
                </c:pt>
                <c:pt idx="15">
                  <c:v>235.25</c:v>
                </c:pt>
                <c:pt idx="16">
                  <c:v>242.65</c:v>
                </c:pt>
                <c:pt idx="17">
                  <c:v>242.66</c:v>
                </c:pt>
                <c:pt idx="18">
                  <c:v>252.25</c:v>
                </c:pt>
                <c:pt idx="19">
                  <c:v>259.08999999999997</c:v>
                </c:pt>
                <c:pt idx="20">
                  <c:v>259.2</c:v>
                </c:pt>
                <c:pt idx="21">
                  <c:v>261.62</c:v>
                </c:pt>
                <c:pt idx="22">
                  <c:v>265.67</c:v>
                </c:pt>
                <c:pt idx="23">
                  <c:v>266</c:v>
                </c:pt>
              </c:numCache>
            </c:numRef>
          </c:xVal>
          <c:yVal>
            <c:numRef>
              <c:f>'Err. rel.'!$R$18:$R$41</c:f>
              <c:numCache>
                <c:formatCode>General</c:formatCode>
                <c:ptCount val="24"/>
                <c:pt idx="0">
                  <c:v>-20.352074147974129</c:v>
                </c:pt>
                <c:pt idx="1">
                  <c:v>-12.782358858675764</c:v>
                </c:pt>
                <c:pt idx="2">
                  <c:v>-7.4178407404241318</c:v>
                </c:pt>
                <c:pt idx="3">
                  <c:v>-8.5780410976613286</c:v>
                </c:pt>
                <c:pt idx="4">
                  <c:v>-7.5669036908515688</c:v>
                </c:pt>
                <c:pt idx="5">
                  <c:v>-5.2721229341612084</c:v>
                </c:pt>
                <c:pt idx="6">
                  <c:v>-3.3448408436022325</c:v>
                </c:pt>
                <c:pt idx="7">
                  <c:v>-4.2766080274333369</c:v>
                </c:pt>
                <c:pt idx="8">
                  <c:v>-1.2012113383025305</c:v>
                </c:pt>
                <c:pt idx="9">
                  <c:v>-0.702839956779574</c:v>
                </c:pt>
                <c:pt idx="10">
                  <c:v>-1.0570905942581759</c:v>
                </c:pt>
                <c:pt idx="11">
                  <c:v>-0.76956109593721178</c:v>
                </c:pt>
                <c:pt idx="12">
                  <c:v>-6.1413963246177518E-2</c:v>
                </c:pt>
                <c:pt idx="13">
                  <c:v>-0.29890328854255771</c:v>
                </c:pt>
                <c:pt idx="14">
                  <c:v>-0.2865815098538847</c:v>
                </c:pt>
                <c:pt idx="15">
                  <c:v>-0.20136677032699937</c:v>
                </c:pt>
                <c:pt idx="16">
                  <c:v>-0.20287234072218963</c:v>
                </c:pt>
                <c:pt idx="17">
                  <c:v>-0.16043340895327335</c:v>
                </c:pt>
                <c:pt idx="18">
                  <c:v>8.2611141771738103E-2</c:v>
                </c:pt>
                <c:pt idx="19">
                  <c:v>5.8216401552790441E-4</c:v>
                </c:pt>
                <c:pt idx="20">
                  <c:v>-6.7764694485189791E-2</c:v>
                </c:pt>
                <c:pt idx="21">
                  <c:v>2.2719854392242233E-2</c:v>
                </c:pt>
                <c:pt idx="22">
                  <c:v>0.14458964064047491</c:v>
                </c:pt>
                <c:pt idx="23">
                  <c:v>6.9469850256142426E-2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F8-4F8C-A24F-AD8B44A51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</c:scatterChart>
      <c:valAx>
        <c:axId val="68415872"/>
        <c:scaling>
          <c:orientation val="minMax"/>
          <c:max val="266.3"/>
          <c:min val="216.3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49220087469476831"/>
              <c:y val="0.941926350115326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22"/>
        <c:crossBetween val="midCat"/>
        <c:majorUnit val="5"/>
      </c:valAx>
      <c:valAx>
        <c:axId val="68417792"/>
        <c:scaling>
          <c:orientation val="minMax"/>
          <c:max val="2"/>
          <c:min val="-2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E</a:t>
                </a:r>
                <a:r>
                  <a:rPr lang="it-IT" sz="1080" baseline="-25000"/>
                  <a:t>r </a:t>
                </a:r>
                <a:r>
                  <a:rPr lang="it-IT" sz="1050" baseline="0"/>
                  <a:t>[%]</a:t>
                </a:r>
              </a:p>
            </c:rich>
          </c:tx>
          <c:layout>
            <c:manualLayout>
              <c:xMode val="edge"/>
              <c:yMode val="edge"/>
              <c:x val="5.917766221497354E-3"/>
              <c:y val="0.409376971817916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2"/>
      </c:valAx>
      <c:valAx>
        <c:axId val="986252751"/>
        <c:scaling>
          <c:orientation val="minMax"/>
          <c:max val="2"/>
          <c:min val="-22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2"/>
      </c:valAx>
      <c:valAx>
        <c:axId val="986251919"/>
        <c:scaling>
          <c:orientation val="minMax"/>
          <c:max val="266.3"/>
          <c:min val="216.3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76360842897748993"/>
          <c:y val="0.73287679949097273"/>
          <c:w val="0.15601779000337965"/>
          <c:h val="0.1074042259869031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Exp data</c:v>
                </c:tx>
                <c:spPr>
                  <a:ln w="19050">
                    <a:noFill/>
                  </a:ln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'Err. rel.'!$K$4:$K$14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80</c:v>
                      </c:pt>
                      <c:pt idx="1">
                        <c:v>90</c:v>
                      </c:pt>
                      <c:pt idx="2">
                        <c:v>100</c:v>
                      </c:pt>
                      <c:pt idx="3">
                        <c:v>110</c:v>
                      </c:pt>
                      <c:pt idx="4">
                        <c:v>120</c:v>
                      </c:pt>
                      <c:pt idx="5">
                        <c:v>130</c:v>
                      </c:pt>
                      <c:pt idx="6">
                        <c:v>139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'Err. rel.'!$P$4:$P$14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0.12962895819810141</c:v>
                      </c:pt>
                      <c:pt idx="1">
                        <c:v>0.1488810473464752</c:v>
                      </c:pt>
                      <c:pt idx="2">
                        <c:v>0.16043945647425897</c:v>
                      </c:pt>
                      <c:pt idx="3">
                        <c:v>0.16451930403197146</c:v>
                      </c:pt>
                      <c:pt idx="4">
                        <c:v>0.12510616032299895</c:v>
                      </c:pt>
                      <c:pt idx="5">
                        <c:v>8.1684501633161558E-2</c:v>
                      </c:pt>
                      <c:pt idx="6">
                        <c:v>1.6451200049810398E-2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D80-4E0F-83EA-8B1D13FBBF06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1"/>
          <c:tx>
            <c:v>Corr. Eq.</c:v>
          </c:tx>
          <c:spPr>
            <a:ln>
              <a:solidFill>
                <a:schemeClr val="tx1"/>
              </a:solidFill>
              <a:prstDash val="lgDash"/>
            </a:ln>
          </c:spPr>
          <c:marker>
            <c:symbol val="none"/>
          </c:marker>
          <c:xVal>
            <c:numRef>
              <c:f>'Err. rel.'!$K$18:$K$41</c:f>
              <c:numCache>
                <c:formatCode>General</c:formatCode>
                <c:ptCount val="24"/>
                <c:pt idx="0">
                  <c:v>216.64</c:v>
                </c:pt>
                <c:pt idx="1">
                  <c:v>216.97</c:v>
                </c:pt>
                <c:pt idx="2">
                  <c:v>216.99</c:v>
                </c:pt>
                <c:pt idx="3">
                  <c:v>217.1</c:v>
                </c:pt>
                <c:pt idx="4">
                  <c:v>217.29</c:v>
                </c:pt>
                <c:pt idx="5">
                  <c:v>217.31</c:v>
                </c:pt>
                <c:pt idx="6">
                  <c:v>217.52</c:v>
                </c:pt>
                <c:pt idx="7">
                  <c:v>217.66</c:v>
                </c:pt>
                <c:pt idx="8">
                  <c:v>218.81</c:v>
                </c:pt>
                <c:pt idx="9">
                  <c:v>218.95</c:v>
                </c:pt>
                <c:pt idx="10">
                  <c:v>219.98</c:v>
                </c:pt>
                <c:pt idx="11">
                  <c:v>219.99</c:v>
                </c:pt>
                <c:pt idx="12">
                  <c:v>221.94</c:v>
                </c:pt>
                <c:pt idx="13">
                  <c:v>222.03</c:v>
                </c:pt>
                <c:pt idx="14">
                  <c:v>226.25</c:v>
                </c:pt>
                <c:pt idx="15">
                  <c:v>235.25</c:v>
                </c:pt>
                <c:pt idx="16">
                  <c:v>242.65</c:v>
                </c:pt>
                <c:pt idx="17">
                  <c:v>242.66</c:v>
                </c:pt>
                <c:pt idx="18">
                  <c:v>252.25</c:v>
                </c:pt>
                <c:pt idx="19">
                  <c:v>259.08999999999997</c:v>
                </c:pt>
                <c:pt idx="20">
                  <c:v>259.2</c:v>
                </c:pt>
                <c:pt idx="21">
                  <c:v>261.62</c:v>
                </c:pt>
                <c:pt idx="22">
                  <c:v>265.67</c:v>
                </c:pt>
                <c:pt idx="23">
                  <c:v>266</c:v>
                </c:pt>
              </c:numCache>
            </c:numRef>
          </c:xVal>
          <c:yVal>
            <c:numRef>
              <c:f>'Err. rel.'!$Q$18:$Q$41</c:f>
              <c:numCache>
                <c:formatCode>General</c:formatCode>
                <c:ptCount val="24"/>
                <c:pt idx="0">
                  <c:v>-1.1178902851293619</c:v>
                </c:pt>
                <c:pt idx="1">
                  <c:v>-1.0577271754184407</c:v>
                </c:pt>
                <c:pt idx="2">
                  <c:v>-1.0542440457454727</c:v>
                </c:pt>
                <c:pt idx="3">
                  <c:v>-1.0367590759531284</c:v>
                </c:pt>
                <c:pt idx="4">
                  <c:v>-1.0076084721365508</c:v>
                </c:pt>
                <c:pt idx="5">
                  <c:v>-1.0042934574294298</c:v>
                </c:pt>
                <c:pt idx="6">
                  <c:v>-0.97268924792913813</c:v>
                </c:pt>
                <c:pt idx="7">
                  <c:v>-0.95192868479641979</c:v>
                </c:pt>
                <c:pt idx="8">
                  <c:v>-0.79127745655114601</c:v>
                </c:pt>
                <c:pt idx="9">
                  <c:v>-0.77276670543796344</c:v>
                </c:pt>
                <c:pt idx="10">
                  <c:v>-0.64280162300168886</c:v>
                </c:pt>
                <c:pt idx="11">
                  <c:v>-0.64162319174807958</c:v>
                </c:pt>
                <c:pt idx="12">
                  <c:v>-0.4236125943582969</c:v>
                </c:pt>
                <c:pt idx="13">
                  <c:v>-0.41437139095247816</c:v>
                </c:pt>
                <c:pt idx="14">
                  <c:v>-5.1421752589192002E-2</c:v>
                </c:pt>
                <c:pt idx="15">
                  <c:v>0.3669101076335341</c:v>
                </c:pt>
                <c:pt idx="16">
                  <c:v>0.46516673031106376</c:v>
                </c:pt>
                <c:pt idx="17">
                  <c:v>0.46519135419473195</c:v>
                </c:pt>
                <c:pt idx="18">
                  <c:v>0.3871894354435772</c:v>
                </c:pt>
                <c:pt idx="19">
                  <c:v>0.2389898823663214</c:v>
                </c:pt>
                <c:pt idx="20">
                  <c:v>0.23614084624181203</c:v>
                </c:pt>
                <c:pt idx="21">
                  <c:v>0.17021049386888876</c:v>
                </c:pt>
                <c:pt idx="22">
                  <c:v>4.7499045813962172E-2</c:v>
                </c:pt>
                <c:pt idx="23">
                  <c:v>3.6884197875598275E-2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80-4E0F-83EA-8B1D13FBB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</c:scatterChart>
      <c:valAx>
        <c:axId val="68415872"/>
        <c:scaling>
          <c:orientation val="minMax"/>
          <c:max val="266.3"/>
          <c:min val="216.3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1.2"/>
        <c:crossBetween val="midCat"/>
        <c:majorUnit val="5"/>
      </c:valAx>
      <c:valAx>
        <c:axId val="68417792"/>
        <c:scaling>
          <c:orientation val="minMax"/>
          <c:max val="0.60000000000000009"/>
          <c:min val="-1.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 </a:t>
                </a:r>
                <a:r>
                  <a:rPr lang="it-IT" sz="1050" baseline="0"/>
                  <a:t>[%]</a:t>
                </a:r>
              </a:p>
            </c:rich>
          </c:tx>
          <c:layout>
            <c:manualLayout>
              <c:xMode val="edge"/>
              <c:yMode val="edge"/>
              <c:x val="1.1495208668536686E-2"/>
              <c:y val="0.409376894186569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0.2"/>
      </c:valAx>
      <c:valAx>
        <c:axId val="986252751"/>
        <c:scaling>
          <c:orientation val="minMax"/>
          <c:max val="0.60000000000000009"/>
          <c:min val="-1.2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0.2"/>
      </c:valAx>
      <c:valAx>
        <c:axId val="986251919"/>
        <c:scaling>
          <c:orientation val="minMax"/>
          <c:max val="266.3"/>
          <c:min val="216.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0.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v> model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rel.'!$K$47:$K$143</c:f>
              <c:numCache>
                <c:formatCode>General</c:formatCode>
                <c:ptCount val="97"/>
                <c:pt idx="0">
                  <c:v>217</c:v>
                </c:pt>
                <c:pt idx="1">
                  <c:v>217</c:v>
                </c:pt>
                <c:pt idx="2">
                  <c:v>217</c:v>
                </c:pt>
                <c:pt idx="3">
                  <c:v>217</c:v>
                </c:pt>
                <c:pt idx="4">
                  <c:v>217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225</c:v>
                </c:pt>
                <c:pt idx="15">
                  <c:v>225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235</c:v>
                </c:pt>
                <c:pt idx="20">
                  <c:v>235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245</c:v>
                </c:pt>
                <c:pt idx="27">
                  <c:v>245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255</c:v>
                </c:pt>
                <c:pt idx="32">
                  <c:v>255</c:v>
                </c:pt>
                <c:pt idx="33">
                  <c:v>260</c:v>
                </c:pt>
                <c:pt idx="34">
                  <c:v>260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265</c:v>
                </c:pt>
                <c:pt idx="42">
                  <c:v>265</c:v>
                </c:pt>
                <c:pt idx="43">
                  <c:v>270</c:v>
                </c:pt>
                <c:pt idx="44">
                  <c:v>270</c:v>
                </c:pt>
                <c:pt idx="45">
                  <c:v>275</c:v>
                </c:pt>
                <c:pt idx="46">
                  <c:v>280</c:v>
                </c:pt>
                <c:pt idx="47">
                  <c:v>280</c:v>
                </c:pt>
                <c:pt idx="48">
                  <c:v>280</c:v>
                </c:pt>
                <c:pt idx="49">
                  <c:v>280</c:v>
                </c:pt>
                <c:pt idx="50">
                  <c:v>280</c:v>
                </c:pt>
                <c:pt idx="51">
                  <c:v>280</c:v>
                </c:pt>
                <c:pt idx="52">
                  <c:v>280</c:v>
                </c:pt>
                <c:pt idx="53">
                  <c:v>280</c:v>
                </c:pt>
                <c:pt idx="54">
                  <c:v>280</c:v>
                </c:pt>
                <c:pt idx="55">
                  <c:v>285</c:v>
                </c:pt>
                <c:pt idx="56">
                  <c:v>285</c:v>
                </c:pt>
                <c:pt idx="57">
                  <c:v>290</c:v>
                </c:pt>
                <c:pt idx="58">
                  <c:v>290</c:v>
                </c:pt>
                <c:pt idx="59">
                  <c:v>290</c:v>
                </c:pt>
                <c:pt idx="60">
                  <c:v>290</c:v>
                </c:pt>
                <c:pt idx="61">
                  <c:v>295</c:v>
                </c:pt>
                <c:pt idx="62">
                  <c:v>295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297</c:v>
                </c:pt>
                <c:pt idx="67">
                  <c:v>297</c:v>
                </c:pt>
                <c:pt idx="68">
                  <c:v>299</c:v>
                </c:pt>
                <c:pt idx="69">
                  <c:v>299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301</c:v>
                </c:pt>
                <c:pt idx="76">
                  <c:v>301</c:v>
                </c:pt>
                <c:pt idx="77">
                  <c:v>302</c:v>
                </c:pt>
                <c:pt idx="78">
                  <c:v>302</c:v>
                </c:pt>
                <c:pt idx="79">
                  <c:v>302</c:v>
                </c:pt>
                <c:pt idx="80">
                  <c:v>302.5</c:v>
                </c:pt>
                <c:pt idx="81">
                  <c:v>302.5</c:v>
                </c:pt>
                <c:pt idx="82">
                  <c:v>302.5</c:v>
                </c:pt>
                <c:pt idx="83">
                  <c:v>303</c:v>
                </c:pt>
                <c:pt idx="84">
                  <c:v>303</c:v>
                </c:pt>
                <c:pt idx="85">
                  <c:v>303</c:v>
                </c:pt>
                <c:pt idx="86">
                  <c:v>303.39999999999998</c:v>
                </c:pt>
                <c:pt idx="87">
                  <c:v>303.39999999999998</c:v>
                </c:pt>
                <c:pt idx="88">
                  <c:v>303.39999999999998</c:v>
                </c:pt>
                <c:pt idx="89">
                  <c:v>303.60000000000002</c:v>
                </c:pt>
                <c:pt idx="90">
                  <c:v>303.60000000000002</c:v>
                </c:pt>
                <c:pt idx="91">
                  <c:v>303.8</c:v>
                </c:pt>
                <c:pt idx="92">
                  <c:v>303.8</c:v>
                </c:pt>
                <c:pt idx="93">
                  <c:v>303.89999999999998</c:v>
                </c:pt>
                <c:pt idx="94">
                  <c:v>304</c:v>
                </c:pt>
                <c:pt idx="95">
                  <c:v>304</c:v>
                </c:pt>
                <c:pt idx="96">
                  <c:v>304.10000000000002</c:v>
                </c:pt>
              </c:numCache>
            </c:numRef>
          </c:xVal>
          <c:yVal>
            <c:numRef>
              <c:f>'Err. rel.'!$P$47:$P$143</c:f>
              <c:numCache>
                <c:formatCode>General</c:formatCode>
                <c:ptCount val="97"/>
                <c:pt idx="0">
                  <c:v>-4.7396060439451056E-2</c:v>
                </c:pt>
                <c:pt idx="1">
                  <c:v>-4.5501080650668858E-2</c:v>
                </c:pt>
                <c:pt idx="2">
                  <c:v>-4.1710905505839141E-2</c:v>
                </c:pt>
                <c:pt idx="3">
                  <c:v>-4.7396060439451056E-2</c:v>
                </c:pt>
                <c:pt idx="4">
                  <c:v>-3.9815710141617368E-2</c:v>
                </c:pt>
                <c:pt idx="5">
                  <c:v>-4.0042044146338149E-2</c:v>
                </c:pt>
                <c:pt idx="6">
                  <c:v>-4.1709766758979687E-2</c:v>
                </c:pt>
                <c:pt idx="7">
                  <c:v>-3.8374265883601252E-2</c:v>
                </c:pt>
                <c:pt idx="8">
                  <c:v>-4.1709766758979687E-2</c:v>
                </c:pt>
                <c:pt idx="9">
                  <c:v>-4.6712600724036463E-2</c:v>
                </c:pt>
                <c:pt idx="10">
                  <c:v>-4.0042044146338149E-2</c:v>
                </c:pt>
                <c:pt idx="11">
                  <c:v>-3.8374265883601252E-2</c:v>
                </c:pt>
                <c:pt idx="12">
                  <c:v>-4.5045045045043787E-2</c:v>
                </c:pt>
                <c:pt idx="13">
                  <c:v>-4.8380100764055502E-2</c:v>
                </c:pt>
                <c:pt idx="14">
                  <c:v>-3.3997878532375833E-2</c:v>
                </c:pt>
                <c:pt idx="15">
                  <c:v>-3.67167101827666E-2</c:v>
                </c:pt>
                <c:pt idx="16">
                  <c:v>-3.6944158344907579E-2</c:v>
                </c:pt>
                <c:pt idx="17">
                  <c:v>-3.2467532467533866E-2</c:v>
                </c:pt>
                <c:pt idx="18">
                  <c:v>-3.6944158344907579E-2</c:v>
                </c:pt>
                <c:pt idx="19">
                  <c:v>-2.8837745818529877E-2</c:v>
                </c:pt>
                <c:pt idx="20">
                  <c:v>-2.6977748009219083E-2</c:v>
                </c:pt>
                <c:pt idx="21">
                  <c:v>-2.1048528551938606E-2</c:v>
                </c:pt>
                <c:pt idx="22">
                  <c:v>-2.494543186777954E-2</c:v>
                </c:pt>
                <c:pt idx="23">
                  <c:v>-2.8062735804926252E-2</c:v>
                </c:pt>
                <c:pt idx="24">
                  <c:v>-2.8842031414427365E-2</c:v>
                </c:pt>
                <c:pt idx="25">
                  <c:v>-2.4166075507295229E-2</c:v>
                </c:pt>
                <c:pt idx="26">
                  <c:v>-2.2385062579418052E-2</c:v>
                </c:pt>
                <c:pt idx="27">
                  <c:v>-2.0410313133709442E-2</c:v>
                </c:pt>
                <c:pt idx="28">
                  <c:v>-1.624340461760233E-2</c:v>
                </c:pt>
                <c:pt idx="29">
                  <c:v>-1.1762992505295783E-2</c:v>
                </c:pt>
                <c:pt idx="30">
                  <c:v>-1.5123339233302292E-2</c:v>
                </c:pt>
                <c:pt idx="31">
                  <c:v>-1.0553785930849147E-2</c:v>
                </c:pt>
                <c:pt idx="32">
                  <c:v>-6.7163033466394011E-3</c:v>
                </c:pt>
                <c:pt idx="33">
                  <c:v>-5.3742770563829246E-3</c:v>
                </c:pt>
                <c:pt idx="34">
                  <c:v>-5.7876590572742189E-3</c:v>
                </c:pt>
                <c:pt idx="35">
                  <c:v>-6.6144128055098056E-3</c:v>
                </c:pt>
                <c:pt idx="36">
                  <c:v>-4.1341105461063683E-3</c:v>
                </c:pt>
                <c:pt idx="37">
                  <c:v>-2.0670980011114155E-3</c:v>
                </c:pt>
                <c:pt idx="38">
                  <c:v>-3.7207148733570156E-3</c:v>
                </c:pt>
                <c:pt idx="39">
                  <c:v>-3.3073157825142217E-3</c:v>
                </c:pt>
                <c:pt idx="40">
                  <c:v>-4.9608916375861118E-3</c:v>
                </c:pt>
                <c:pt idx="41">
                  <c:v>-2.1497825136672062E-3</c:v>
                </c:pt>
                <c:pt idx="42">
                  <c:v>-1.0749028108778924E-3</c:v>
                </c:pt>
                <c:pt idx="43">
                  <c:v>9.3652835182724318E-4</c:v>
                </c:pt>
                <c:pt idx="44">
                  <c:v>1.8730742455397103E-3</c:v>
                </c:pt>
                <c:pt idx="45">
                  <c:v>3.0064419852431951E-3</c:v>
                </c:pt>
                <c:pt idx="46">
                  <c:v>2.8841855300387434E-3</c:v>
                </c:pt>
                <c:pt idx="47">
                  <c:v>6.4896514095654665E-3</c:v>
                </c:pt>
                <c:pt idx="48">
                  <c:v>3.3648992933718457E-3</c:v>
                </c:pt>
                <c:pt idx="49">
                  <c:v>3.8456176782869652E-3</c:v>
                </c:pt>
                <c:pt idx="50">
                  <c:v>4.3263406848934481E-3</c:v>
                </c:pt>
                <c:pt idx="51">
                  <c:v>5.5281684216426904E-3</c:v>
                </c:pt>
                <c:pt idx="52">
                  <c:v>4.5667039213544477E-3</c:v>
                </c:pt>
                <c:pt idx="53">
                  <c:v>5.768537435399494E-3</c:v>
                </c:pt>
                <c:pt idx="54">
                  <c:v>2.6438303814419538E-3</c:v>
                </c:pt>
                <c:pt idx="55">
                  <c:v>1.0823797072910637E-2</c:v>
                </c:pt>
                <c:pt idx="56">
                  <c:v>8.9135449805087721E-3</c:v>
                </c:pt>
                <c:pt idx="57">
                  <c:v>1.5609690044208605E-2</c:v>
                </c:pt>
                <c:pt idx="58">
                  <c:v>1.2788300961379593E-2</c:v>
                </c:pt>
                <c:pt idx="59">
                  <c:v>1.5985887282564577E-2</c:v>
                </c:pt>
                <c:pt idx="60">
                  <c:v>1.6173986963019967E-2</c:v>
                </c:pt>
                <c:pt idx="61">
                  <c:v>3.6279131975799135E-2</c:v>
                </c:pt>
                <c:pt idx="62">
                  <c:v>3.3436037695800065E-2</c:v>
                </c:pt>
                <c:pt idx="63">
                  <c:v>3.4439464282433246E-2</c:v>
                </c:pt>
                <c:pt idx="64">
                  <c:v>3.5442910999850641E-2</c:v>
                </c:pt>
                <c:pt idx="65">
                  <c:v>3.494118512475048E-2</c:v>
                </c:pt>
                <c:pt idx="66">
                  <c:v>4.9161461883117631E-2</c:v>
                </c:pt>
                <c:pt idx="67">
                  <c:v>4.4530561691587874E-2</c:v>
                </c:pt>
                <c:pt idx="68">
                  <c:v>6.1739687185589975E-2</c:v>
                </c:pt>
                <c:pt idx="69">
                  <c:v>5.350332452281964E-2</c:v>
                </c:pt>
                <c:pt idx="70">
                  <c:v>6.0937816608455979E-2</c:v>
                </c:pt>
                <c:pt idx="71">
                  <c:v>5.2291749226044237E-2</c:v>
                </c:pt>
                <c:pt idx="72">
                  <c:v>5.3484221409778258E-2</c:v>
                </c:pt>
                <c:pt idx="73">
                  <c:v>5.3633282431369562E-2</c:v>
                </c:pt>
                <c:pt idx="74">
                  <c:v>5.55711161302243E-2</c:v>
                </c:pt>
                <c:pt idx="75">
                  <c:v>5.2133391582938123E-2</c:v>
                </c:pt>
                <c:pt idx="76">
                  <c:v>4.6742785083666048E-2</c:v>
                </c:pt>
                <c:pt idx="77">
                  <c:v>3.88586101712722E-2</c:v>
                </c:pt>
                <c:pt idx="78">
                  <c:v>3.344791021726698E-2</c:v>
                </c:pt>
                <c:pt idx="79">
                  <c:v>3.4159810982375464E-2</c:v>
                </c:pt>
                <c:pt idx="80">
                  <c:v>3.4056398521781557E-2</c:v>
                </c:pt>
                <c:pt idx="81">
                  <c:v>2.7721841574600985E-2</c:v>
                </c:pt>
                <c:pt idx="82">
                  <c:v>3.4619509078475517E-2</c:v>
                </c:pt>
                <c:pt idx="83">
                  <c:v>2.8800641127312669E-2</c:v>
                </c:pt>
                <c:pt idx="84">
                  <c:v>2.0590072524355772E-2</c:v>
                </c:pt>
                <c:pt idx="85">
                  <c:v>2.2259909485640602E-2</c:v>
                </c:pt>
                <c:pt idx="86">
                  <c:v>2.1782287415911837E-2</c:v>
                </c:pt>
                <c:pt idx="87">
                  <c:v>1.7921443420631757E-2</c:v>
                </c:pt>
                <c:pt idx="88">
                  <c:v>1.6266887234637786E-2</c:v>
                </c:pt>
                <c:pt idx="89">
                  <c:v>2.1271223191396276E-2</c:v>
                </c:pt>
                <c:pt idx="90">
                  <c:v>1.7977022346401365E-2</c:v>
                </c:pt>
                <c:pt idx="91">
                  <c:v>2.1174024526349918E-2</c:v>
                </c:pt>
                <c:pt idx="92">
                  <c:v>1.9124533497990422E-2</c:v>
                </c:pt>
                <c:pt idx="93">
                  <c:v>1.8535453825595388E-2</c:v>
                </c:pt>
                <c:pt idx="94">
                  <c:v>2.0532959479368E-2</c:v>
                </c:pt>
                <c:pt idx="95">
                  <c:v>1.8900892693250321E-2</c:v>
                </c:pt>
                <c:pt idx="96">
                  <c:v>2.0485714944663856E-2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B9-4485-A2F3-6B4C2C049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1"/>
          <c:order val="1"/>
          <c:tx>
            <c:v> corr. eq. [1]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rel.'!$K$47:$K$143</c:f>
              <c:numCache>
                <c:formatCode>General</c:formatCode>
                <c:ptCount val="97"/>
                <c:pt idx="0">
                  <c:v>217</c:v>
                </c:pt>
                <c:pt idx="1">
                  <c:v>217</c:v>
                </c:pt>
                <c:pt idx="2">
                  <c:v>217</c:v>
                </c:pt>
                <c:pt idx="3">
                  <c:v>217</c:v>
                </c:pt>
                <c:pt idx="4">
                  <c:v>217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225</c:v>
                </c:pt>
                <c:pt idx="15">
                  <c:v>225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235</c:v>
                </c:pt>
                <c:pt idx="20">
                  <c:v>235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245</c:v>
                </c:pt>
                <c:pt idx="27">
                  <c:v>245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255</c:v>
                </c:pt>
                <c:pt idx="32">
                  <c:v>255</c:v>
                </c:pt>
                <c:pt idx="33">
                  <c:v>260</c:v>
                </c:pt>
                <c:pt idx="34">
                  <c:v>260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265</c:v>
                </c:pt>
                <c:pt idx="42">
                  <c:v>265</c:v>
                </c:pt>
                <c:pt idx="43">
                  <c:v>270</c:v>
                </c:pt>
                <c:pt idx="44">
                  <c:v>270</c:v>
                </c:pt>
                <c:pt idx="45">
                  <c:v>275</c:v>
                </c:pt>
                <c:pt idx="46">
                  <c:v>280</c:v>
                </c:pt>
                <c:pt idx="47">
                  <c:v>280</c:v>
                </c:pt>
                <c:pt idx="48">
                  <c:v>280</c:v>
                </c:pt>
                <c:pt idx="49">
                  <c:v>280</c:v>
                </c:pt>
                <c:pt idx="50">
                  <c:v>280</c:v>
                </c:pt>
                <c:pt idx="51">
                  <c:v>280</c:v>
                </c:pt>
                <c:pt idx="52">
                  <c:v>280</c:v>
                </c:pt>
                <c:pt idx="53">
                  <c:v>280</c:v>
                </c:pt>
                <c:pt idx="54">
                  <c:v>280</c:v>
                </c:pt>
                <c:pt idx="55">
                  <c:v>285</c:v>
                </c:pt>
                <c:pt idx="56">
                  <c:v>285</c:v>
                </c:pt>
                <c:pt idx="57">
                  <c:v>290</c:v>
                </c:pt>
                <c:pt idx="58">
                  <c:v>290</c:v>
                </c:pt>
                <c:pt idx="59">
                  <c:v>290</c:v>
                </c:pt>
                <c:pt idx="60">
                  <c:v>290</c:v>
                </c:pt>
                <c:pt idx="61">
                  <c:v>295</c:v>
                </c:pt>
                <c:pt idx="62">
                  <c:v>295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297</c:v>
                </c:pt>
                <c:pt idx="67">
                  <c:v>297</c:v>
                </c:pt>
                <c:pt idx="68">
                  <c:v>299</c:v>
                </c:pt>
                <c:pt idx="69">
                  <c:v>299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301</c:v>
                </c:pt>
                <c:pt idx="76">
                  <c:v>301</c:v>
                </c:pt>
                <c:pt idx="77">
                  <c:v>302</c:v>
                </c:pt>
                <c:pt idx="78">
                  <c:v>302</c:v>
                </c:pt>
                <c:pt idx="79">
                  <c:v>302</c:v>
                </c:pt>
                <c:pt idx="80">
                  <c:v>302.5</c:v>
                </c:pt>
                <c:pt idx="81">
                  <c:v>302.5</c:v>
                </c:pt>
                <c:pt idx="82">
                  <c:v>302.5</c:v>
                </c:pt>
                <c:pt idx="83">
                  <c:v>303</c:v>
                </c:pt>
                <c:pt idx="84">
                  <c:v>303</c:v>
                </c:pt>
                <c:pt idx="85">
                  <c:v>303</c:v>
                </c:pt>
                <c:pt idx="86">
                  <c:v>303.39999999999998</c:v>
                </c:pt>
                <c:pt idx="87">
                  <c:v>303.39999999999998</c:v>
                </c:pt>
                <c:pt idx="88">
                  <c:v>303.39999999999998</c:v>
                </c:pt>
                <c:pt idx="89">
                  <c:v>303.60000000000002</c:v>
                </c:pt>
                <c:pt idx="90">
                  <c:v>303.60000000000002</c:v>
                </c:pt>
                <c:pt idx="91">
                  <c:v>303.8</c:v>
                </c:pt>
                <c:pt idx="92">
                  <c:v>303.8</c:v>
                </c:pt>
                <c:pt idx="93">
                  <c:v>303.89999999999998</c:v>
                </c:pt>
                <c:pt idx="94">
                  <c:v>304</c:v>
                </c:pt>
                <c:pt idx="95">
                  <c:v>304</c:v>
                </c:pt>
                <c:pt idx="96">
                  <c:v>304.10000000000002</c:v>
                </c:pt>
              </c:numCache>
            </c:numRef>
          </c:xVal>
          <c:yVal>
            <c:numRef>
              <c:f>'Err. rel.'!$R$47:$R$143</c:f>
              <c:numCache>
                <c:formatCode>General</c:formatCode>
                <c:ptCount val="97"/>
                <c:pt idx="0">
                  <c:v>-4.8679924924632814E-2</c:v>
                </c:pt>
                <c:pt idx="1">
                  <c:v>-4.6784969476359572E-2</c:v>
                </c:pt>
                <c:pt idx="2">
                  <c:v>-4.2994843015316662E-2</c:v>
                </c:pt>
                <c:pt idx="3">
                  <c:v>-4.8679924924632814E-2</c:v>
                </c:pt>
                <c:pt idx="4">
                  <c:v>-4.1099671994372845E-2</c:v>
                </c:pt>
                <c:pt idx="5">
                  <c:v>-4.0392912558175752E-2</c:v>
                </c:pt>
                <c:pt idx="6">
                  <c:v>-4.2060629316961445E-2</c:v>
                </c:pt>
                <c:pt idx="7">
                  <c:v>-3.8725140149490044E-2</c:v>
                </c:pt>
                <c:pt idx="8">
                  <c:v>-4.2060629316961445E-2</c:v>
                </c:pt>
                <c:pt idx="9">
                  <c:v>-4.7063445721622597E-2</c:v>
                </c:pt>
                <c:pt idx="10">
                  <c:v>-4.0392912558175752E-2</c:v>
                </c:pt>
                <c:pt idx="11">
                  <c:v>-3.8725140149490044E-2</c:v>
                </c:pt>
                <c:pt idx="12">
                  <c:v>-4.5395895895899818E-2</c:v>
                </c:pt>
                <c:pt idx="13">
                  <c:v>-4.8730939908567035E-2</c:v>
                </c:pt>
                <c:pt idx="14">
                  <c:v>-3.4133598063473602E-2</c:v>
                </c:pt>
                <c:pt idx="15">
                  <c:v>-3.6852426022623855E-2</c:v>
                </c:pt>
                <c:pt idx="16">
                  <c:v>-3.5531436120192272E-2</c:v>
                </c:pt>
                <c:pt idx="17">
                  <c:v>-3.1054746977156905E-2</c:v>
                </c:pt>
                <c:pt idx="18">
                  <c:v>-3.5531436120192272E-2</c:v>
                </c:pt>
                <c:pt idx="19">
                  <c:v>-2.704906137789077E-2</c:v>
                </c:pt>
                <c:pt idx="20">
                  <c:v>-2.518903028949163E-2</c:v>
                </c:pt>
                <c:pt idx="21">
                  <c:v>-1.9196491911915053E-2</c:v>
                </c:pt>
                <c:pt idx="22">
                  <c:v>-2.3093467415027585E-2</c:v>
                </c:pt>
                <c:pt idx="23">
                  <c:v>-2.6210829097940026E-2</c:v>
                </c:pt>
                <c:pt idx="24">
                  <c:v>-2.6990139143319901E-2</c:v>
                </c:pt>
                <c:pt idx="25">
                  <c:v>-2.231409661753914E-2</c:v>
                </c:pt>
                <c:pt idx="26">
                  <c:v>-2.1829320481668989E-2</c:v>
                </c:pt>
                <c:pt idx="27">
                  <c:v>-1.9854560058989182E-2</c:v>
                </c:pt>
                <c:pt idx="28">
                  <c:v>-1.741601039577342E-2</c:v>
                </c:pt>
                <c:pt idx="29">
                  <c:v>-1.2935650829573462E-2</c:v>
                </c:pt>
                <c:pt idx="30">
                  <c:v>-1.6295958147558541E-2</c:v>
                </c:pt>
                <c:pt idx="31">
                  <c:v>-1.3181007023063948E-2</c:v>
                </c:pt>
                <c:pt idx="32">
                  <c:v>-9.343625268647425E-3</c:v>
                </c:pt>
                <c:pt idx="33">
                  <c:v>-9.2704212193022249E-3</c:v>
                </c:pt>
                <c:pt idx="34">
                  <c:v>-9.6837871133691952E-3</c:v>
                </c:pt>
                <c:pt idx="35">
                  <c:v>-1.0510508648355649E-2</c:v>
                </c:pt>
                <c:pt idx="36">
                  <c:v>-8.0303030302976888E-3</c:v>
                </c:pt>
                <c:pt idx="37">
                  <c:v>-5.9633710234196953E-3</c:v>
                </c:pt>
                <c:pt idx="38">
                  <c:v>-7.6169234649053627E-3</c:v>
                </c:pt>
                <c:pt idx="39">
                  <c:v>-7.2035404815527773E-3</c:v>
                </c:pt>
                <c:pt idx="40">
                  <c:v>-8.8570519074629098E-3</c:v>
                </c:pt>
                <c:pt idx="41">
                  <c:v>-6.4179607162986813E-3</c:v>
                </c:pt>
                <c:pt idx="42">
                  <c:v>-5.3431268922768402E-3</c:v>
                </c:pt>
                <c:pt idx="43">
                  <c:v>-2.9848407277491052E-3</c:v>
                </c:pt>
                <c:pt idx="44">
                  <c:v>-2.0483315591137896E-3</c:v>
                </c:pt>
                <c:pt idx="45">
                  <c:v>2.9782907557705178E-4</c:v>
                </c:pt>
                <c:pt idx="46">
                  <c:v>1.8822435117935574E-3</c:v>
                </c:pt>
                <c:pt idx="47">
                  <c:v>5.4876732676845527E-3</c:v>
                </c:pt>
                <c:pt idx="48">
                  <c:v>2.3629524587923888E-3</c:v>
                </c:pt>
                <c:pt idx="49">
                  <c:v>2.8436660273269345E-3</c:v>
                </c:pt>
                <c:pt idx="50">
                  <c:v>3.3243842175065372E-3</c:v>
                </c:pt>
                <c:pt idx="51">
                  <c:v>4.5261999129859905E-3</c:v>
                </c:pt>
                <c:pt idx="52">
                  <c:v>3.5647450457367319E-3</c:v>
                </c:pt>
                <c:pt idx="53">
                  <c:v>4.7665665184541059E-3</c:v>
                </c:pt>
                <c:pt idx="54">
                  <c:v>1.6418907713465387E-3</c:v>
                </c:pt>
                <c:pt idx="55">
                  <c:v>1.0738055621600155E-2</c:v>
                </c:pt>
                <c:pt idx="56">
                  <c:v>8.8278051668988968E-3</c:v>
                </c:pt>
                <c:pt idx="57">
                  <c:v>1.1957624393236768E-2</c:v>
                </c:pt>
                <c:pt idx="58">
                  <c:v>9.1363383333077763E-3</c:v>
                </c:pt>
                <c:pt idx="59">
                  <c:v>1.2333807894766893E-2</c:v>
                </c:pt>
                <c:pt idx="60">
                  <c:v>1.252190070677061E-2</c:v>
                </c:pt>
                <c:pt idx="61">
                  <c:v>1.5207727287929018E-2</c:v>
                </c:pt>
                <c:pt idx="62">
                  <c:v>1.236523187056918E-2</c:v>
                </c:pt>
                <c:pt idx="63">
                  <c:v>1.3368447097804896E-2</c:v>
                </c:pt>
                <c:pt idx="64">
                  <c:v>1.4371682451584529E-2</c:v>
                </c:pt>
                <c:pt idx="65">
                  <c:v>1.3870062258833301E-2</c:v>
                </c:pt>
                <c:pt idx="66">
                  <c:v>1.6614483158213903E-2</c:v>
                </c:pt>
                <c:pt idx="67">
                  <c:v>1.1985089444177897E-2</c:v>
                </c:pt>
                <c:pt idx="68">
                  <c:v>1.9907634379101126E-2</c:v>
                </c:pt>
                <c:pt idx="69">
                  <c:v>1.167471503001812E-2</c:v>
                </c:pt>
                <c:pt idx="70">
                  <c:v>1.9454405401857309E-2</c:v>
                </c:pt>
                <c:pt idx="71">
                  <c:v>1.0811922518815362E-2</c:v>
                </c:pt>
                <c:pt idx="72">
                  <c:v>1.2003900325672355E-2</c:v>
                </c:pt>
                <c:pt idx="73">
                  <c:v>1.2152899549325436E-2</c:v>
                </c:pt>
                <c:pt idx="74">
                  <c:v>1.4089929858226673E-2</c:v>
                </c:pt>
                <c:pt idx="75">
                  <c:v>1.7367161788259679E-2</c:v>
                </c:pt>
                <c:pt idx="76">
                  <c:v>1.1978428423102129E-2</c:v>
                </c:pt>
                <c:pt idx="77">
                  <c:v>1.7410151918661399E-2</c:v>
                </c:pt>
                <c:pt idx="78">
                  <c:v>1.2000612025593431E-2</c:v>
                </c:pt>
                <c:pt idx="79">
                  <c:v>1.2712360158274354E-2</c:v>
                </c:pt>
                <c:pt idx="80">
                  <c:v>2.0275392422600198E-2</c:v>
                </c:pt>
                <c:pt idx="81">
                  <c:v>1.3941708143899421E-2</c:v>
                </c:pt>
                <c:pt idx="82">
                  <c:v>2.0838425403413546E-2</c:v>
                </c:pt>
                <c:pt idx="83">
                  <c:v>2.1540333419597445E-2</c:v>
                </c:pt>
                <c:pt idx="84">
                  <c:v>1.3330360757550874E-2</c:v>
                </c:pt>
                <c:pt idx="85">
                  <c:v>1.500007651844059E-2</c:v>
                </c:pt>
                <c:pt idx="86">
                  <c:v>1.826830815044508E-2</c:v>
                </c:pt>
                <c:pt idx="87">
                  <c:v>1.4407599794877038E-2</c:v>
                </c:pt>
                <c:pt idx="88">
                  <c:v>1.2753101736982747E-2</c:v>
                </c:pt>
                <c:pt idx="89">
                  <c:v>1.901009216614985E-2</c:v>
                </c:pt>
                <c:pt idx="90">
                  <c:v>1.5715965791511521E-2</c:v>
                </c:pt>
                <c:pt idx="91">
                  <c:v>1.974342546538602E-2</c:v>
                </c:pt>
                <c:pt idx="92">
                  <c:v>1.7693963750819022E-2</c:v>
                </c:pt>
                <c:pt idx="93">
                  <c:v>1.7558172022641583E-2</c:v>
                </c:pt>
                <c:pt idx="94">
                  <c:v>1.9840781177131117E-2</c:v>
                </c:pt>
                <c:pt idx="95">
                  <c:v>1.8208725685506518E-2</c:v>
                </c:pt>
                <c:pt idx="96">
                  <c:v>2.0271849507326602E-2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DD-40E7-9D5B-D98903FF4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/>
      </c:scatterChart>
      <c:valAx>
        <c:axId val="68415872"/>
        <c:scaling>
          <c:orientation val="minMax"/>
          <c:max val="306"/>
          <c:min val="216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34580160950955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6.0000000000000012E-2"/>
        <c:crossBetween val="midCat"/>
        <c:majorUnit val="10"/>
      </c:valAx>
      <c:valAx>
        <c:axId val="68417792"/>
        <c:scaling>
          <c:orientation val="minMax"/>
          <c:max val="7.0000000000000007E-2"/>
          <c:min val="-5.000000000000001E-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1.2385994652384519E-2"/>
              <c:y val="0.4093768031062233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.0000000000000002E-2"/>
      </c:valAx>
      <c:valAx>
        <c:axId val="986252751"/>
        <c:scaling>
          <c:orientation val="minMax"/>
          <c:max val="7.0000000000000007E-2"/>
          <c:min val="-5.000000000000001E-2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1.0000000000000002E-2"/>
      </c:valAx>
      <c:valAx>
        <c:axId val="986251919"/>
        <c:scaling>
          <c:orientation val="minMax"/>
          <c:max val="306"/>
          <c:min val="216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058041691746411"/>
          <c:y val="9.6023368979703996E-2"/>
          <c:w val="0.1499543446304781"/>
          <c:h val="0.1171682465311670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'Err. rel.'!$Y$2</c:f>
              <c:strCache>
                <c:ptCount val="1"/>
                <c:pt idx="0">
                  <c:v> exp. data [6]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rel.'!$U$4:$U$333</c:f>
              <c:numCache>
                <c:formatCode>0</c:formatCode>
                <c:ptCount val="330"/>
                <c:pt idx="0">
                  <c:v>217</c:v>
                </c:pt>
                <c:pt idx="1">
                  <c:v>217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230</c:v>
                </c:pt>
                <c:pt idx="26">
                  <c:v>230</c:v>
                </c:pt>
                <c:pt idx="27" formatCode="0.00">
                  <c:v>233.15</c:v>
                </c:pt>
                <c:pt idx="28" formatCode="0.00">
                  <c:v>240</c:v>
                </c:pt>
                <c:pt idx="29" formatCode="0.00">
                  <c:v>240</c:v>
                </c:pt>
                <c:pt idx="30" formatCode="0.00">
                  <c:v>240</c:v>
                </c:pt>
                <c:pt idx="31" formatCode="0.00">
                  <c:v>240</c:v>
                </c:pt>
                <c:pt idx="32" formatCode="0.00">
                  <c:v>240</c:v>
                </c:pt>
                <c:pt idx="33" formatCode="0.00">
                  <c:v>240</c:v>
                </c:pt>
                <c:pt idx="34" formatCode="0.00">
                  <c:v>240</c:v>
                </c:pt>
                <c:pt idx="35" formatCode="0.00">
                  <c:v>240</c:v>
                </c:pt>
                <c:pt idx="36" formatCode="0.00">
                  <c:v>240</c:v>
                </c:pt>
                <c:pt idx="37" formatCode="0.00">
                  <c:v>240</c:v>
                </c:pt>
                <c:pt idx="38" formatCode="0.00">
                  <c:v>240</c:v>
                </c:pt>
                <c:pt idx="39" formatCode="0.00">
                  <c:v>240</c:v>
                </c:pt>
                <c:pt idx="40" formatCode="0.00">
                  <c:v>240</c:v>
                </c:pt>
                <c:pt idx="41" formatCode="0.00">
                  <c:v>240</c:v>
                </c:pt>
                <c:pt idx="42" formatCode="0.00">
                  <c:v>240</c:v>
                </c:pt>
                <c:pt idx="43" formatCode="0.00">
                  <c:v>240</c:v>
                </c:pt>
                <c:pt idx="44" formatCode="0.00">
                  <c:v>240</c:v>
                </c:pt>
                <c:pt idx="45" formatCode="0.00">
                  <c:v>240</c:v>
                </c:pt>
                <c:pt idx="46" formatCode="0.00">
                  <c:v>240</c:v>
                </c:pt>
                <c:pt idx="47" formatCode="0.00">
                  <c:v>250</c:v>
                </c:pt>
                <c:pt idx="48" formatCode="0.00">
                  <c:v>250</c:v>
                </c:pt>
                <c:pt idx="49" formatCode="0.00">
                  <c:v>250</c:v>
                </c:pt>
                <c:pt idx="50" formatCode="0.00">
                  <c:v>260</c:v>
                </c:pt>
                <c:pt idx="51" formatCode="0.00">
                  <c:v>260</c:v>
                </c:pt>
                <c:pt idx="52" formatCode="0.00">
                  <c:v>260</c:v>
                </c:pt>
                <c:pt idx="53" formatCode="0.00">
                  <c:v>260</c:v>
                </c:pt>
                <c:pt idx="54" formatCode="0.00">
                  <c:v>260</c:v>
                </c:pt>
                <c:pt idx="55" formatCode="0.00">
                  <c:v>260</c:v>
                </c:pt>
                <c:pt idx="56" formatCode="0.00">
                  <c:v>260</c:v>
                </c:pt>
                <c:pt idx="57" formatCode="0.00">
                  <c:v>260</c:v>
                </c:pt>
                <c:pt idx="58" formatCode="0.00">
                  <c:v>260</c:v>
                </c:pt>
                <c:pt idx="59" formatCode="0.00">
                  <c:v>260</c:v>
                </c:pt>
                <c:pt idx="60" formatCode="0.00">
                  <c:v>260</c:v>
                </c:pt>
                <c:pt idx="61" formatCode="0.00">
                  <c:v>260</c:v>
                </c:pt>
                <c:pt idx="62" formatCode="0.00">
                  <c:v>260</c:v>
                </c:pt>
                <c:pt idx="63" formatCode="0.00">
                  <c:v>260</c:v>
                </c:pt>
                <c:pt idx="64" formatCode="0.00">
                  <c:v>260</c:v>
                </c:pt>
                <c:pt idx="65" formatCode="0.00">
                  <c:v>260</c:v>
                </c:pt>
                <c:pt idx="66" formatCode="0.00">
                  <c:v>260</c:v>
                </c:pt>
                <c:pt idx="67" formatCode="0.00">
                  <c:v>260</c:v>
                </c:pt>
                <c:pt idx="68" formatCode="0.00">
                  <c:v>270</c:v>
                </c:pt>
                <c:pt idx="69" formatCode="0.00">
                  <c:v>270</c:v>
                </c:pt>
                <c:pt idx="70" formatCode="0.00">
                  <c:v>270.85399999999998</c:v>
                </c:pt>
                <c:pt idx="71" formatCode="0.00">
                  <c:v>280</c:v>
                </c:pt>
                <c:pt idx="72" formatCode="0.00">
                  <c:v>280</c:v>
                </c:pt>
                <c:pt idx="73" formatCode="0.00">
                  <c:v>280</c:v>
                </c:pt>
                <c:pt idx="74" formatCode="0.00">
                  <c:v>280</c:v>
                </c:pt>
                <c:pt idx="75" formatCode="0.00">
                  <c:v>280</c:v>
                </c:pt>
                <c:pt idx="76" formatCode="0.00">
                  <c:v>280</c:v>
                </c:pt>
                <c:pt idx="77" formatCode="0.00">
                  <c:v>280</c:v>
                </c:pt>
                <c:pt idx="78" formatCode="0.00">
                  <c:v>280</c:v>
                </c:pt>
                <c:pt idx="79" formatCode="0.00">
                  <c:v>280</c:v>
                </c:pt>
                <c:pt idx="80" formatCode="0.00">
                  <c:v>280</c:v>
                </c:pt>
                <c:pt idx="81" formatCode="0.00">
                  <c:v>280</c:v>
                </c:pt>
                <c:pt idx="82" formatCode="0.00">
                  <c:v>280</c:v>
                </c:pt>
                <c:pt idx="83" formatCode="0.00">
                  <c:v>280</c:v>
                </c:pt>
                <c:pt idx="84" formatCode="0.00">
                  <c:v>280</c:v>
                </c:pt>
                <c:pt idx="85" formatCode="0.00">
                  <c:v>280</c:v>
                </c:pt>
                <c:pt idx="86" formatCode="0.00">
                  <c:v>280</c:v>
                </c:pt>
                <c:pt idx="87" formatCode="0.00">
                  <c:v>280</c:v>
                </c:pt>
                <c:pt idx="88" formatCode="0.00">
                  <c:v>280</c:v>
                </c:pt>
                <c:pt idx="89" formatCode="0.00">
                  <c:v>280</c:v>
                </c:pt>
                <c:pt idx="90" formatCode="0.00">
                  <c:v>280</c:v>
                </c:pt>
                <c:pt idx="91" formatCode="0.00">
                  <c:v>280</c:v>
                </c:pt>
                <c:pt idx="92" formatCode="0.00">
                  <c:v>280</c:v>
                </c:pt>
                <c:pt idx="93" formatCode="0.00">
                  <c:v>280</c:v>
                </c:pt>
                <c:pt idx="94" formatCode="0.00">
                  <c:v>280</c:v>
                </c:pt>
                <c:pt idx="95" formatCode="0.00">
                  <c:v>280</c:v>
                </c:pt>
                <c:pt idx="96" formatCode="0.00">
                  <c:v>280</c:v>
                </c:pt>
                <c:pt idx="97" formatCode="0.00">
                  <c:v>280</c:v>
                </c:pt>
                <c:pt idx="98" formatCode="0.00">
                  <c:v>280</c:v>
                </c:pt>
                <c:pt idx="99" formatCode="0.00">
                  <c:v>280</c:v>
                </c:pt>
                <c:pt idx="100" formatCode="0.00">
                  <c:v>290</c:v>
                </c:pt>
                <c:pt idx="101" formatCode="0.00">
                  <c:v>290</c:v>
                </c:pt>
                <c:pt idx="102" formatCode="0.00">
                  <c:v>290</c:v>
                </c:pt>
                <c:pt idx="103" formatCode="0.00">
                  <c:v>290</c:v>
                </c:pt>
                <c:pt idx="104" formatCode="0.00">
                  <c:v>290</c:v>
                </c:pt>
                <c:pt idx="105" formatCode="0.00">
                  <c:v>290</c:v>
                </c:pt>
                <c:pt idx="106" formatCode="0.00">
                  <c:v>290</c:v>
                </c:pt>
                <c:pt idx="107" formatCode="0.00">
                  <c:v>290</c:v>
                </c:pt>
                <c:pt idx="108" formatCode="0.00">
                  <c:v>290</c:v>
                </c:pt>
                <c:pt idx="109" formatCode="0.00">
                  <c:v>290</c:v>
                </c:pt>
                <c:pt idx="110" formatCode="0.00">
                  <c:v>297</c:v>
                </c:pt>
                <c:pt idx="111" formatCode="0.00">
                  <c:v>297</c:v>
                </c:pt>
                <c:pt idx="112" formatCode="0.00">
                  <c:v>297</c:v>
                </c:pt>
                <c:pt idx="113" formatCode="0.00">
                  <c:v>297</c:v>
                </c:pt>
                <c:pt idx="114" formatCode="0.00">
                  <c:v>297</c:v>
                </c:pt>
                <c:pt idx="115" formatCode="0.00">
                  <c:v>297</c:v>
                </c:pt>
                <c:pt idx="116" formatCode="0.00">
                  <c:v>297</c:v>
                </c:pt>
                <c:pt idx="117" formatCode="0.00">
                  <c:v>297</c:v>
                </c:pt>
                <c:pt idx="118" formatCode="0.00">
                  <c:v>297</c:v>
                </c:pt>
                <c:pt idx="119" formatCode="0.00">
                  <c:v>297</c:v>
                </c:pt>
                <c:pt idx="120" formatCode="0.00">
                  <c:v>297</c:v>
                </c:pt>
                <c:pt idx="121" formatCode="0.00">
                  <c:v>297</c:v>
                </c:pt>
                <c:pt idx="122" formatCode="0.00">
                  <c:v>297</c:v>
                </c:pt>
                <c:pt idx="123" formatCode="0.00">
                  <c:v>297</c:v>
                </c:pt>
                <c:pt idx="124" formatCode="0.00">
                  <c:v>297</c:v>
                </c:pt>
                <c:pt idx="125" formatCode="0.00">
                  <c:v>300</c:v>
                </c:pt>
                <c:pt idx="126" formatCode="0.00">
                  <c:v>300</c:v>
                </c:pt>
                <c:pt idx="127" formatCode="0.00">
                  <c:v>300</c:v>
                </c:pt>
                <c:pt idx="128" formatCode="0.00">
                  <c:v>300</c:v>
                </c:pt>
                <c:pt idx="129" formatCode="0.00">
                  <c:v>300</c:v>
                </c:pt>
                <c:pt idx="130" formatCode="0.00">
                  <c:v>300</c:v>
                </c:pt>
                <c:pt idx="131" formatCode="0.00">
                  <c:v>300</c:v>
                </c:pt>
                <c:pt idx="132" formatCode="0.00">
                  <c:v>300</c:v>
                </c:pt>
                <c:pt idx="133" formatCode="0.00">
                  <c:v>300</c:v>
                </c:pt>
                <c:pt idx="134" formatCode="0.00">
                  <c:v>300</c:v>
                </c:pt>
                <c:pt idx="135" formatCode="0.00">
                  <c:v>300</c:v>
                </c:pt>
                <c:pt idx="136" formatCode="0.00">
                  <c:v>300</c:v>
                </c:pt>
                <c:pt idx="137" formatCode="0.00">
                  <c:v>300</c:v>
                </c:pt>
                <c:pt idx="138" formatCode="0.00">
                  <c:v>300</c:v>
                </c:pt>
                <c:pt idx="139" formatCode="0.00">
                  <c:v>300</c:v>
                </c:pt>
                <c:pt idx="140" formatCode="0.00">
                  <c:v>300</c:v>
                </c:pt>
                <c:pt idx="141" formatCode="0.00">
                  <c:v>300</c:v>
                </c:pt>
                <c:pt idx="142" formatCode="0.00">
                  <c:v>300</c:v>
                </c:pt>
                <c:pt idx="143" formatCode="0.00">
                  <c:v>300</c:v>
                </c:pt>
                <c:pt idx="144" formatCode="0.00">
                  <c:v>300</c:v>
                </c:pt>
                <c:pt idx="145" formatCode="0.00">
                  <c:v>300</c:v>
                </c:pt>
                <c:pt idx="146" formatCode="0.00">
                  <c:v>300</c:v>
                </c:pt>
                <c:pt idx="147" formatCode="0.00">
                  <c:v>300</c:v>
                </c:pt>
                <c:pt idx="148" formatCode="0.00">
                  <c:v>300</c:v>
                </c:pt>
                <c:pt idx="149" formatCode="0.00">
                  <c:v>300</c:v>
                </c:pt>
                <c:pt idx="150" formatCode="0.00">
                  <c:v>300</c:v>
                </c:pt>
                <c:pt idx="151" formatCode="0.00">
                  <c:v>300</c:v>
                </c:pt>
                <c:pt idx="152" formatCode="0.00">
                  <c:v>300</c:v>
                </c:pt>
                <c:pt idx="153" formatCode="0.00">
                  <c:v>300</c:v>
                </c:pt>
                <c:pt idx="154" formatCode="0.00">
                  <c:v>300</c:v>
                </c:pt>
                <c:pt idx="155" formatCode="0.00">
                  <c:v>300</c:v>
                </c:pt>
                <c:pt idx="156" formatCode="0.00">
                  <c:v>300</c:v>
                </c:pt>
                <c:pt idx="157" formatCode="0.00">
                  <c:v>300</c:v>
                </c:pt>
                <c:pt idx="158" formatCode="0.00">
                  <c:v>300</c:v>
                </c:pt>
                <c:pt idx="159" formatCode="0.00">
                  <c:v>300</c:v>
                </c:pt>
                <c:pt idx="160" formatCode="0.00">
                  <c:v>300</c:v>
                </c:pt>
                <c:pt idx="161" formatCode="0.00">
                  <c:v>300</c:v>
                </c:pt>
                <c:pt idx="162" formatCode="0.00">
                  <c:v>300</c:v>
                </c:pt>
                <c:pt idx="163" formatCode="0.00">
                  <c:v>300</c:v>
                </c:pt>
                <c:pt idx="164" formatCode="0.00">
                  <c:v>300</c:v>
                </c:pt>
                <c:pt idx="165" formatCode="0.00">
                  <c:v>300</c:v>
                </c:pt>
                <c:pt idx="166" formatCode="0.00">
                  <c:v>300</c:v>
                </c:pt>
                <c:pt idx="167" formatCode="0.00">
                  <c:v>303</c:v>
                </c:pt>
                <c:pt idx="168" formatCode="0.00">
                  <c:v>303</c:v>
                </c:pt>
                <c:pt idx="169" formatCode="0.00">
                  <c:v>303</c:v>
                </c:pt>
                <c:pt idx="170" formatCode="0.00">
                  <c:v>303</c:v>
                </c:pt>
                <c:pt idx="171" formatCode="0.00">
                  <c:v>303</c:v>
                </c:pt>
                <c:pt idx="172" formatCode="0.00">
                  <c:v>303</c:v>
                </c:pt>
                <c:pt idx="173" formatCode="0.00">
                  <c:v>303</c:v>
                </c:pt>
                <c:pt idx="174" formatCode="0.00">
                  <c:v>303</c:v>
                </c:pt>
                <c:pt idx="175" formatCode="0.00">
                  <c:v>303</c:v>
                </c:pt>
                <c:pt idx="176" formatCode="0.00">
                  <c:v>303</c:v>
                </c:pt>
                <c:pt idx="177" formatCode="0.00">
                  <c:v>303</c:v>
                </c:pt>
                <c:pt idx="178" formatCode="0.00">
                  <c:v>303</c:v>
                </c:pt>
                <c:pt idx="179" formatCode="0.00">
                  <c:v>303</c:v>
                </c:pt>
                <c:pt idx="180" formatCode="0.00">
                  <c:v>303</c:v>
                </c:pt>
                <c:pt idx="181" formatCode="0.00">
                  <c:v>303</c:v>
                </c:pt>
                <c:pt idx="182" formatCode="0.00">
                  <c:v>303</c:v>
                </c:pt>
                <c:pt idx="183" formatCode="0.00">
                  <c:v>303</c:v>
                </c:pt>
                <c:pt idx="184" formatCode="0.00">
                  <c:v>303</c:v>
                </c:pt>
                <c:pt idx="185" formatCode="0.00">
                  <c:v>303</c:v>
                </c:pt>
                <c:pt idx="186" formatCode="0.00">
                  <c:v>303</c:v>
                </c:pt>
                <c:pt idx="187" formatCode="0.00">
                  <c:v>303</c:v>
                </c:pt>
                <c:pt idx="188" formatCode="0.00">
                  <c:v>303</c:v>
                </c:pt>
                <c:pt idx="189" formatCode="0.00">
                  <c:v>303</c:v>
                </c:pt>
                <c:pt idx="190" formatCode="0.00">
                  <c:v>303</c:v>
                </c:pt>
                <c:pt idx="191" formatCode="0.00">
                  <c:v>303</c:v>
                </c:pt>
                <c:pt idx="192" formatCode="0.00">
                  <c:v>303</c:v>
                </c:pt>
                <c:pt idx="193" formatCode="0.00">
                  <c:v>303</c:v>
                </c:pt>
                <c:pt idx="194" formatCode="0.00">
                  <c:v>303</c:v>
                </c:pt>
                <c:pt idx="195" formatCode="0.00">
                  <c:v>303</c:v>
                </c:pt>
                <c:pt idx="196" formatCode="0.00">
                  <c:v>303</c:v>
                </c:pt>
                <c:pt idx="197" formatCode="0.00">
                  <c:v>303</c:v>
                </c:pt>
                <c:pt idx="198" formatCode="0.00">
                  <c:v>303</c:v>
                </c:pt>
                <c:pt idx="199" formatCode="0.00">
                  <c:v>303</c:v>
                </c:pt>
                <c:pt idx="200" formatCode="0.00">
                  <c:v>303</c:v>
                </c:pt>
                <c:pt idx="201" formatCode="0.00">
                  <c:v>303</c:v>
                </c:pt>
                <c:pt idx="202" formatCode="0.00">
                  <c:v>303</c:v>
                </c:pt>
                <c:pt idx="203" formatCode="0.00">
                  <c:v>303</c:v>
                </c:pt>
                <c:pt idx="204" formatCode="0.00">
                  <c:v>304.15499999999997</c:v>
                </c:pt>
                <c:pt idx="205" formatCode="0.00">
                  <c:v>304.15499999999997</c:v>
                </c:pt>
                <c:pt idx="206" formatCode="0.00">
                  <c:v>304.15499999999997</c:v>
                </c:pt>
                <c:pt idx="207" formatCode="0.00">
                  <c:v>304.15499999999997</c:v>
                </c:pt>
                <c:pt idx="208" formatCode="0.00">
                  <c:v>304.15499999999997</c:v>
                </c:pt>
                <c:pt idx="209" formatCode="0.00">
                  <c:v>304.15499999999997</c:v>
                </c:pt>
                <c:pt idx="210" formatCode="0.00">
                  <c:v>304.15499999999997</c:v>
                </c:pt>
                <c:pt idx="211" formatCode="0.00">
                  <c:v>304.15499999999997</c:v>
                </c:pt>
                <c:pt idx="212" formatCode="0.00">
                  <c:v>304.15499999999997</c:v>
                </c:pt>
                <c:pt idx="213" formatCode="0.00">
                  <c:v>304.15499999999997</c:v>
                </c:pt>
                <c:pt idx="214" formatCode="0.00">
                  <c:v>304.15499999999997</c:v>
                </c:pt>
                <c:pt idx="215" formatCode="0.00">
                  <c:v>304.15499999999997</c:v>
                </c:pt>
                <c:pt idx="216" formatCode="0.00">
                  <c:v>304.15499999999997</c:v>
                </c:pt>
                <c:pt idx="217" formatCode="0.00">
                  <c:v>305</c:v>
                </c:pt>
                <c:pt idx="218" formatCode="0.00">
                  <c:v>305</c:v>
                </c:pt>
                <c:pt idx="219" formatCode="0.00">
                  <c:v>305</c:v>
                </c:pt>
                <c:pt idx="220" formatCode="0.00">
                  <c:v>305</c:v>
                </c:pt>
                <c:pt idx="221" formatCode="0.00">
                  <c:v>305</c:v>
                </c:pt>
                <c:pt idx="222" formatCode="0.00">
                  <c:v>305</c:v>
                </c:pt>
                <c:pt idx="223" formatCode="0.00">
                  <c:v>305</c:v>
                </c:pt>
                <c:pt idx="224" formatCode="0.00">
                  <c:v>305</c:v>
                </c:pt>
                <c:pt idx="225" formatCode="0.00">
                  <c:v>305</c:v>
                </c:pt>
                <c:pt idx="226" formatCode="0.00">
                  <c:v>305</c:v>
                </c:pt>
                <c:pt idx="227" formatCode="0.00">
                  <c:v>305</c:v>
                </c:pt>
                <c:pt idx="228" formatCode="0.00">
                  <c:v>305</c:v>
                </c:pt>
                <c:pt idx="229" formatCode="0.00">
                  <c:v>305</c:v>
                </c:pt>
                <c:pt idx="230" formatCode="0.00">
                  <c:v>305</c:v>
                </c:pt>
                <c:pt idx="231" formatCode="0.00">
                  <c:v>305</c:v>
                </c:pt>
                <c:pt idx="232" formatCode="0.00">
                  <c:v>305</c:v>
                </c:pt>
                <c:pt idx="233" formatCode="0.00">
                  <c:v>305</c:v>
                </c:pt>
                <c:pt idx="234" formatCode="0.00">
                  <c:v>305</c:v>
                </c:pt>
                <c:pt idx="235" formatCode="0.00">
                  <c:v>305</c:v>
                </c:pt>
                <c:pt idx="236" formatCode="0.00">
                  <c:v>305</c:v>
                </c:pt>
                <c:pt idx="237" formatCode="0.00">
                  <c:v>305</c:v>
                </c:pt>
                <c:pt idx="238" formatCode="0.00">
                  <c:v>305</c:v>
                </c:pt>
                <c:pt idx="239" formatCode="0.00">
                  <c:v>307</c:v>
                </c:pt>
                <c:pt idx="240" formatCode="0.00">
                  <c:v>307</c:v>
                </c:pt>
                <c:pt idx="241" formatCode="0.00">
                  <c:v>307</c:v>
                </c:pt>
                <c:pt idx="242" formatCode="0.00">
                  <c:v>307</c:v>
                </c:pt>
                <c:pt idx="243" formatCode="0.00">
                  <c:v>307</c:v>
                </c:pt>
                <c:pt idx="244" formatCode="0.00">
                  <c:v>307</c:v>
                </c:pt>
                <c:pt idx="245" formatCode="0.00">
                  <c:v>307</c:v>
                </c:pt>
                <c:pt idx="246" formatCode="0.00">
                  <c:v>307</c:v>
                </c:pt>
                <c:pt idx="247" formatCode="0.00">
                  <c:v>307</c:v>
                </c:pt>
                <c:pt idx="248" formatCode="0.00">
                  <c:v>307</c:v>
                </c:pt>
                <c:pt idx="249" formatCode="0.00">
                  <c:v>307</c:v>
                </c:pt>
                <c:pt idx="250" formatCode="0.00">
                  <c:v>307</c:v>
                </c:pt>
                <c:pt idx="251" formatCode="0.00">
                  <c:v>307</c:v>
                </c:pt>
                <c:pt idx="252" formatCode="0.00">
                  <c:v>307</c:v>
                </c:pt>
                <c:pt idx="253" formatCode="0.00">
                  <c:v>307</c:v>
                </c:pt>
                <c:pt idx="254" formatCode="0.00">
                  <c:v>307</c:v>
                </c:pt>
                <c:pt idx="255" formatCode="0.00">
                  <c:v>307</c:v>
                </c:pt>
                <c:pt idx="256" formatCode="0.00">
                  <c:v>307</c:v>
                </c:pt>
                <c:pt idx="257" formatCode="0.00">
                  <c:v>307</c:v>
                </c:pt>
                <c:pt idx="258" formatCode="0.00">
                  <c:v>307</c:v>
                </c:pt>
                <c:pt idx="259" formatCode="0.00">
                  <c:v>307</c:v>
                </c:pt>
                <c:pt idx="260" formatCode="0.00">
                  <c:v>307</c:v>
                </c:pt>
                <c:pt idx="261" formatCode="0.00">
                  <c:v>307</c:v>
                </c:pt>
                <c:pt idx="262" formatCode="0.00">
                  <c:v>310</c:v>
                </c:pt>
                <c:pt idx="263" formatCode="0.00">
                  <c:v>310</c:v>
                </c:pt>
                <c:pt idx="264" formatCode="0.00">
                  <c:v>310</c:v>
                </c:pt>
                <c:pt idx="265" formatCode="0.00">
                  <c:v>310</c:v>
                </c:pt>
                <c:pt idx="266" formatCode="0.00">
                  <c:v>310</c:v>
                </c:pt>
                <c:pt idx="267" formatCode="0.00">
                  <c:v>310</c:v>
                </c:pt>
                <c:pt idx="268" formatCode="0.00">
                  <c:v>310</c:v>
                </c:pt>
                <c:pt idx="269" formatCode="0.00">
                  <c:v>310</c:v>
                </c:pt>
                <c:pt idx="270" formatCode="0.00">
                  <c:v>310</c:v>
                </c:pt>
                <c:pt idx="271" formatCode="0.00">
                  <c:v>310</c:v>
                </c:pt>
                <c:pt idx="272" formatCode="0.00">
                  <c:v>310</c:v>
                </c:pt>
                <c:pt idx="273" formatCode="0.00">
                  <c:v>310</c:v>
                </c:pt>
                <c:pt idx="274" formatCode="0.00">
                  <c:v>310</c:v>
                </c:pt>
                <c:pt idx="275" formatCode="0.00">
                  <c:v>310</c:v>
                </c:pt>
                <c:pt idx="276" formatCode="0.00">
                  <c:v>310</c:v>
                </c:pt>
                <c:pt idx="277" formatCode="0.00">
                  <c:v>310</c:v>
                </c:pt>
                <c:pt idx="278" formatCode="0.00">
                  <c:v>310</c:v>
                </c:pt>
                <c:pt idx="279" formatCode="0.00">
                  <c:v>310</c:v>
                </c:pt>
                <c:pt idx="280" formatCode="0.00">
                  <c:v>310</c:v>
                </c:pt>
                <c:pt idx="281" formatCode="0.00">
                  <c:v>310</c:v>
                </c:pt>
                <c:pt idx="282" formatCode="0.00">
                  <c:v>310</c:v>
                </c:pt>
                <c:pt idx="283" formatCode="0.00">
                  <c:v>310</c:v>
                </c:pt>
                <c:pt idx="284" formatCode="0.00">
                  <c:v>310</c:v>
                </c:pt>
                <c:pt idx="285" formatCode="0.00">
                  <c:v>310</c:v>
                </c:pt>
                <c:pt idx="286" formatCode="0.00">
                  <c:v>310</c:v>
                </c:pt>
                <c:pt idx="287" formatCode="0.00">
                  <c:v>313</c:v>
                </c:pt>
                <c:pt idx="288" formatCode="0.00">
                  <c:v>313</c:v>
                </c:pt>
                <c:pt idx="289" formatCode="0.00">
                  <c:v>313</c:v>
                </c:pt>
                <c:pt idx="290" formatCode="0.00">
                  <c:v>313</c:v>
                </c:pt>
                <c:pt idx="291" formatCode="0.00">
                  <c:v>313</c:v>
                </c:pt>
                <c:pt idx="292" formatCode="0.00">
                  <c:v>313</c:v>
                </c:pt>
                <c:pt idx="293" formatCode="0.00">
                  <c:v>313</c:v>
                </c:pt>
                <c:pt idx="294" formatCode="0.00">
                  <c:v>313</c:v>
                </c:pt>
                <c:pt idx="295" formatCode="0.00">
                  <c:v>313</c:v>
                </c:pt>
                <c:pt idx="296" formatCode="0.00">
                  <c:v>313</c:v>
                </c:pt>
                <c:pt idx="297" formatCode="0.00">
                  <c:v>313</c:v>
                </c:pt>
                <c:pt idx="298" formatCode="0.00">
                  <c:v>313</c:v>
                </c:pt>
                <c:pt idx="299" formatCode="0.00">
                  <c:v>313</c:v>
                </c:pt>
                <c:pt idx="300" formatCode="0.00">
                  <c:v>313</c:v>
                </c:pt>
                <c:pt idx="301" formatCode="0.00">
                  <c:v>313</c:v>
                </c:pt>
                <c:pt idx="302" formatCode="0.00">
                  <c:v>313</c:v>
                </c:pt>
                <c:pt idx="303" formatCode="0.00">
                  <c:v>313</c:v>
                </c:pt>
                <c:pt idx="304" formatCode="0.00">
                  <c:v>313</c:v>
                </c:pt>
                <c:pt idx="305" formatCode="0.00">
                  <c:v>313</c:v>
                </c:pt>
                <c:pt idx="306" formatCode="0.00">
                  <c:v>313</c:v>
                </c:pt>
                <c:pt idx="307" formatCode="0.00">
                  <c:v>320</c:v>
                </c:pt>
                <c:pt idx="308" formatCode="0.00">
                  <c:v>320</c:v>
                </c:pt>
                <c:pt idx="309" formatCode="0.00">
                  <c:v>320</c:v>
                </c:pt>
                <c:pt idx="310" formatCode="0.00">
                  <c:v>320</c:v>
                </c:pt>
                <c:pt idx="311" formatCode="0.00">
                  <c:v>320</c:v>
                </c:pt>
                <c:pt idx="312" formatCode="0.00">
                  <c:v>320</c:v>
                </c:pt>
                <c:pt idx="313" formatCode="0.00">
                  <c:v>320</c:v>
                </c:pt>
                <c:pt idx="314" formatCode="0.00">
                  <c:v>320</c:v>
                </c:pt>
                <c:pt idx="315" formatCode="0.00">
                  <c:v>320</c:v>
                </c:pt>
                <c:pt idx="316" formatCode="0.00">
                  <c:v>320</c:v>
                </c:pt>
                <c:pt idx="317" formatCode="0.00">
                  <c:v>320</c:v>
                </c:pt>
                <c:pt idx="318" formatCode="0.00">
                  <c:v>320</c:v>
                </c:pt>
                <c:pt idx="319" formatCode="0.00">
                  <c:v>320</c:v>
                </c:pt>
                <c:pt idx="320" formatCode="0.00">
                  <c:v>320</c:v>
                </c:pt>
                <c:pt idx="321" formatCode="0.00">
                  <c:v>320</c:v>
                </c:pt>
                <c:pt idx="322" formatCode="0.00">
                  <c:v>320</c:v>
                </c:pt>
                <c:pt idx="323" formatCode="0.00">
                  <c:v>320</c:v>
                </c:pt>
                <c:pt idx="324" formatCode="0.00">
                  <c:v>320</c:v>
                </c:pt>
                <c:pt idx="325" formatCode="0.00">
                  <c:v>320</c:v>
                </c:pt>
                <c:pt idx="326" formatCode="0.00">
                  <c:v>320</c:v>
                </c:pt>
                <c:pt idx="327" formatCode="0.00">
                  <c:v>320</c:v>
                </c:pt>
                <c:pt idx="328" formatCode="0.00">
                  <c:v>320</c:v>
                </c:pt>
                <c:pt idx="329" formatCode="0.00">
                  <c:v>320</c:v>
                </c:pt>
              </c:numCache>
            </c:numRef>
          </c:xVal>
          <c:yVal>
            <c:numRef>
              <c:f>'Err. rel.'!$X$4:$X$333</c:f>
              <c:numCache>
                <c:formatCode>0.00E+00</c:formatCode>
                <c:ptCount val="330"/>
                <c:pt idx="0">
                  <c:v>5.1949401283490546E-4</c:v>
                </c:pt>
                <c:pt idx="1">
                  <c:v>8.6362415076927691E-3</c:v>
                </c:pt>
                <c:pt idx="2">
                  <c:v>6.4293176886667212E-3</c:v>
                </c:pt>
                <c:pt idx="3">
                  <c:v>5.2922653541020179E-4</c:v>
                </c:pt>
                <c:pt idx="4">
                  <c:v>-2.1168501270131248E-3</c:v>
                </c:pt>
                <c:pt idx="5">
                  <c:v>8.8008370573880949E-3</c:v>
                </c:pt>
                <c:pt idx="6">
                  <c:v>7.0153011512863635E-3</c:v>
                </c:pt>
                <c:pt idx="7">
                  <c:v>7.701786814536705E-3</c:v>
                </c:pt>
                <c:pt idx="8">
                  <c:v>2.0763001868676419E-2</c:v>
                </c:pt>
                <c:pt idx="9">
                  <c:v>7.3187154190655886E-3</c:v>
                </c:pt>
                <c:pt idx="10">
                  <c:v>6.9476770441764275E-3</c:v>
                </c:pt>
                <c:pt idx="11">
                  <c:v>7.633216984596256E-3</c:v>
                </c:pt>
                <c:pt idx="12">
                  <c:v>9.532109592015588E-3</c:v>
                </c:pt>
                <c:pt idx="13">
                  <c:v>4.6692191731489549E-3</c:v>
                </c:pt>
                <c:pt idx="14">
                  <c:v>4.5813017441679697E-3</c:v>
                </c:pt>
                <c:pt idx="15">
                  <c:v>-1.7136932660407527E-3</c:v>
                </c:pt>
                <c:pt idx="16">
                  <c:v>8.5524177684953779E-4</c:v>
                </c:pt>
                <c:pt idx="17">
                  <c:v>-8.5367207041009592E-4</c:v>
                </c:pt>
                <c:pt idx="18">
                  <c:v>8.5213715999649814E-4</c:v>
                </c:pt>
                <c:pt idx="19">
                  <c:v>8.5061499465969269E-4</c:v>
                </c:pt>
                <c:pt idx="20">
                  <c:v>2.5474245537738154E-3</c:v>
                </c:pt>
                <c:pt idx="21">
                  <c:v>1.6982686151453131E-3</c:v>
                </c:pt>
                <c:pt idx="22">
                  <c:v>-8.4762284173956837E-4</c:v>
                </c:pt>
                <c:pt idx="23">
                  <c:v>-1.6924053310752537E-3</c:v>
                </c:pt>
                <c:pt idx="24">
                  <c:v>0</c:v>
                </c:pt>
                <c:pt idx="25">
                  <c:v>7.2809878844364356E-3</c:v>
                </c:pt>
                <c:pt idx="26">
                  <c:v>9.0971944252342136E-3</c:v>
                </c:pt>
                <c:pt idx="27">
                  <c:v>5.332385353710045E-3</c:v>
                </c:pt>
                <c:pt idx="28">
                  <c:v>-3.7876580618834417E-3</c:v>
                </c:pt>
                <c:pt idx="29">
                  <c:v>-2.5691750378893444E-3</c:v>
                </c:pt>
                <c:pt idx="30">
                  <c:v>2.5656156194771036E-3</c:v>
                </c:pt>
                <c:pt idx="31">
                  <c:v>6.1022628300130876E-3</c:v>
                </c:pt>
                <c:pt idx="32">
                  <c:v>5.2565393370977032E-3</c:v>
                </c:pt>
                <c:pt idx="33">
                  <c:v>9.2573213337052845E-3</c:v>
                </c:pt>
                <c:pt idx="34">
                  <c:v>5.6271001141509104E-3</c:v>
                </c:pt>
                <c:pt idx="35">
                  <c:v>1.0047908427372618E-2</c:v>
                </c:pt>
                <c:pt idx="36">
                  <c:v>4.6279584224217076E-3</c:v>
                </c:pt>
                <c:pt idx="37">
                  <c:v>-2.7541633769690172E-3</c:v>
                </c:pt>
                <c:pt idx="38">
                  <c:v>-2.7490905092206986E-3</c:v>
                </c:pt>
                <c:pt idx="39">
                  <c:v>-2.7409525723814964E-3</c:v>
                </c:pt>
                <c:pt idx="40">
                  <c:v>-1.8220578321139342E-3</c:v>
                </c:pt>
                <c:pt idx="41">
                  <c:v>-2.7255382938105492E-3</c:v>
                </c:pt>
                <c:pt idx="42">
                  <c:v>-2.7254887709837845E-3</c:v>
                </c:pt>
                <c:pt idx="43">
                  <c:v>-1.8120866177386797E-3</c:v>
                </c:pt>
                <c:pt idx="44">
                  <c:v>-5.4218663871549479E-3</c:v>
                </c:pt>
                <c:pt idx="45">
                  <c:v>-6.3093188639563339E-3</c:v>
                </c:pt>
                <c:pt idx="46">
                  <c:v>-4.4955134775453171E-3</c:v>
                </c:pt>
                <c:pt idx="47">
                  <c:v>-6.8466733154501607E-4</c:v>
                </c:pt>
                <c:pt idx="48">
                  <c:v>-4.6158614186490882E-3</c:v>
                </c:pt>
                <c:pt idx="49">
                  <c:v>4.7152462773087751E-3</c:v>
                </c:pt>
                <c:pt idx="50">
                  <c:v>-9.3962001766266653E-4</c:v>
                </c:pt>
                <c:pt idx="51">
                  <c:v>1.8789752069177657E-3</c:v>
                </c:pt>
                <c:pt idx="52">
                  <c:v>4.4951699399050716E-3</c:v>
                </c:pt>
                <c:pt idx="53">
                  <c:v>1.9916351324492029E-3</c:v>
                </c:pt>
                <c:pt idx="54">
                  <c:v>4.2078602830202096E-3</c:v>
                </c:pt>
                <c:pt idx="55">
                  <c:v>2.0028520613306735E-3</c:v>
                </c:pt>
                <c:pt idx="56">
                  <c:v>2.6681901509247488E-3</c:v>
                </c:pt>
                <c:pt idx="57">
                  <c:v>6.7047067041070109E-3</c:v>
                </c:pt>
                <c:pt idx="58">
                  <c:v>3.9917769395123358E-3</c:v>
                </c:pt>
                <c:pt idx="59">
                  <c:v>9.9256568303317206E-4</c:v>
                </c:pt>
                <c:pt idx="60">
                  <c:v>1.9850919593832131E-3</c:v>
                </c:pt>
                <c:pt idx="61">
                  <c:v>-9.8755678451421152E-4</c:v>
                </c:pt>
                <c:pt idx="62">
                  <c:v>-5.8968638512475911E-3</c:v>
                </c:pt>
                <c:pt idx="63">
                  <c:v>-5.8703819661923839E-3</c:v>
                </c:pt>
                <c:pt idx="64">
                  <c:v>-7.826563356023249E-3</c:v>
                </c:pt>
                <c:pt idx="65">
                  <c:v>-8.7662906902134605E-3</c:v>
                </c:pt>
                <c:pt idx="66">
                  <c:v>-1.9401464810575556E-3</c:v>
                </c:pt>
                <c:pt idx="67">
                  <c:v>-9.7004501008979144E-3</c:v>
                </c:pt>
                <c:pt idx="68">
                  <c:v>-3.2627246260428745E-3</c:v>
                </c:pt>
                <c:pt idx="69">
                  <c:v>-1.7563315753338817E-3</c:v>
                </c:pt>
                <c:pt idx="70">
                  <c:v>5.804432098513653E-3</c:v>
                </c:pt>
                <c:pt idx="71">
                  <c:v>-6.1571299564388085E-4</c:v>
                </c:pt>
                <c:pt idx="72">
                  <c:v>3.0751568330641504E-4</c:v>
                </c:pt>
                <c:pt idx="73">
                  <c:v>1.330849081718306E-3</c:v>
                </c:pt>
                <c:pt idx="74">
                  <c:v>4.9287548486510947E-4</c:v>
                </c:pt>
                <c:pt idx="75">
                  <c:v>-1.269462446124229E-3</c:v>
                </c:pt>
                <c:pt idx="76">
                  <c:v>1.3699756144308704E-3</c:v>
                </c:pt>
                <c:pt idx="77">
                  <c:v>-5.2261166469732688E-4</c:v>
                </c:pt>
                <c:pt idx="78">
                  <c:v>2.9607801133100841E-3</c:v>
                </c:pt>
                <c:pt idx="79">
                  <c:v>-6.8663586876244523E-4</c:v>
                </c:pt>
                <c:pt idx="80">
                  <c:v>-1.7614549617943403E-3</c:v>
                </c:pt>
                <c:pt idx="81">
                  <c:v>-2.6551962190006846E-3</c:v>
                </c:pt>
                <c:pt idx="82">
                  <c:v>0</c:v>
                </c:pt>
                <c:pt idx="83">
                  <c:v>-3.5372874311377584E-3</c:v>
                </c:pt>
                <c:pt idx="84">
                  <c:v>-1.7671903440803979E-3</c:v>
                </c:pt>
                <c:pt idx="85">
                  <c:v>2.5114480172118855E-3</c:v>
                </c:pt>
                <c:pt idx="86">
                  <c:v>6.5952728381895691E-3</c:v>
                </c:pt>
                <c:pt idx="87">
                  <c:v>3.6208269968905143E-3</c:v>
                </c:pt>
                <c:pt idx="88">
                  <c:v>6.1083208904673218E-3</c:v>
                </c:pt>
                <c:pt idx="89">
                  <c:v>4.4069639069641633E-3</c:v>
                </c:pt>
                <c:pt idx="90">
                  <c:v>7.545495395559338E-3</c:v>
                </c:pt>
                <c:pt idx="91">
                  <c:v>7.4958828583711421E-3</c:v>
                </c:pt>
                <c:pt idx="92">
                  <c:v>7.0481624433616575E-3</c:v>
                </c:pt>
                <c:pt idx="93">
                  <c:v>4.0897535094418999E-3</c:v>
                </c:pt>
                <c:pt idx="94">
                  <c:v>-4.2656143359627672E-3</c:v>
                </c:pt>
                <c:pt idx="95">
                  <c:v>-4.4840989476519696E-3</c:v>
                </c:pt>
                <c:pt idx="96">
                  <c:v>-7.0422306319756888E-3</c:v>
                </c:pt>
                <c:pt idx="97">
                  <c:v>-8.3420636098599059E-3</c:v>
                </c:pt>
                <c:pt idx="98">
                  <c:v>-1.2781625393118565E-2</c:v>
                </c:pt>
                <c:pt idx="99">
                  <c:v>-1.4499976370407902E-2</c:v>
                </c:pt>
                <c:pt idx="100">
                  <c:v>-1.1521685457995231E-2</c:v>
                </c:pt>
                <c:pt idx="101">
                  <c:v>-2.2231953380277874E-2</c:v>
                </c:pt>
                <c:pt idx="102">
                  <c:v>-2.5259993099724751E-2</c:v>
                </c:pt>
                <c:pt idx="103">
                  <c:v>-2.9332566775594933E-2</c:v>
                </c:pt>
                <c:pt idx="104">
                  <c:v>7.5984555984557112E-2</c:v>
                </c:pt>
                <c:pt idx="105">
                  <c:v>6.2866645954796491E-2</c:v>
                </c:pt>
                <c:pt idx="106">
                  <c:v>3.9201574735605586E-2</c:v>
                </c:pt>
                <c:pt idx="107">
                  <c:v>3.6220401140939489E-2</c:v>
                </c:pt>
                <c:pt idx="108">
                  <c:v>1.6270535698609982E-2</c:v>
                </c:pt>
                <c:pt idx="109">
                  <c:v>1.0726371418483139E-2</c:v>
                </c:pt>
                <c:pt idx="110">
                  <c:v>-2.0256887341707604E-2</c:v>
                </c:pt>
                <c:pt idx="111">
                  <c:v>-4.0722224310539998E-2</c:v>
                </c:pt>
                <c:pt idx="112">
                  <c:v>-6.0549500605499934E-2</c:v>
                </c:pt>
                <c:pt idx="113">
                  <c:v>-6.996623368722317E-2</c:v>
                </c:pt>
                <c:pt idx="114">
                  <c:v>-7.3242069859450018E-2</c:v>
                </c:pt>
                <c:pt idx="115">
                  <c:v>-6.1570176318737811E-2</c:v>
                </c:pt>
                <c:pt idx="116">
                  <c:v>-6.4577743417161271E-2</c:v>
                </c:pt>
                <c:pt idx="117">
                  <c:v>-4.8610867813470029E-2</c:v>
                </c:pt>
                <c:pt idx="118">
                  <c:v>7.2111001588903351E-2</c:v>
                </c:pt>
                <c:pt idx="119">
                  <c:v>0.14965045543441138</c:v>
                </c:pt>
                <c:pt idx="120">
                  <c:v>0.1819430997586779</c:v>
                </c:pt>
                <c:pt idx="121">
                  <c:v>0.18345252936159367</c:v>
                </c:pt>
                <c:pt idx="122">
                  <c:v>0.16522736134220103</c:v>
                </c:pt>
                <c:pt idx="123">
                  <c:v>0.14216971493896671</c:v>
                </c:pt>
                <c:pt idx="124">
                  <c:v>0.10065822584943095</c:v>
                </c:pt>
                <c:pt idx="125">
                  <c:v>-3.9790437031501395E-3</c:v>
                </c:pt>
                <c:pt idx="126">
                  <c:v>-2.7546691642269558E-3</c:v>
                </c:pt>
                <c:pt idx="127">
                  <c:v>-3.2292092743006306E-3</c:v>
                </c:pt>
                <c:pt idx="128">
                  <c:v>-4.8396463831596572E-3</c:v>
                </c:pt>
                <c:pt idx="129">
                  <c:v>-3.1373314555874308E-3</c:v>
                </c:pt>
                <c:pt idx="130">
                  <c:v>-5.0726916716429908E-4</c:v>
                </c:pt>
                <c:pt idx="131">
                  <c:v>-9.8146984925091742E-4</c:v>
                </c:pt>
                <c:pt idx="132">
                  <c:v>-2.5510554501347606E-3</c:v>
                </c:pt>
                <c:pt idx="133">
                  <c:v>-2.2088882507604684E-3</c:v>
                </c:pt>
                <c:pt idx="134">
                  <c:v>1.2975520381831781E-4</c:v>
                </c:pt>
                <c:pt idx="135">
                  <c:v>-4.5617811800429866E-3</c:v>
                </c:pt>
                <c:pt idx="136">
                  <c:v>-2.3882696877575971E-3</c:v>
                </c:pt>
                <c:pt idx="137">
                  <c:v>-4.5869034731991385E-3</c:v>
                </c:pt>
                <c:pt idx="138">
                  <c:v>-1.5574504536060282E-2</c:v>
                </c:pt>
                <c:pt idx="139">
                  <c:v>-2.02449640651748E-2</c:v>
                </c:pt>
                <c:pt idx="140">
                  <c:v>-1.4759688958980071E-2</c:v>
                </c:pt>
                <c:pt idx="141">
                  <c:v>-3.2241932936783832E-2</c:v>
                </c:pt>
                <c:pt idx="142">
                  <c:v>-6.574838094612169E-2</c:v>
                </c:pt>
                <c:pt idx="143">
                  <c:v>-8.111239860950481E-2</c:v>
                </c:pt>
                <c:pt idx="144">
                  <c:v>-5.8326550332772356E-2</c:v>
                </c:pt>
                <c:pt idx="145">
                  <c:v>-5.9193231079926391E-2</c:v>
                </c:pt>
                <c:pt idx="146">
                  <c:v>-6.0902929430899692E-2</c:v>
                </c:pt>
                <c:pt idx="147">
                  <c:v>-5.9553824485750743E-2</c:v>
                </c:pt>
                <c:pt idx="148">
                  <c:v>-4.4176487169881637E-2</c:v>
                </c:pt>
                <c:pt idx="149">
                  <c:v>-8.170869216990211E-4</c:v>
                </c:pt>
                <c:pt idx="150">
                  <c:v>-1.7554029670395075E-2</c:v>
                </c:pt>
                <c:pt idx="151">
                  <c:v>3.7797954185731127E-2</c:v>
                </c:pt>
                <c:pt idx="152">
                  <c:v>4.0927318591622096E-2</c:v>
                </c:pt>
                <c:pt idx="153">
                  <c:v>4.6726770119997395E-2</c:v>
                </c:pt>
                <c:pt idx="154">
                  <c:v>4.3941040539531157E-2</c:v>
                </c:pt>
                <c:pt idx="155">
                  <c:v>9.6524357078839537E-2</c:v>
                </c:pt>
                <c:pt idx="156">
                  <c:v>0.14007184330027869</c:v>
                </c:pt>
                <c:pt idx="157">
                  <c:v>0.16146736748248891</c:v>
                </c:pt>
                <c:pt idx="158">
                  <c:v>0.15743202563787984</c:v>
                </c:pt>
                <c:pt idx="159">
                  <c:v>-0.66075079385791802</c:v>
                </c:pt>
                <c:pt idx="160">
                  <c:v>-0.35429253909176323</c:v>
                </c:pt>
                <c:pt idx="161">
                  <c:v>-0.18503563281902019</c:v>
                </c:pt>
                <c:pt idx="162">
                  <c:v>3.6014238834197472E-2</c:v>
                </c:pt>
                <c:pt idx="163">
                  <c:v>0.17455150149499327</c:v>
                </c:pt>
                <c:pt idx="164">
                  <c:v>0.17847470479904448</c:v>
                </c:pt>
                <c:pt idx="165">
                  <c:v>0.20417835470479909</c:v>
                </c:pt>
                <c:pt idx="166">
                  <c:v>0.16947178307612651</c:v>
                </c:pt>
                <c:pt idx="167">
                  <c:v>-1.6107987951233253E-2</c:v>
                </c:pt>
                <c:pt idx="168">
                  <c:v>-3.0218534950470943E-2</c:v>
                </c:pt>
                <c:pt idx="169">
                  <c:v>-6.6296800307061379E-2</c:v>
                </c:pt>
                <c:pt idx="170">
                  <c:v>-0.10606907989894454</c:v>
                </c:pt>
                <c:pt idx="171">
                  <c:v>-0.10951499869729721</c:v>
                </c:pt>
                <c:pt idx="172">
                  <c:v>-4.3589042507235866E-2</c:v>
                </c:pt>
                <c:pt idx="173">
                  <c:v>7.3418172110007091E-2</c:v>
                </c:pt>
                <c:pt idx="174">
                  <c:v>0.18874845528975476</c:v>
                </c:pt>
                <c:pt idx="175">
                  <c:v>0.38100880508283153</c:v>
                </c:pt>
                <c:pt idx="176">
                  <c:v>0.696463784205962</c:v>
                </c:pt>
                <c:pt idx="177">
                  <c:v>0.80887244899583199</c:v>
                </c:pt>
                <c:pt idx="178">
                  <c:v>1.0664720128421969</c:v>
                </c:pt>
                <c:pt idx="179">
                  <c:v>1.1160069566072246</c:v>
                </c:pt>
                <c:pt idx="180">
                  <c:v>1.1930009002640409</c:v>
                </c:pt>
                <c:pt idx="181">
                  <c:v>1.2583174122142429</c:v>
                </c:pt>
                <c:pt idx="182">
                  <c:v>-42.585996446407194</c:v>
                </c:pt>
                <c:pt idx="183">
                  <c:v>-42.539461134756252</c:v>
                </c:pt>
                <c:pt idx="184">
                  <c:v>-3.5077458844796663</c:v>
                </c:pt>
                <c:pt idx="185">
                  <c:v>-3.2335907335907299</c:v>
                </c:pt>
                <c:pt idx="186">
                  <c:v>-3.1081462576430874</c:v>
                </c:pt>
                <c:pt idx="187">
                  <c:v>-2.6391370081053265</c:v>
                </c:pt>
                <c:pt idx="188">
                  <c:v>-2.2258097918686657</c:v>
                </c:pt>
                <c:pt idx="189">
                  <c:v>-2.1910022589913165</c:v>
                </c:pt>
                <c:pt idx="190">
                  <c:v>-2.1573381722616682</c:v>
                </c:pt>
                <c:pt idx="191">
                  <c:v>-1.5616539766348478</c:v>
                </c:pt>
                <c:pt idx="192">
                  <c:v>-1.0457894713161464</c:v>
                </c:pt>
                <c:pt idx="193">
                  <c:v>-0.68506606205180587</c:v>
                </c:pt>
                <c:pt idx="194">
                  <c:v>-0.26999345601736224</c:v>
                </c:pt>
                <c:pt idx="195">
                  <c:v>-3.6885972690192004E-2</c:v>
                </c:pt>
                <c:pt idx="196">
                  <c:v>-3.92975248234156E-2</c:v>
                </c:pt>
                <c:pt idx="197">
                  <c:v>8.9585447186508613E-2</c:v>
                </c:pt>
                <c:pt idx="198">
                  <c:v>0.15888485196515678</c:v>
                </c:pt>
                <c:pt idx="199">
                  <c:v>0.15746879606066846</c:v>
                </c:pt>
                <c:pt idx="200">
                  <c:v>0.19452278441960605</c:v>
                </c:pt>
                <c:pt idx="201">
                  <c:v>0.2168569798474333</c:v>
                </c:pt>
                <c:pt idx="202">
                  <c:v>0.21436632853735024</c:v>
                </c:pt>
                <c:pt idx="203">
                  <c:v>0.2217125587102857</c:v>
                </c:pt>
                <c:pt idx="204">
                  <c:v>-0.10776611277201485</c:v>
                </c:pt>
                <c:pt idx="205">
                  <c:v>-0.12362294126157242</c:v>
                </c:pt>
                <c:pt idx="206">
                  <c:v>-7.8029072761121213E-2</c:v>
                </c:pt>
                <c:pt idx="207">
                  <c:v>1.8659431782966373E-3</c:v>
                </c:pt>
                <c:pt idx="208">
                  <c:v>0.37258366587913744</c:v>
                </c:pt>
                <c:pt idx="209">
                  <c:v>0.9147523647259197</c:v>
                </c:pt>
                <c:pt idx="210">
                  <c:v>0.40252567181455473</c:v>
                </c:pt>
                <c:pt idx="211">
                  <c:v>-2.0319691292324511</c:v>
                </c:pt>
                <c:pt idx="212">
                  <c:v>-12.640840585862883</c:v>
                </c:pt>
                <c:pt idx="213">
                  <c:v>-17.943647459776489</c:v>
                </c:pt>
                <c:pt idx="214">
                  <c:v>-3.6164764820484456</c:v>
                </c:pt>
                <c:pt idx="215">
                  <c:v>-2.6875713383110167</c:v>
                </c:pt>
                <c:pt idx="216">
                  <c:v>-2.3213740011313568</c:v>
                </c:pt>
                <c:pt idx="217">
                  <c:v>-9.0871708438886006E-2</c:v>
                </c:pt>
                <c:pt idx="218">
                  <c:v>-0.11383372177777944</c:v>
                </c:pt>
                <c:pt idx="219">
                  <c:v>-9.6721750046308577E-2</c:v>
                </c:pt>
                <c:pt idx="220">
                  <c:v>2.2499511281099532E-2</c:v>
                </c:pt>
                <c:pt idx="221">
                  <c:v>0.32253135629251822</c:v>
                </c:pt>
                <c:pt idx="222">
                  <c:v>0.79126755597345033</c:v>
                </c:pt>
                <c:pt idx="223">
                  <c:v>0.57075435752032611</c:v>
                </c:pt>
                <c:pt idx="224">
                  <c:v>-0.96490712092514364</c:v>
                </c:pt>
                <c:pt idx="225">
                  <c:v>-1.9723443027119654</c:v>
                </c:pt>
                <c:pt idx="226">
                  <c:v>-1.8017782369776554</c:v>
                </c:pt>
                <c:pt idx="227">
                  <c:v>-1.5347198926534678</c:v>
                </c:pt>
                <c:pt idx="228">
                  <c:v>-1.5213937882297011</c:v>
                </c:pt>
                <c:pt idx="229">
                  <c:v>-2.0474201025690499</c:v>
                </c:pt>
                <c:pt idx="230">
                  <c:v>-1.6289373507559461</c:v>
                </c:pt>
                <c:pt idx="231">
                  <c:v>-1.2651563250073492</c:v>
                </c:pt>
                <c:pt idx="232">
                  <c:v>-0.93627858928345875</c:v>
                </c:pt>
                <c:pt idx="233">
                  <c:v>-0.47155131788368249</c:v>
                </c:pt>
                <c:pt idx="234">
                  <c:v>-0.17902646194055113</c:v>
                </c:pt>
                <c:pt idx="235">
                  <c:v>-9.9943032470751082E-4</c:v>
                </c:pt>
                <c:pt idx="236">
                  <c:v>0.10291194341673206</c:v>
                </c:pt>
                <c:pt idx="237">
                  <c:v>0.11037108052443041</c:v>
                </c:pt>
                <c:pt idx="238">
                  <c:v>0.16484685935432133</c:v>
                </c:pt>
                <c:pt idx="239">
                  <c:v>-1.1718226864868583E-2</c:v>
                </c:pt>
                <c:pt idx="240">
                  <c:v>-4.769101179268543E-2</c:v>
                </c:pt>
                <c:pt idx="241">
                  <c:v>-8.5006626292919829E-2</c:v>
                </c:pt>
                <c:pt idx="242">
                  <c:v>-0.11546356483065107</c:v>
                </c:pt>
                <c:pt idx="243">
                  <c:v>-0.13117236400771268</c:v>
                </c:pt>
                <c:pt idx="244">
                  <c:v>-0.12265964983301175</c:v>
                </c:pt>
                <c:pt idx="245">
                  <c:v>27.987715378214894</c:v>
                </c:pt>
                <c:pt idx="246">
                  <c:v>0.11724383720427817</c:v>
                </c:pt>
                <c:pt idx="247">
                  <c:v>0.32446653883760562</c:v>
                </c:pt>
                <c:pt idx="248">
                  <c:v>0.36303233247540601</c:v>
                </c:pt>
                <c:pt idx="249">
                  <c:v>8.008902304607822E-2</c:v>
                </c:pt>
                <c:pt idx="250">
                  <c:v>-0.81721484987963611</c:v>
                </c:pt>
                <c:pt idx="251">
                  <c:v>-0.88996957313213709</c:v>
                </c:pt>
                <c:pt idx="252">
                  <c:v>-0.35818182182205976</c:v>
                </c:pt>
                <c:pt idx="253">
                  <c:v>-0.71727956299867346</c:v>
                </c:pt>
                <c:pt idx="254">
                  <c:v>-1.240690928452379</c:v>
                </c:pt>
                <c:pt idx="255">
                  <c:v>-1.2785734983309698</c:v>
                </c:pt>
                <c:pt idx="256">
                  <c:v>-0.90792376943177988</c:v>
                </c:pt>
                <c:pt idx="257">
                  <c:v>-0.72520670700725764</c:v>
                </c:pt>
                <c:pt idx="258">
                  <c:v>-0.55146025276908095</c:v>
                </c:pt>
                <c:pt idx="259">
                  <c:v>-0.55321190916573715</c:v>
                </c:pt>
                <c:pt idx="260">
                  <c:v>-0.27439916684865556</c:v>
                </c:pt>
                <c:pt idx="261">
                  <c:v>-8.2876152678881695E-2</c:v>
                </c:pt>
                <c:pt idx="262">
                  <c:v>-3.418913688556139E-2</c:v>
                </c:pt>
                <c:pt idx="263">
                  <c:v>-6.5790940921962471E-2</c:v>
                </c:pt>
                <c:pt idx="264">
                  <c:v>-0.1149949630305403</c:v>
                </c:pt>
                <c:pt idx="265">
                  <c:v>-0.11816572624465299</c:v>
                </c:pt>
                <c:pt idx="266">
                  <c:v>-0.13898540653231098</c:v>
                </c:pt>
                <c:pt idx="267">
                  <c:v>-0.13852990121445499</c:v>
                </c:pt>
                <c:pt idx="268">
                  <c:v>-0.15316702597270049</c:v>
                </c:pt>
                <c:pt idx="269">
                  <c:v>-0.14432903998519117</c:v>
                </c:pt>
                <c:pt idx="270">
                  <c:v>-0.1309741154737076</c:v>
                </c:pt>
                <c:pt idx="271">
                  <c:v>-9.9872670924696288E-2</c:v>
                </c:pt>
                <c:pt idx="272">
                  <c:v>-7.296571584230517E-2</c:v>
                </c:pt>
                <c:pt idx="273">
                  <c:v>-7.437097093740079E-2</c:v>
                </c:pt>
                <c:pt idx="274">
                  <c:v>-7.2443475825794607E-2</c:v>
                </c:pt>
                <c:pt idx="275">
                  <c:v>-7.8494607298775831E-2</c:v>
                </c:pt>
                <c:pt idx="276">
                  <c:v>-0.21063896651011099</c:v>
                </c:pt>
                <c:pt idx="277">
                  <c:v>-0.62355131269867548</c:v>
                </c:pt>
                <c:pt idx="278">
                  <c:v>-1.1173615758659206</c:v>
                </c:pt>
                <c:pt idx="279">
                  <c:v>-0.61589532307121519</c:v>
                </c:pt>
                <c:pt idx="280">
                  <c:v>-0.52803731463689718</c:v>
                </c:pt>
                <c:pt idx="281">
                  <c:v>-5.7325013459767732E-2</c:v>
                </c:pt>
                <c:pt idx="282">
                  <c:v>-0.20855267005908865</c:v>
                </c:pt>
                <c:pt idx="283">
                  <c:v>-0.41867266039476442</c:v>
                </c:pt>
                <c:pt idx="284">
                  <c:v>-0.53670333629613776</c:v>
                </c:pt>
                <c:pt idx="285">
                  <c:v>-0.53827202446691136</c:v>
                </c:pt>
                <c:pt idx="286">
                  <c:v>-0.5775009986921753</c:v>
                </c:pt>
                <c:pt idx="287">
                  <c:v>-8.5580019850519121E-2</c:v>
                </c:pt>
                <c:pt idx="288">
                  <c:v>-9.0667768112135075E-2</c:v>
                </c:pt>
                <c:pt idx="289">
                  <c:v>-0.10992239100152533</c:v>
                </c:pt>
                <c:pt idx="290">
                  <c:v>-0.11133536105821353</c:v>
                </c:pt>
                <c:pt idx="291">
                  <c:v>-0.1320228839665655</c:v>
                </c:pt>
                <c:pt idx="292">
                  <c:v>-0.15604713871966444</c:v>
                </c:pt>
                <c:pt idx="293">
                  <c:v>-0.172938759560961</c:v>
                </c:pt>
                <c:pt idx="294">
                  <c:v>-0.17761658648474637</c:v>
                </c:pt>
                <c:pt idx="295">
                  <c:v>27.04592678812568</c:v>
                </c:pt>
                <c:pt idx="296">
                  <c:v>-0.19088865854534381</c:v>
                </c:pt>
                <c:pt idx="297">
                  <c:v>-0.20844718301793574</c:v>
                </c:pt>
                <c:pt idx="298">
                  <c:v>-0.24562212843419351</c:v>
                </c:pt>
                <c:pt idx="299">
                  <c:v>-0.3446239258187323</c:v>
                </c:pt>
                <c:pt idx="300">
                  <c:v>-0.53082993379255816</c:v>
                </c:pt>
                <c:pt idx="301">
                  <c:v>-0.81355132840748778</c:v>
                </c:pt>
                <c:pt idx="302">
                  <c:v>-1.1277101836165442</c:v>
                </c:pt>
                <c:pt idx="303">
                  <c:v>-1.1921715518149292</c:v>
                </c:pt>
                <c:pt idx="304">
                  <c:v>-1.2084654341828998</c:v>
                </c:pt>
                <c:pt idx="305">
                  <c:v>-0.77543762798250704</c:v>
                </c:pt>
                <c:pt idx="306">
                  <c:v>-0.12634762375497052</c:v>
                </c:pt>
                <c:pt idx="307">
                  <c:v>-3.4303694153166673E-3</c:v>
                </c:pt>
                <c:pt idx="308">
                  <c:v>-2.1198916499857619E-3</c:v>
                </c:pt>
                <c:pt idx="309">
                  <c:v>-2.8969385153701983E-3</c:v>
                </c:pt>
                <c:pt idx="310">
                  <c:v>-5.2936060800857941E-3</c:v>
                </c:pt>
                <c:pt idx="311">
                  <c:v>-2.4948163260820715E-3</c:v>
                </c:pt>
                <c:pt idx="312">
                  <c:v>-3.8951849022696165E-3</c:v>
                </c:pt>
                <c:pt idx="313">
                  <c:v>-6.5009110060459084E-3</c:v>
                </c:pt>
                <c:pt idx="314">
                  <c:v>-6.1563086773131475E-3</c:v>
                </c:pt>
                <c:pt idx="315">
                  <c:v>-7.3254706614833383E-3</c:v>
                </c:pt>
                <c:pt idx="316">
                  <c:v>-5.725879731626006E-3</c:v>
                </c:pt>
                <c:pt idx="317">
                  <c:v>-7.8276879261674776E-3</c:v>
                </c:pt>
                <c:pt idx="318">
                  <c:v>-9.3250526865524489E-3</c:v>
                </c:pt>
                <c:pt idx="319">
                  <c:v>-9.8011189610817621E-3</c:v>
                </c:pt>
                <c:pt idx="320">
                  <c:v>-1.5809481377163766E-2</c:v>
                </c:pt>
                <c:pt idx="321">
                  <c:v>-2.5358023595653926E-2</c:v>
                </c:pt>
                <c:pt idx="322">
                  <c:v>-4.3627089066381942E-2</c:v>
                </c:pt>
                <c:pt idx="323">
                  <c:v>-4.2505592841175513E-2</c:v>
                </c:pt>
                <c:pt idx="324">
                  <c:v>-7.1839080459763519E-2</c:v>
                </c:pt>
                <c:pt idx="325">
                  <c:v>-0.11205061239970147</c:v>
                </c:pt>
                <c:pt idx="326">
                  <c:v>-0.1193451098664312</c:v>
                </c:pt>
                <c:pt idx="327">
                  <c:v>-0.16469076231044105</c:v>
                </c:pt>
                <c:pt idx="328">
                  <c:v>-0.21806261914308583</c:v>
                </c:pt>
                <c:pt idx="329">
                  <c:v>-0.31559618989327398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FF-4C5C-8501-96EFF371F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Corr. Eq.</c:v>
                </c:tx>
                <c:spPr>
                  <a:ln w="19050">
                    <a:solidFill>
                      <a:srgbClr val="0070C0"/>
                    </a:solidFill>
                    <a:prstDash val="lgDash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'Err. rel.'!$B$4:$B$87</c15:sqref>
                        </c15:formulaRef>
                      </c:ext>
                    </c:extLst>
                    <c:numCache>
                      <c:formatCode>0.00</c:formatCode>
                      <c:ptCount val="84"/>
                      <c:pt idx="0">
                        <c:v>170.11</c:v>
                      </c:pt>
                      <c:pt idx="1">
                        <c:v>171.81</c:v>
                      </c:pt>
                      <c:pt idx="2">
                        <c:v>172.14</c:v>
                      </c:pt>
                      <c:pt idx="3">
                        <c:v>173.59</c:v>
                      </c:pt>
                      <c:pt idx="4">
                        <c:v>175.34</c:v>
                      </c:pt>
                      <c:pt idx="5">
                        <c:v>177.2</c:v>
                      </c:pt>
                      <c:pt idx="6">
                        <c:v>179.2</c:v>
                      </c:pt>
                      <c:pt idx="7">
                        <c:v>179.73</c:v>
                      </c:pt>
                      <c:pt idx="8">
                        <c:v>180.95</c:v>
                      </c:pt>
                      <c:pt idx="9">
                        <c:v>183.02</c:v>
                      </c:pt>
                      <c:pt idx="10">
                        <c:v>184.37</c:v>
                      </c:pt>
                      <c:pt idx="11">
                        <c:v>185.23</c:v>
                      </c:pt>
                      <c:pt idx="12">
                        <c:v>187.25</c:v>
                      </c:pt>
                      <c:pt idx="13">
                        <c:v>187.69</c:v>
                      </c:pt>
                      <c:pt idx="14">
                        <c:v>189.88</c:v>
                      </c:pt>
                      <c:pt idx="15">
                        <c:v>192.79</c:v>
                      </c:pt>
                      <c:pt idx="16">
                        <c:v>192.94</c:v>
                      </c:pt>
                      <c:pt idx="17">
                        <c:v>194.54</c:v>
                      </c:pt>
                      <c:pt idx="18">
                        <c:v>196.76</c:v>
                      </c:pt>
                      <c:pt idx="19">
                        <c:v>197.47</c:v>
                      </c:pt>
                      <c:pt idx="20">
                        <c:v>199.29</c:v>
                      </c:pt>
                      <c:pt idx="21">
                        <c:v>201.74</c:v>
                      </c:pt>
                      <c:pt idx="22">
                        <c:v>202.82</c:v>
                      </c:pt>
                      <c:pt idx="23">
                        <c:v>203.8</c:v>
                      </c:pt>
                      <c:pt idx="24">
                        <c:v>205.24</c:v>
                      </c:pt>
                      <c:pt idx="25">
                        <c:v>207.03</c:v>
                      </c:pt>
                      <c:pt idx="26">
                        <c:v>207.22</c:v>
                      </c:pt>
                      <c:pt idx="27">
                        <c:v>207.61</c:v>
                      </c:pt>
                      <c:pt idx="28">
                        <c:v>207.98</c:v>
                      </c:pt>
                      <c:pt idx="29">
                        <c:v>208.44</c:v>
                      </c:pt>
                      <c:pt idx="30">
                        <c:v>209.3</c:v>
                      </c:pt>
                      <c:pt idx="31">
                        <c:v>210.73</c:v>
                      </c:pt>
                      <c:pt idx="32">
                        <c:v>210.93</c:v>
                      </c:pt>
                      <c:pt idx="33">
                        <c:v>211.11</c:v>
                      </c:pt>
                      <c:pt idx="34">
                        <c:v>211.23</c:v>
                      </c:pt>
                      <c:pt idx="35">
                        <c:v>211.29</c:v>
                      </c:pt>
                      <c:pt idx="36">
                        <c:v>213.19</c:v>
                      </c:pt>
                      <c:pt idx="37">
                        <c:v>213.27</c:v>
                      </c:pt>
                      <c:pt idx="38">
                        <c:v>213.28</c:v>
                      </c:pt>
                      <c:pt idx="39">
                        <c:v>213.31</c:v>
                      </c:pt>
                      <c:pt idx="40">
                        <c:v>213.34</c:v>
                      </c:pt>
                      <c:pt idx="41">
                        <c:v>213.34</c:v>
                      </c:pt>
                      <c:pt idx="42">
                        <c:v>213.35</c:v>
                      </c:pt>
                      <c:pt idx="43">
                        <c:v>213.39</c:v>
                      </c:pt>
                      <c:pt idx="44">
                        <c:v>213.41</c:v>
                      </c:pt>
                      <c:pt idx="45">
                        <c:v>213.43</c:v>
                      </c:pt>
                      <c:pt idx="46">
                        <c:v>213.47</c:v>
                      </c:pt>
                      <c:pt idx="47">
                        <c:v>213.51</c:v>
                      </c:pt>
                      <c:pt idx="48">
                        <c:v>213.54</c:v>
                      </c:pt>
                      <c:pt idx="49">
                        <c:v>213.68</c:v>
                      </c:pt>
                      <c:pt idx="50">
                        <c:v>213.7</c:v>
                      </c:pt>
                      <c:pt idx="51">
                        <c:v>213.73</c:v>
                      </c:pt>
                      <c:pt idx="52">
                        <c:v>213.8</c:v>
                      </c:pt>
                      <c:pt idx="53">
                        <c:v>213.85</c:v>
                      </c:pt>
                      <c:pt idx="54">
                        <c:v>213.92</c:v>
                      </c:pt>
                      <c:pt idx="55">
                        <c:v>214.17</c:v>
                      </c:pt>
                      <c:pt idx="56">
                        <c:v>214.23</c:v>
                      </c:pt>
                      <c:pt idx="57">
                        <c:v>214.34</c:v>
                      </c:pt>
                      <c:pt idx="58">
                        <c:v>214.37</c:v>
                      </c:pt>
                      <c:pt idx="59">
                        <c:v>214.39</c:v>
                      </c:pt>
                      <c:pt idx="60">
                        <c:v>214.39</c:v>
                      </c:pt>
                      <c:pt idx="61">
                        <c:v>214.4</c:v>
                      </c:pt>
                      <c:pt idx="62">
                        <c:v>214.46</c:v>
                      </c:pt>
                      <c:pt idx="63">
                        <c:v>214.52</c:v>
                      </c:pt>
                      <c:pt idx="64">
                        <c:v>214.56</c:v>
                      </c:pt>
                      <c:pt idx="65">
                        <c:v>214.62</c:v>
                      </c:pt>
                      <c:pt idx="66">
                        <c:v>214.74</c:v>
                      </c:pt>
                      <c:pt idx="67">
                        <c:v>214.85</c:v>
                      </c:pt>
                      <c:pt idx="68">
                        <c:v>214.91</c:v>
                      </c:pt>
                      <c:pt idx="69">
                        <c:v>215.01</c:v>
                      </c:pt>
                      <c:pt idx="70">
                        <c:v>215.31</c:v>
                      </c:pt>
                      <c:pt idx="71">
                        <c:v>215.6</c:v>
                      </c:pt>
                      <c:pt idx="72">
                        <c:v>216.19</c:v>
                      </c:pt>
                      <c:pt idx="73">
                        <c:v>216.33</c:v>
                      </c:pt>
                      <c:pt idx="74">
                        <c:v>216.38</c:v>
                      </c:pt>
                      <c:pt idx="75">
                        <c:v>216.45</c:v>
                      </c:pt>
                      <c:pt idx="76">
                        <c:v>216.48</c:v>
                      </c:pt>
                      <c:pt idx="77">
                        <c:v>216.49</c:v>
                      </c:pt>
                      <c:pt idx="78">
                        <c:v>216.53</c:v>
                      </c:pt>
                      <c:pt idx="79">
                        <c:v>216.58</c:v>
                      </c:pt>
                      <c:pt idx="80">
                        <c:v>216.58</c:v>
                      </c:pt>
                      <c:pt idx="81">
                        <c:v>216.59</c:v>
                      </c:pt>
                      <c:pt idx="82">
                        <c:v>216.59</c:v>
                      </c:pt>
                      <c:pt idx="83">
                        <c:v>216.59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'Err. rel.'!$H$4:$H$87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0.39682539682539786</c:v>
                      </c:pt>
                      <c:pt idx="1">
                        <c:v>0.41356492969395947</c:v>
                      </c:pt>
                      <c:pt idx="2">
                        <c:v>0.43964828137489603</c:v>
                      </c:pt>
                      <c:pt idx="3">
                        <c:v>0.41208791208790724</c:v>
                      </c:pt>
                      <c:pt idx="4">
                        <c:v>0.40206777713957853</c:v>
                      </c:pt>
                      <c:pt idx="5">
                        <c:v>0.42918454935622224</c:v>
                      </c:pt>
                      <c:pt idx="6">
                        <c:v>0.3920031360250858</c:v>
                      </c:pt>
                      <c:pt idx="7">
                        <c:v>0.40968342644321215</c:v>
                      </c:pt>
                      <c:pt idx="8">
                        <c:v>0.39774610540272476</c:v>
                      </c:pt>
                      <c:pt idx="9">
                        <c:v>0.38209606986899902</c:v>
                      </c:pt>
                      <c:pt idx="10">
                        <c:v>0.3615328994938643</c:v>
                      </c:pt>
                      <c:pt idx="11">
                        <c:v>0.35666518056174862</c:v>
                      </c:pt>
                      <c:pt idx="12">
                        <c:v>0.35348837209302825</c:v>
                      </c:pt>
                      <c:pt idx="13">
                        <c:v>0.32206119162640828</c:v>
                      </c:pt>
                      <c:pt idx="14">
                        <c:v>0.31046717918389705</c:v>
                      </c:pt>
                      <c:pt idx="15">
                        <c:v>0.25404157043879677</c:v>
                      </c:pt>
                      <c:pt idx="16">
                        <c:v>0.25088379518759035</c:v>
                      </c:pt>
                      <c:pt idx="17">
                        <c:v>0.21973631642029362</c:v>
                      </c:pt>
                      <c:pt idx="18">
                        <c:v>0.17510214291670295</c:v>
                      </c:pt>
                      <c:pt idx="19">
                        <c:v>0.15752993068683502</c:v>
                      </c:pt>
                      <c:pt idx="20">
                        <c:v>0.1227412205932395</c:v>
                      </c:pt>
                      <c:pt idx="21">
                        <c:v>7.3288984101923124E-2</c:v>
                      </c:pt>
                      <c:pt idx="22">
                        <c:v>4.1526083571255902E-2</c:v>
                      </c:pt>
                      <c:pt idx="23">
                        <c:v>2.4097546869726007E-2</c:v>
                      </c:pt>
                      <c:pt idx="24">
                        <c:v>0</c:v>
                      </c:pt>
                      <c:pt idx="25">
                        <c:v>-3.4116755117505303E-2</c:v>
                      </c:pt>
                      <c:pt idx="26">
                        <c:v>-3.3646117611865485E-2</c:v>
                      </c:pt>
                      <c:pt idx="27">
                        <c:v>-3.9966573411328345E-2</c:v>
                      </c:pt>
                      <c:pt idx="28">
                        <c:v>-4.2441819339325525E-2</c:v>
                      </c:pt>
                      <c:pt idx="29">
                        <c:v>-4.7889443798307958E-2</c:v>
                      </c:pt>
                      <c:pt idx="30">
                        <c:v>-5.786478927573005E-2</c:v>
                      </c:pt>
                      <c:pt idx="31">
                        <c:v>-6.6749862147026148E-2</c:v>
                      </c:pt>
                      <c:pt idx="32">
                        <c:v>-6.5808297567940627E-2</c:v>
                      </c:pt>
                      <c:pt idx="33">
                        <c:v>-6.497358682448881E-2</c:v>
                      </c:pt>
                      <c:pt idx="34">
                        <c:v>-6.7223124754920732E-2</c:v>
                      </c:pt>
                      <c:pt idx="35">
                        <c:v>-6.6938138004132855E-2</c:v>
                      </c:pt>
                      <c:pt idx="36">
                        <c:v>-6.1012812690671867E-2</c:v>
                      </c:pt>
                      <c:pt idx="37">
                        <c:v>-5.8246772158047272E-2</c:v>
                      </c:pt>
                      <c:pt idx="38">
                        <c:v>-6.0631047947026041E-2</c:v>
                      </c:pt>
                      <c:pt idx="39">
                        <c:v>-5.8084658389607198E-2</c:v>
                      </c:pt>
                      <c:pt idx="40">
                        <c:v>-6.0377723035302248E-2</c:v>
                      </c:pt>
                      <c:pt idx="41">
                        <c:v>-6.0377723035302248E-2</c:v>
                      </c:pt>
                      <c:pt idx="42">
                        <c:v>-5.7923444514158054E-2</c:v>
                      </c:pt>
                      <c:pt idx="43">
                        <c:v>-5.7761732851976527E-2</c:v>
                      </c:pt>
                      <c:pt idx="44">
                        <c:v>-5.7681215150936833E-2</c:v>
                      </c:pt>
                      <c:pt idx="45">
                        <c:v>-5.760092161473683E-2</c:v>
                      </c:pt>
                      <c:pt idx="46">
                        <c:v>-5.744100330286199E-2</c:v>
                      </c:pt>
                      <c:pt idx="47">
                        <c:v>-5.7280603355679728E-2</c:v>
                      </c:pt>
                      <c:pt idx="48">
                        <c:v>-5.7161911113232496E-2</c:v>
                      </c:pt>
                      <c:pt idx="49">
                        <c:v>-5.6607778852281521E-2</c:v>
                      </c:pt>
                      <c:pt idx="50">
                        <c:v>-5.6529112492938099E-2</c:v>
                      </c:pt>
                      <c:pt idx="51">
                        <c:v>-5.4061677322303492E-2</c:v>
                      </c:pt>
                      <c:pt idx="52">
                        <c:v>-5.3798652694612641E-2</c:v>
                      </c:pt>
                      <c:pt idx="53">
                        <c:v>-5.3613053613055475E-2</c:v>
                      </c:pt>
                      <c:pt idx="54">
                        <c:v>-5.1033426894615506E-2</c:v>
                      </c:pt>
                      <c:pt idx="55">
                        <c:v>-5.0156168068759083E-2</c:v>
                      </c:pt>
                      <c:pt idx="56">
                        <c:v>-4.767851061414189E-2</c:v>
                      </c:pt>
                      <c:pt idx="57">
                        <c:v>-4.7316479653911038E-2</c:v>
                      </c:pt>
                      <c:pt idx="58">
                        <c:v>-4.7218599631255E-2</c:v>
                      </c:pt>
                      <c:pt idx="59">
                        <c:v>-4.4908498933430664E-2</c:v>
                      </c:pt>
                      <c:pt idx="60">
                        <c:v>-4.4908498933430664E-2</c:v>
                      </c:pt>
                      <c:pt idx="61">
                        <c:v>-4.4877260692002416E-2</c:v>
                      </c:pt>
                      <c:pt idx="62">
                        <c:v>-4.4691738732102852E-2</c:v>
                      </c:pt>
                      <c:pt idx="63">
                        <c:v>-4.4506753899899408E-2</c:v>
                      </c:pt>
                      <c:pt idx="64">
                        <c:v>-4.2165065133934775E-2</c:v>
                      </c:pt>
                      <c:pt idx="65">
                        <c:v>-4.1990806223472413E-2</c:v>
                      </c:pt>
                      <c:pt idx="66">
                        <c:v>-4.1643835616431341E-2</c:v>
                      </c:pt>
                      <c:pt idx="67">
                        <c:v>-3.9154267815194786E-2</c:v>
                      </c:pt>
                      <c:pt idx="68">
                        <c:v>-3.682682726050604E-2</c:v>
                      </c:pt>
                      <c:pt idx="69">
                        <c:v>-3.6574084034337359E-2</c:v>
                      </c:pt>
                      <c:pt idx="70">
                        <c:v>-2.9505363653613139E-2</c:v>
                      </c:pt>
                      <c:pt idx="71">
                        <c:v>-2.4791851744728421E-2</c:v>
                      </c:pt>
                      <c:pt idx="72">
                        <c:v>-9.9216192082536951E-3</c:v>
                      </c:pt>
                      <c:pt idx="73">
                        <c:v>-7.8617897364195409E-3</c:v>
                      </c:pt>
                      <c:pt idx="74">
                        <c:v>-5.8762462539097629E-3</c:v>
                      </c:pt>
                      <c:pt idx="75">
                        <c:v>-3.8988634812991015E-3</c:v>
                      </c:pt>
                      <c:pt idx="76">
                        <c:v>-3.8908991868059611E-3</c:v>
                      </c:pt>
                      <c:pt idx="77">
                        <c:v>-3.8882516476505245E-3</c:v>
                      </c:pt>
                      <c:pt idx="78">
                        <c:v>-1.9388487116262076E-3</c:v>
                      </c:pt>
                      <c:pt idx="79">
                        <c:v>-1.9322551349806795E-3</c:v>
                      </c:pt>
                      <c:pt idx="80">
                        <c:v>-1.9322551349806795E-3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CFF-4C5C-8501-96EFF371FB0A}"/>
                  </c:ext>
                </c:extLst>
              </c15:ser>
            </c15:filteredScatterSeries>
          </c:ext>
        </c:extLst>
      </c:scatterChart>
      <c:valAx>
        <c:axId val="68415872"/>
        <c:scaling>
          <c:orientation val="minMax"/>
          <c:max val="321"/>
          <c:min val="217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4"/>
        <c:crossBetween val="midCat"/>
        <c:majorUnit val="8"/>
      </c:valAx>
      <c:valAx>
        <c:axId val="68417792"/>
        <c:scaling>
          <c:orientation val="minMax"/>
          <c:max val="1.5"/>
          <c:min val="-4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1.3236001749781274E-2"/>
              <c:y val="0.409377012913679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0.5"/>
      </c:valAx>
      <c:valAx>
        <c:axId val="986252751"/>
        <c:scaling>
          <c:orientation val="minMax"/>
          <c:max val="1.5"/>
          <c:min val="-4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0.5"/>
      </c:valAx>
      <c:valAx>
        <c:axId val="986251919"/>
        <c:scaling>
          <c:orientation val="minMax"/>
          <c:max val="321"/>
          <c:min val="217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8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2530584718576845"/>
          <c:y val="9.6849841751088808E-2"/>
          <c:w val="0.15339621609798773"/>
          <c:h val="7.5916264531043512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2126271493764"/>
          <c:y val="6.4881038523524462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'Err. rel.'!$Y$2</c:f>
              <c:strCache>
                <c:ptCount val="1"/>
                <c:pt idx="0">
                  <c:v> exp. data [6]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rel.'!$U$4:$U$333</c:f>
              <c:numCache>
                <c:formatCode>0</c:formatCode>
                <c:ptCount val="330"/>
                <c:pt idx="0">
                  <c:v>217</c:v>
                </c:pt>
                <c:pt idx="1">
                  <c:v>217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230</c:v>
                </c:pt>
                <c:pt idx="26">
                  <c:v>230</c:v>
                </c:pt>
                <c:pt idx="27" formatCode="0.00">
                  <c:v>233.15</c:v>
                </c:pt>
                <c:pt idx="28" formatCode="0.00">
                  <c:v>240</c:v>
                </c:pt>
                <c:pt idx="29" formatCode="0.00">
                  <c:v>240</c:v>
                </c:pt>
                <c:pt idx="30" formatCode="0.00">
                  <c:v>240</c:v>
                </c:pt>
                <c:pt idx="31" formatCode="0.00">
                  <c:v>240</c:v>
                </c:pt>
                <c:pt idx="32" formatCode="0.00">
                  <c:v>240</c:v>
                </c:pt>
                <c:pt idx="33" formatCode="0.00">
                  <c:v>240</c:v>
                </c:pt>
                <c:pt idx="34" formatCode="0.00">
                  <c:v>240</c:v>
                </c:pt>
                <c:pt idx="35" formatCode="0.00">
                  <c:v>240</c:v>
                </c:pt>
                <c:pt idx="36" formatCode="0.00">
                  <c:v>240</c:v>
                </c:pt>
                <c:pt idx="37" formatCode="0.00">
                  <c:v>240</c:v>
                </c:pt>
                <c:pt idx="38" formatCode="0.00">
                  <c:v>240</c:v>
                </c:pt>
                <c:pt idx="39" formatCode="0.00">
                  <c:v>240</c:v>
                </c:pt>
                <c:pt idx="40" formatCode="0.00">
                  <c:v>240</c:v>
                </c:pt>
                <c:pt idx="41" formatCode="0.00">
                  <c:v>240</c:v>
                </c:pt>
                <c:pt idx="42" formatCode="0.00">
                  <c:v>240</c:v>
                </c:pt>
                <c:pt idx="43" formatCode="0.00">
                  <c:v>240</c:v>
                </c:pt>
                <c:pt idx="44" formatCode="0.00">
                  <c:v>240</c:v>
                </c:pt>
                <c:pt idx="45" formatCode="0.00">
                  <c:v>240</c:v>
                </c:pt>
                <c:pt idx="46" formatCode="0.00">
                  <c:v>240</c:v>
                </c:pt>
                <c:pt idx="47" formatCode="0.00">
                  <c:v>250</c:v>
                </c:pt>
                <c:pt idx="48" formatCode="0.00">
                  <c:v>250</c:v>
                </c:pt>
                <c:pt idx="49" formatCode="0.00">
                  <c:v>250</c:v>
                </c:pt>
                <c:pt idx="50" formatCode="0.00">
                  <c:v>260</c:v>
                </c:pt>
                <c:pt idx="51" formatCode="0.00">
                  <c:v>260</c:v>
                </c:pt>
                <c:pt idx="52" formatCode="0.00">
                  <c:v>260</c:v>
                </c:pt>
                <c:pt idx="53" formatCode="0.00">
                  <c:v>260</c:v>
                </c:pt>
                <c:pt idx="54" formatCode="0.00">
                  <c:v>260</c:v>
                </c:pt>
                <c:pt idx="55" formatCode="0.00">
                  <c:v>260</c:v>
                </c:pt>
                <c:pt idx="56" formatCode="0.00">
                  <c:v>260</c:v>
                </c:pt>
                <c:pt idx="57" formatCode="0.00">
                  <c:v>260</c:v>
                </c:pt>
                <c:pt idx="58" formatCode="0.00">
                  <c:v>260</c:v>
                </c:pt>
                <c:pt idx="59" formatCode="0.00">
                  <c:v>260</c:v>
                </c:pt>
                <c:pt idx="60" formatCode="0.00">
                  <c:v>260</c:v>
                </c:pt>
                <c:pt idx="61" formatCode="0.00">
                  <c:v>260</c:v>
                </c:pt>
                <c:pt idx="62" formatCode="0.00">
                  <c:v>260</c:v>
                </c:pt>
                <c:pt idx="63" formatCode="0.00">
                  <c:v>260</c:v>
                </c:pt>
                <c:pt idx="64" formatCode="0.00">
                  <c:v>260</c:v>
                </c:pt>
                <c:pt idx="65" formatCode="0.00">
                  <c:v>260</c:v>
                </c:pt>
                <c:pt idx="66" formatCode="0.00">
                  <c:v>260</c:v>
                </c:pt>
                <c:pt idx="67" formatCode="0.00">
                  <c:v>260</c:v>
                </c:pt>
                <c:pt idx="68" formatCode="0.00">
                  <c:v>270</c:v>
                </c:pt>
                <c:pt idx="69" formatCode="0.00">
                  <c:v>270</c:v>
                </c:pt>
                <c:pt idx="70" formatCode="0.00">
                  <c:v>270.85399999999998</c:v>
                </c:pt>
                <c:pt idx="71" formatCode="0.00">
                  <c:v>280</c:v>
                </c:pt>
                <c:pt idx="72" formatCode="0.00">
                  <c:v>280</c:v>
                </c:pt>
                <c:pt idx="73" formatCode="0.00">
                  <c:v>280</c:v>
                </c:pt>
                <c:pt idx="74" formatCode="0.00">
                  <c:v>280</c:v>
                </c:pt>
                <c:pt idx="75" formatCode="0.00">
                  <c:v>280</c:v>
                </c:pt>
                <c:pt idx="76" formatCode="0.00">
                  <c:v>280</c:v>
                </c:pt>
                <c:pt idx="77" formatCode="0.00">
                  <c:v>280</c:v>
                </c:pt>
                <c:pt idx="78" formatCode="0.00">
                  <c:v>280</c:v>
                </c:pt>
                <c:pt idx="79" formatCode="0.00">
                  <c:v>280</c:v>
                </c:pt>
                <c:pt idx="80" formatCode="0.00">
                  <c:v>280</c:v>
                </c:pt>
                <c:pt idx="81" formatCode="0.00">
                  <c:v>280</c:v>
                </c:pt>
                <c:pt idx="82" formatCode="0.00">
                  <c:v>280</c:v>
                </c:pt>
                <c:pt idx="83" formatCode="0.00">
                  <c:v>280</c:v>
                </c:pt>
                <c:pt idx="84" formatCode="0.00">
                  <c:v>280</c:v>
                </c:pt>
                <c:pt idx="85" formatCode="0.00">
                  <c:v>280</c:v>
                </c:pt>
                <c:pt idx="86" formatCode="0.00">
                  <c:v>280</c:v>
                </c:pt>
                <c:pt idx="87" formatCode="0.00">
                  <c:v>280</c:v>
                </c:pt>
                <c:pt idx="88" formatCode="0.00">
                  <c:v>280</c:v>
                </c:pt>
                <c:pt idx="89" formatCode="0.00">
                  <c:v>280</c:v>
                </c:pt>
                <c:pt idx="90" formatCode="0.00">
                  <c:v>280</c:v>
                </c:pt>
                <c:pt idx="91" formatCode="0.00">
                  <c:v>280</c:v>
                </c:pt>
                <c:pt idx="92" formatCode="0.00">
                  <c:v>280</c:v>
                </c:pt>
                <c:pt idx="93" formatCode="0.00">
                  <c:v>280</c:v>
                </c:pt>
                <c:pt idx="94" formatCode="0.00">
                  <c:v>280</c:v>
                </c:pt>
                <c:pt idx="95" formatCode="0.00">
                  <c:v>280</c:v>
                </c:pt>
                <c:pt idx="96" formatCode="0.00">
                  <c:v>280</c:v>
                </c:pt>
                <c:pt idx="97" formatCode="0.00">
                  <c:v>280</c:v>
                </c:pt>
                <c:pt idx="98" formatCode="0.00">
                  <c:v>280</c:v>
                </c:pt>
                <c:pt idx="99" formatCode="0.00">
                  <c:v>280</c:v>
                </c:pt>
                <c:pt idx="100" formatCode="0.00">
                  <c:v>290</c:v>
                </c:pt>
                <c:pt idx="101" formatCode="0.00">
                  <c:v>290</c:v>
                </c:pt>
                <c:pt idx="102" formatCode="0.00">
                  <c:v>290</c:v>
                </c:pt>
                <c:pt idx="103" formatCode="0.00">
                  <c:v>290</c:v>
                </c:pt>
                <c:pt idx="104" formatCode="0.00">
                  <c:v>290</c:v>
                </c:pt>
                <c:pt idx="105" formatCode="0.00">
                  <c:v>290</c:v>
                </c:pt>
                <c:pt idx="106" formatCode="0.00">
                  <c:v>290</c:v>
                </c:pt>
                <c:pt idx="107" formatCode="0.00">
                  <c:v>290</c:v>
                </c:pt>
                <c:pt idx="108" formatCode="0.00">
                  <c:v>290</c:v>
                </c:pt>
                <c:pt idx="109" formatCode="0.00">
                  <c:v>290</c:v>
                </c:pt>
                <c:pt idx="110" formatCode="0.00">
                  <c:v>297</c:v>
                </c:pt>
                <c:pt idx="111" formatCode="0.00">
                  <c:v>297</c:v>
                </c:pt>
                <c:pt idx="112" formatCode="0.00">
                  <c:v>297</c:v>
                </c:pt>
                <c:pt idx="113" formatCode="0.00">
                  <c:v>297</c:v>
                </c:pt>
                <c:pt idx="114" formatCode="0.00">
                  <c:v>297</c:v>
                </c:pt>
                <c:pt idx="115" formatCode="0.00">
                  <c:v>297</c:v>
                </c:pt>
                <c:pt idx="116" formatCode="0.00">
                  <c:v>297</c:v>
                </c:pt>
                <c:pt idx="117" formatCode="0.00">
                  <c:v>297</c:v>
                </c:pt>
                <c:pt idx="118" formatCode="0.00">
                  <c:v>297</c:v>
                </c:pt>
                <c:pt idx="119" formatCode="0.00">
                  <c:v>297</c:v>
                </c:pt>
                <c:pt idx="120" formatCode="0.00">
                  <c:v>297</c:v>
                </c:pt>
                <c:pt idx="121" formatCode="0.00">
                  <c:v>297</c:v>
                </c:pt>
                <c:pt idx="122" formatCode="0.00">
                  <c:v>297</c:v>
                </c:pt>
                <c:pt idx="123" formatCode="0.00">
                  <c:v>297</c:v>
                </c:pt>
                <c:pt idx="124" formatCode="0.00">
                  <c:v>297</c:v>
                </c:pt>
                <c:pt idx="125" formatCode="0.00">
                  <c:v>300</c:v>
                </c:pt>
                <c:pt idx="126" formatCode="0.00">
                  <c:v>300</c:v>
                </c:pt>
                <c:pt idx="127" formatCode="0.00">
                  <c:v>300</c:v>
                </c:pt>
                <c:pt idx="128" formatCode="0.00">
                  <c:v>300</c:v>
                </c:pt>
                <c:pt idx="129" formatCode="0.00">
                  <c:v>300</c:v>
                </c:pt>
                <c:pt idx="130" formatCode="0.00">
                  <c:v>300</c:v>
                </c:pt>
                <c:pt idx="131" formatCode="0.00">
                  <c:v>300</c:v>
                </c:pt>
                <c:pt idx="132" formatCode="0.00">
                  <c:v>300</c:v>
                </c:pt>
                <c:pt idx="133" formatCode="0.00">
                  <c:v>300</c:v>
                </c:pt>
                <c:pt idx="134" formatCode="0.00">
                  <c:v>300</c:v>
                </c:pt>
                <c:pt idx="135" formatCode="0.00">
                  <c:v>300</c:v>
                </c:pt>
                <c:pt idx="136" formatCode="0.00">
                  <c:v>300</c:v>
                </c:pt>
                <c:pt idx="137" formatCode="0.00">
                  <c:v>300</c:v>
                </c:pt>
                <c:pt idx="138" formatCode="0.00">
                  <c:v>300</c:v>
                </c:pt>
                <c:pt idx="139" formatCode="0.00">
                  <c:v>300</c:v>
                </c:pt>
                <c:pt idx="140" formatCode="0.00">
                  <c:v>300</c:v>
                </c:pt>
                <c:pt idx="141" formatCode="0.00">
                  <c:v>300</c:v>
                </c:pt>
                <c:pt idx="142" formatCode="0.00">
                  <c:v>300</c:v>
                </c:pt>
                <c:pt idx="143" formatCode="0.00">
                  <c:v>300</c:v>
                </c:pt>
                <c:pt idx="144" formatCode="0.00">
                  <c:v>300</c:v>
                </c:pt>
                <c:pt idx="145" formatCode="0.00">
                  <c:v>300</c:v>
                </c:pt>
                <c:pt idx="146" formatCode="0.00">
                  <c:v>300</c:v>
                </c:pt>
                <c:pt idx="147" formatCode="0.00">
                  <c:v>300</c:v>
                </c:pt>
                <c:pt idx="148" formatCode="0.00">
                  <c:v>300</c:v>
                </c:pt>
                <c:pt idx="149" formatCode="0.00">
                  <c:v>300</c:v>
                </c:pt>
                <c:pt idx="150" formatCode="0.00">
                  <c:v>300</c:v>
                </c:pt>
                <c:pt idx="151" formatCode="0.00">
                  <c:v>300</c:v>
                </c:pt>
                <c:pt idx="152" formatCode="0.00">
                  <c:v>300</c:v>
                </c:pt>
                <c:pt idx="153" formatCode="0.00">
                  <c:v>300</c:v>
                </c:pt>
                <c:pt idx="154" formatCode="0.00">
                  <c:v>300</c:v>
                </c:pt>
                <c:pt idx="155" formatCode="0.00">
                  <c:v>300</c:v>
                </c:pt>
                <c:pt idx="156" formatCode="0.00">
                  <c:v>300</c:v>
                </c:pt>
                <c:pt idx="157" formatCode="0.00">
                  <c:v>300</c:v>
                </c:pt>
                <c:pt idx="158" formatCode="0.00">
                  <c:v>300</c:v>
                </c:pt>
                <c:pt idx="159" formatCode="0.00">
                  <c:v>300</c:v>
                </c:pt>
                <c:pt idx="160" formatCode="0.00">
                  <c:v>300</c:v>
                </c:pt>
                <c:pt idx="161" formatCode="0.00">
                  <c:v>300</c:v>
                </c:pt>
                <c:pt idx="162" formatCode="0.00">
                  <c:v>300</c:v>
                </c:pt>
                <c:pt idx="163" formatCode="0.00">
                  <c:v>300</c:v>
                </c:pt>
                <c:pt idx="164" formatCode="0.00">
                  <c:v>300</c:v>
                </c:pt>
                <c:pt idx="165" formatCode="0.00">
                  <c:v>300</c:v>
                </c:pt>
                <c:pt idx="166" formatCode="0.00">
                  <c:v>300</c:v>
                </c:pt>
                <c:pt idx="167" formatCode="0.00">
                  <c:v>303</c:v>
                </c:pt>
                <c:pt idx="168" formatCode="0.00">
                  <c:v>303</c:v>
                </c:pt>
                <c:pt idx="169" formatCode="0.00">
                  <c:v>303</c:v>
                </c:pt>
                <c:pt idx="170" formatCode="0.00">
                  <c:v>303</c:v>
                </c:pt>
                <c:pt idx="171" formatCode="0.00">
                  <c:v>303</c:v>
                </c:pt>
                <c:pt idx="172" formatCode="0.00">
                  <c:v>303</c:v>
                </c:pt>
                <c:pt idx="173" formatCode="0.00">
                  <c:v>303</c:v>
                </c:pt>
                <c:pt idx="174" formatCode="0.00">
                  <c:v>303</c:v>
                </c:pt>
                <c:pt idx="175" formatCode="0.00">
                  <c:v>303</c:v>
                </c:pt>
                <c:pt idx="176" formatCode="0.00">
                  <c:v>303</c:v>
                </c:pt>
                <c:pt idx="177" formatCode="0.00">
                  <c:v>303</c:v>
                </c:pt>
                <c:pt idx="178" formatCode="0.00">
                  <c:v>303</c:v>
                </c:pt>
                <c:pt idx="179" formatCode="0.00">
                  <c:v>303</c:v>
                </c:pt>
                <c:pt idx="180" formatCode="0.00">
                  <c:v>303</c:v>
                </c:pt>
                <c:pt idx="181" formatCode="0.00">
                  <c:v>303</c:v>
                </c:pt>
                <c:pt idx="182" formatCode="0.00">
                  <c:v>303</c:v>
                </c:pt>
                <c:pt idx="183" formatCode="0.00">
                  <c:v>303</c:v>
                </c:pt>
                <c:pt idx="184" formatCode="0.00">
                  <c:v>303</c:v>
                </c:pt>
                <c:pt idx="185" formatCode="0.00">
                  <c:v>303</c:v>
                </c:pt>
                <c:pt idx="186" formatCode="0.00">
                  <c:v>303</c:v>
                </c:pt>
                <c:pt idx="187" formatCode="0.00">
                  <c:v>303</c:v>
                </c:pt>
                <c:pt idx="188" formatCode="0.00">
                  <c:v>303</c:v>
                </c:pt>
                <c:pt idx="189" formatCode="0.00">
                  <c:v>303</c:v>
                </c:pt>
                <c:pt idx="190" formatCode="0.00">
                  <c:v>303</c:v>
                </c:pt>
                <c:pt idx="191" formatCode="0.00">
                  <c:v>303</c:v>
                </c:pt>
                <c:pt idx="192" formatCode="0.00">
                  <c:v>303</c:v>
                </c:pt>
                <c:pt idx="193" formatCode="0.00">
                  <c:v>303</c:v>
                </c:pt>
                <c:pt idx="194" formatCode="0.00">
                  <c:v>303</c:v>
                </c:pt>
                <c:pt idx="195" formatCode="0.00">
                  <c:v>303</c:v>
                </c:pt>
                <c:pt idx="196" formatCode="0.00">
                  <c:v>303</c:v>
                </c:pt>
                <c:pt idx="197" formatCode="0.00">
                  <c:v>303</c:v>
                </c:pt>
                <c:pt idx="198" formatCode="0.00">
                  <c:v>303</c:v>
                </c:pt>
                <c:pt idx="199" formatCode="0.00">
                  <c:v>303</c:v>
                </c:pt>
                <c:pt idx="200" formatCode="0.00">
                  <c:v>303</c:v>
                </c:pt>
                <c:pt idx="201" formatCode="0.00">
                  <c:v>303</c:v>
                </c:pt>
                <c:pt idx="202" formatCode="0.00">
                  <c:v>303</c:v>
                </c:pt>
                <c:pt idx="203" formatCode="0.00">
                  <c:v>303</c:v>
                </c:pt>
                <c:pt idx="204" formatCode="0.00">
                  <c:v>304.15499999999997</c:v>
                </c:pt>
                <c:pt idx="205" formatCode="0.00">
                  <c:v>304.15499999999997</c:v>
                </c:pt>
                <c:pt idx="206" formatCode="0.00">
                  <c:v>304.15499999999997</c:v>
                </c:pt>
                <c:pt idx="207" formatCode="0.00">
                  <c:v>304.15499999999997</c:v>
                </c:pt>
                <c:pt idx="208" formatCode="0.00">
                  <c:v>304.15499999999997</c:v>
                </c:pt>
                <c:pt idx="209" formatCode="0.00">
                  <c:v>304.15499999999997</c:v>
                </c:pt>
                <c:pt idx="210" formatCode="0.00">
                  <c:v>304.15499999999997</c:v>
                </c:pt>
                <c:pt idx="211" formatCode="0.00">
                  <c:v>304.15499999999997</c:v>
                </c:pt>
                <c:pt idx="212" formatCode="0.00">
                  <c:v>304.15499999999997</c:v>
                </c:pt>
                <c:pt idx="213" formatCode="0.00">
                  <c:v>304.15499999999997</c:v>
                </c:pt>
                <c:pt idx="214" formatCode="0.00">
                  <c:v>304.15499999999997</c:v>
                </c:pt>
                <c:pt idx="215" formatCode="0.00">
                  <c:v>304.15499999999997</c:v>
                </c:pt>
                <c:pt idx="216" formatCode="0.00">
                  <c:v>304.15499999999997</c:v>
                </c:pt>
                <c:pt idx="217" formatCode="0.00">
                  <c:v>305</c:v>
                </c:pt>
                <c:pt idx="218" formatCode="0.00">
                  <c:v>305</c:v>
                </c:pt>
                <c:pt idx="219" formatCode="0.00">
                  <c:v>305</c:v>
                </c:pt>
                <c:pt idx="220" formatCode="0.00">
                  <c:v>305</c:v>
                </c:pt>
                <c:pt idx="221" formatCode="0.00">
                  <c:v>305</c:v>
                </c:pt>
                <c:pt idx="222" formatCode="0.00">
                  <c:v>305</c:v>
                </c:pt>
                <c:pt idx="223" formatCode="0.00">
                  <c:v>305</c:v>
                </c:pt>
                <c:pt idx="224" formatCode="0.00">
                  <c:v>305</c:v>
                </c:pt>
                <c:pt idx="225" formatCode="0.00">
                  <c:v>305</c:v>
                </c:pt>
                <c:pt idx="226" formatCode="0.00">
                  <c:v>305</c:v>
                </c:pt>
                <c:pt idx="227" formatCode="0.00">
                  <c:v>305</c:v>
                </c:pt>
                <c:pt idx="228" formatCode="0.00">
                  <c:v>305</c:v>
                </c:pt>
                <c:pt idx="229" formatCode="0.00">
                  <c:v>305</c:v>
                </c:pt>
                <c:pt idx="230" formatCode="0.00">
                  <c:v>305</c:v>
                </c:pt>
                <c:pt idx="231" formatCode="0.00">
                  <c:v>305</c:v>
                </c:pt>
                <c:pt idx="232" formatCode="0.00">
                  <c:v>305</c:v>
                </c:pt>
                <c:pt idx="233" formatCode="0.00">
                  <c:v>305</c:v>
                </c:pt>
                <c:pt idx="234" formatCode="0.00">
                  <c:v>305</c:v>
                </c:pt>
                <c:pt idx="235" formatCode="0.00">
                  <c:v>305</c:v>
                </c:pt>
                <c:pt idx="236" formatCode="0.00">
                  <c:v>305</c:v>
                </c:pt>
                <c:pt idx="237" formatCode="0.00">
                  <c:v>305</c:v>
                </c:pt>
                <c:pt idx="238" formatCode="0.00">
                  <c:v>305</c:v>
                </c:pt>
                <c:pt idx="239" formatCode="0.00">
                  <c:v>307</c:v>
                </c:pt>
                <c:pt idx="240" formatCode="0.00">
                  <c:v>307</c:v>
                </c:pt>
                <c:pt idx="241" formatCode="0.00">
                  <c:v>307</c:v>
                </c:pt>
                <c:pt idx="242" formatCode="0.00">
                  <c:v>307</c:v>
                </c:pt>
                <c:pt idx="243" formatCode="0.00">
                  <c:v>307</c:v>
                </c:pt>
                <c:pt idx="244" formatCode="0.00">
                  <c:v>307</c:v>
                </c:pt>
                <c:pt idx="245" formatCode="0.00">
                  <c:v>307</c:v>
                </c:pt>
                <c:pt idx="246" formatCode="0.00">
                  <c:v>307</c:v>
                </c:pt>
                <c:pt idx="247" formatCode="0.00">
                  <c:v>307</c:v>
                </c:pt>
                <c:pt idx="248" formatCode="0.00">
                  <c:v>307</c:v>
                </c:pt>
                <c:pt idx="249" formatCode="0.00">
                  <c:v>307</c:v>
                </c:pt>
                <c:pt idx="250" formatCode="0.00">
                  <c:v>307</c:v>
                </c:pt>
                <c:pt idx="251" formatCode="0.00">
                  <c:v>307</c:v>
                </c:pt>
                <c:pt idx="252" formatCode="0.00">
                  <c:v>307</c:v>
                </c:pt>
                <c:pt idx="253" formatCode="0.00">
                  <c:v>307</c:v>
                </c:pt>
                <c:pt idx="254" formatCode="0.00">
                  <c:v>307</c:v>
                </c:pt>
                <c:pt idx="255" formatCode="0.00">
                  <c:v>307</c:v>
                </c:pt>
                <c:pt idx="256" formatCode="0.00">
                  <c:v>307</c:v>
                </c:pt>
                <c:pt idx="257" formatCode="0.00">
                  <c:v>307</c:v>
                </c:pt>
                <c:pt idx="258" formatCode="0.00">
                  <c:v>307</c:v>
                </c:pt>
                <c:pt idx="259" formatCode="0.00">
                  <c:v>307</c:v>
                </c:pt>
                <c:pt idx="260" formatCode="0.00">
                  <c:v>307</c:v>
                </c:pt>
                <c:pt idx="261" formatCode="0.00">
                  <c:v>307</c:v>
                </c:pt>
                <c:pt idx="262" formatCode="0.00">
                  <c:v>310</c:v>
                </c:pt>
                <c:pt idx="263" formatCode="0.00">
                  <c:v>310</c:v>
                </c:pt>
                <c:pt idx="264" formatCode="0.00">
                  <c:v>310</c:v>
                </c:pt>
                <c:pt idx="265" formatCode="0.00">
                  <c:v>310</c:v>
                </c:pt>
                <c:pt idx="266" formatCode="0.00">
                  <c:v>310</c:v>
                </c:pt>
                <c:pt idx="267" formatCode="0.00">
                  <c:v>310</c:v>
                </c:pt>
                <c:pt idx="268" formatCode="0.00">
                  <c:v>310</c:v>
                </c:pt>
                <c:pt idx="269" formatCode="0.00">
                  <c:v>310</c:v>
                </c:pt>
                <c:pt idx="270" formatCode="0.00">
                  <c:v>310</c:v>
                </c:pt>
                <c:pt idx="271" formatCode="0.00">
                  <c:v>310</c:v>
                </c:pt>
                <c:pt idx="272" formatCode="0.00">
                  <c:v>310</c:v>
                </c:pt>
                <c:pt idx="273" formatCode="0.00">
                  <c:v>310</c:v>
                </c:pt>
                <c:pt idx="274" formatCode="0.00">
                  <c:v>310</c:v>
                </c:pt>
                <c:pt idx="275" formatCode="0.00">
                  <c:v>310</c:v>
                </c:pt>
                <c:pt idx="276" formatCode="0.00">
                  <c:v>310</c:v>
                </c:pt>
                <c:pt idx="277" formatCode="0.00">
                  <c:v>310</c:v>
                </c:pt>
                <c:pt idx="278" formatCode="0.00">
                  <c:v>310</c:v>
                </c:pt>
                <c:pt idx="279" formatCode="0.00">
                  <c:v>310</c:v>
                </c:pt>
                <c:pt idx="280" formatCode="0.00">
                  <c:v>310</c:v>
                </c:pt>
                <c:pt idx="281" formatCode="0.00">
                  <c:v>310</c:v>
                </c:pt>
                <c:pt idx="282" formatCode="0.00">
                  <c:v>310</c:v>
                </c:pt>
                <c:pt idx="283" formatCode="0.00">
                  <c:v>310</c:v>
                </c:pt>
                <c:pt idx="284" formatCode="0.00">
                  <c:v>310</c:v>
                </c:pt>
                <c:pt idx="285" formatCode="0.00">
                  <c:v>310</c:v>
                </c:pt>
                <c:pt idx="286" formatCode="0.00">
                  <c:v>310</c:v>
                </c:pt>
                <c:pt idx="287" formatCode="0.00">
                  <c:v>313</c:v>
                </c:pt>
                <c:pt idx="288" formatCode="0.00">
                  <c:v>313</c:v>
                </c:pt>
                <c:pt idx="289" formatCode="0.00">
                  <c:v>313</c:v>
                </c:pt>
                <c:pt idx="290" formatCode="0.00">
                  <c:v>313</c:v>
                </c:pt>
                <c:pt idx="291" formatCode="0.00">
                  <c:v>313</c:v>
                </c:pt>
                <c:pt idx="292" formatCode="0.00">
                  <c:v>313</c:v>
                </c:pt>
                <c:pt idx="293" formatCode="0.00">
                  <c:v>313</c:v>
                </c:pt>
                <c:pt idx="294" formatCode="0.00">
                  <c:v>313</c:v>
                </c:pt>
                <c:pt idx="295" formatCode="0.00">
                  <c:v>313</c:v>
                </c:pt>
                <c:pt idx="296" formatCode="0.00">
                  <c:v>313</c:v>
                </c:pt>
                <c:pt idx="297" formatCode="0.00">
                  <c:v>313</c:v>
                </c:pt>
                <c:pt idx="298" formatCode="0.00">
                  <c:v>313</c:v>
                </c:pt>
                <c:pt idx="299" formatCode="0.00">
                  <c:v>313</c:v>
                </c:pt>
                <c:pt idx="300" formatCode="0.00">
                  <c:v>313</c:v>
                </c:pt>
                <c:pt idx="301" formatCode="0.00">
                  <c:v>313</c:v>
                </c:pt>
                <c:pt idx="302" formatCode="0.00">
                  <c:v>313</c:v>
                </c:pt>
                <c:pt idx="303" formatCode="0.00">
                  <c:v>313</c:v>
                </c:pt>
                <c:pt idx="304" formatCode="0.00">
                  <c:v>313</c:v>
                </c:pt>
                <c:pt idx="305" formatCode="0.00">
                  <c:v>313</c:v>
                </c:pt>
                <c:pt idx="306" formatCode="0.00">
                  <c:v>313</c:v>
                </c:pt>
                <c:pt idx="307" formatCode="0.00">
                  <c:v>320</c:v>
                </c:pt>
                <c:pt idx="308" formatCode="0.00">
                  <c:v>320</c:v>
                </c:pt>
                <c:pt idx="309" formatCode="0.00">
                  <c:v>320</c:v>
                </c:pt>
                <c:pt idx="310" formatCode="0.00">
                  <c:v>320</c:v>
                </c:pt>
                <c:pt idx="311" formatCode="0.00">
                  <c:v>320</c:v>
                </c:pt>
                <c:pt idx="312" formatCode="0.00">
                  <c:v>320</c:v>
                </c:pt>
                <c:pt idx="313" formatCode="0.00">
                  <c:v>320</c:v>
                </c:pt>
                <c:pt idx="314" formatCode="0.00">
                  <c:v>320</c:v>
                </c:pt>
                <c:pt idx="315" formatCode="0.00">
                  <c:v>320</c:v>
                </c:pt>
                <c:pt idx="316" formatCode="0.00">
                  <c:v>320</c:v>
                </c:pt>
                <c:pt idx="317" formatCode="0.00">
                  <c:v>320</c:v>
                </c:pt>
                <c:pt idx="318" formatCode="0.00">
                  <c:v>320</c:v>
                </c:pt>
                <c:pt idx="319" formatCode="0.00">
                  <c:v>320</c:v>
                </c:pt>
                <c:pt idx="320" formatCode="0.00">
                  <c:v>320</c:v>
                </c:pt>
                <c:pt idx="321" formatCode="0.00">
                  <c:v>320</c:v>
                </c:pt>
                <c:pt idx="322" formatCode="0.00">
                  <c:v>320</c:v>
                </c:pt>
                <c:pt idx="323" formatCode="0.00">
                  <c:v>320</c:v>
                </c:pt>
                <c:pt idx="324" formatCode="0.00">
                  <c:v>320</c:v>
                </c:pt>
                <c:pt idx="325" formatCode="0.00">
                  <c:v>320</c:v>
                </c:pt>
                <c:pt idx="326" formatCode="0.00">
                  <c:v>320</c:v>
                </c:pt>
                <c:pt idx="327" formatCode="0.00">
                  <c:v>320</c:v>
                </c:pt>
                <c:pt idx="328" formatCode="0.00">
                  <c:v>320</c:v>
                </c:pt>
                <c:pt idx="329" formatCode="0.00">
                  <c:v>320</c:v>
                </c:pt>
              </c:numCache>
            </c:numRef>
          </c:xVal>
          <c:yVal>
            <c:numRef>
              <c:f>'Err. rel.'!$X$4:$X$333</c:f>
              <c:numCache>
                <c:formatCode>0.00E+00</c:formatCode>
                <c:ptCount val="330"/>
                <c:pt idx="0">
                  <c:v>5.1949401283490546E-4</c:v>
                </c:pt>
                <c:pt idx="1">
                  <c:v>8.6362415076927691E-3</c:v>
                </c:pt>
                <c:pt idx="2">
                  <c:v>6.4293176886667212E-3</c:v>
                </c:pt>
                <c:pt idx="3">
                  <c:v>5.2922653541020179E-4</c:v>
                </c:pt>
                <c:pt idx="4">
                  <c:v>-2.1168501270131248E-3</c:v>
                </c:pt>
                <c:pt idx="5">
                  <c:v>8.8008370573880949E-3</c:v>
                </c:pt>
                <c:pt idx="6">
                  <c:v>7.0153011512863635E-3</c:v>
                </c:pt>
                <c:pt idx="7">
                  <c:v>7.701786814536705E-3</c:v>
                </c:pt>
                <c:pt idx="8">
                  <c:v>2.0763001868676419E-2</c:v>
                </c:pt>
                <c:pt idx="9">
                  <c:v>7.3187154190655886E-3</c:v>
                </c:pt>
                <c:pt idx="10">
                  <c:v>6.9476770441764275E-3</c:v>
                </c:pt>
                <c:pt idx="11">
                  <c:v>7.633216984596256E-3</c:v>
                </c:pt>
                <c:pt idx="12">
                  <c:v>9.532109592015588E-3</c:v>
                </c:pt>
                <c:pt idx="13">
                  <c:v>4.6692191731489549E-3</c:v>
                </c:pt>
                <c:pt idx="14">
                  <c:v>4.5813017441679697E-3</c:v>
                </c:pt>
                <c:pt idx="15">
                  <c:v>-1.7136932660407527E-3</c:v>
                </c:pt>
                <c:pt idx="16">
                  <c:v>8.5524177684953779E-4</c:v>
                </c:pt>
                <c:pt idx="17">
                  <c:v>-8.5367207041009592E-4</c:v>
                </c:pt>
                <c:pt idx="18">
                  <c:v>8.5213715999649814E-4</c:v>
                </c:pt>
                <c:pt idx="19">
                  <c:v>8.5061499465969269E-4</c:v>
                </c:pt>
                <c:pt idx="20">
                  <c:v>2.5474245537738154E-3</c:v>
                </c:pt>
                <c:pt idx="21">
                  <c:v>1.6982686151453131E-3</c:v>
                </c:pt>
                <c:pt idx="22">
                  <c:v>-8.4762284173956837E-4</c:v>
                </c:pt>
                <c:pt idx="23">
                  <c:v>-1.6924053310752537E-3</c:v>
                </c:pt>
                <c:pt idx="24">
                  <c:v>0</c:v>
                </c:pt>
                <c:pt idx="25">
                  <c:v>7.2809878844364356E-3</c:v>
                </c:pt>
                <c:pt idx="26">
                  <c:v>9.0971944252342136E-3</c:v>
                </c:pt>
                <c:pt idx="27">
                  <c:v>5.332385353710045E-3</c:v>
                </c:pt>
                <c:pt idx="28">
                  <c:v>-3.7876580618834417E-3</c:v>
                </c:pt>
                <c:pt idx="29">
                  <c:v>-2.5691750378893444E-3</c:v>
                </c:pt>
                <c:pt idx="30">
                  <c:v>2.5656156194771036E-3</c:v>
                </c:pt>
                <c:pt idx="31">
                  <c:v>6.1022628300130876E-3</c:v>
                </c:pt>
                <c:pt idx="32">
                  <c:v>5.2565393370977032E-3</c:v>
                </c:pt>
                <c:pt idx="33">
                  <c:v>9.2573213337052845E-3</c:v>
                </c:pt>
                <c:pt idx="34">
                  <c:v>5.6271001141509104E-3</c:v>
                </c:pt>
                <c:pt idx="35">
                  <c:v>1.0047908427372618E-2</c:v>
                </c:pt>
                <c:pt idx="36">
                  <c:v>4.6279584224217076E-3</c:v>
                </c:pt>
                <c:pt idx="37">
                  <c:v>-2.7541633769690172E-3</c:v>
                </c:pt>
                <c:pt idx="38">
                  <c:v>-2.7490905092206986E-3</c:v>
                </c:pt>
                <c:pt idx="39">
                  <c:v>-2.7409525723814964E-3</c:v>
                </c:pt>
                <c:pt idx="40">
                  <c:v>-1.8220578321139342E-3</c:v>
                </c:pt>
                <c:pt idx="41">
                  <c:v>-2.7255382938105492E-3</c:v>
                </c:pt>
                <c:pt idx="42">
                  <c:v>-2.7254887709837845E-3</c:v>
                </c:pt>
                <c:pt idx="43">
                  <c:v>-1.8120866177386797E-3</c:v>
                </c:pt>
                <c:pt idx="44">
                  <c:v>-5.4218663871549479E-3</c:v>
                </c:pt>
                <c:pt idx="45">
                  <c:v>-6.3093188639563339E-3</c:v>
                </c:pt>
                <c:pt idx="46">
                  <c:v>-4.4955134775453171E-3</c:v>
                </c:pt>
                <c:pt idx="47">
                  <c:v>-6.8466733154501607E-4</c:v>
                </c:pt>
                <c:pt idx="48">
                  <c:v>-4.6158614186490882E-3</c:v>
                </c:pt>
                <c:pt idx="49">
                  <c:v>4.7152462773087751E-3</c:v>
                </c:pt>
                <c:pt idx="50">
                  <c:v>-9.3962001766266653E-4</c:v>
                </c:pt>
                <c:pt idx="51">
                  <c:v>1.8789752069177657E-3</c:v>
                </c:pt>
                <c:pt idx="52">
                  <c:v>4.4951699399050716E-3</c:v>
                </c:pt>
                <c:pt idx="53">
                  <c:v>1.9916351324492029E-3</c:v>
                </c:pt>
                <c:pt idx="54">
                  <c:v>4.2078602830202096E-3</c:v>
                </c:pt>
                <c:pt idx="55">
                  <c:v>2.0028520613306735E-3</c:v>
                </c:pt>
                <c:pt idx="56">
                  <c:v>2.6681901509247488E-3</c:v>
                </c:pt>
                <c:pt idx="57">
                  <c:v>6.7047067041070109E-3</c:v>
                </c:pt>
                <c:pt idx="58">
                  <c:v>3.9917769395123358E-3</c:v>
                </c:pt>
                <c:pt idx="59">
                  <c:v>9.9256568303317206E-4</c:v>
                </c:pt>
                <c:pt idx="60">
                  <c:v>1.9850919593832131E-3</c:v>
                </c:pt>
                <c:pt idx="61">
                  <c:v>-9.8755678451421152E-4</c:v>
                </c:pt>
                <c:pt idx="62">
                  <c:v>-5.8968638512475911E-3</c:v>
                </c:pt>
                <c:pt idx="63">
                  <c:v>-5.8703819661923839E-3</c:v>
                </c:pt>
                <c:pt idx="64">
                  <c:v>-7.826563356023249E-3</c:v>
                </c:pt>
                <c:pt idx="65">
                  <c:v>-8.7662906902134605E-3</c:v>
                </c:pt>
                <c:pt idx="66">
                  <c:v>-1.9401464810575556E-3</c:v>
                </c:pt>
                <c:pt idx="67">
                  <c:v>-9.7004501008979144E-3</c:v>
                </c:pt>
                <c:pt idx="68">
                  <c:v>-3.2627246260428745E-3</c:v>
                </c:pt>
                <c:pt idx="69">
                  <c:v>-1.7563315753338817E-3</c:v>
                </c:pt>
                <c:pt idx="70">
                  <c:v>5.804432098513653E-3</c:v>
                </c:pt>
                <c:pt idx="71">
                  <c:v>-6.1571299564388085E-4</c:v>
                </c:pt>
                <c:pt idx="72">
                  <c:v>3.0751568330641504E-4</c:v>
                </c:pt>
                <c:pt idx="73">
                  <c:v>1.330849081718306E-3</c:v>
                </c:pt>
                <c:pt idx="74">
                  <c:v>4.9287548486510947E-4</c:v>
                </c:pt>
                <c:pt idx="75">
                  <c:v>-1.269462446124229E-3</c:v>
                </c:pt>
                <c:pt idx="76">
                  <c:v>1.3699756144308704E-3</c:v>
                </c:pt>
                <c:pt idx="77">
                  <c:v>-5.2261166469732688E-4</c:v>
                </c:pt>
                <c:pt idx="78">
                  <c:v>2.9607801133100841E-3</c:v>
                </c:pt>
                <c:pt idx="79">
                  <c:v>-6.8663586876244523E-4</c:v>
                </c:pt>
                <c:pt idx="80">
                  <c:v>-1.7614549617943403E-3</c:v>
                </c:pt>
                <c:pt idx="81">
                  <c:v>-2.6551962190006846E-3</c:v>
                </c:pt>
                <c:pt idx="82">
                  <c:v>0</c:v>
                </c:pt>
                <c:pt idx="83">
                  <c:v>-3.5372874311377584E-3</c:v>
                </c:pt>
                <c:pt idx="84">
                  <c:v>-1.7671903440803979E-3</c:v>
                </c:pt>
                <c:pt idx="85">
                  <c:v>2.5114480172118855E-3</c:v>
                </c:pt>
                <c:pt idx="86">
                  <c:v>6.5952728381895691E-3</c:v>
                </c:pt>
                <c:pt idx="87">
                  <c:v>3.6208269968905143E-3</c:v>
                </c:pt>
                <c:pt idx="88">
                  <c:v>6.1083208904673218E-3</c:v>
                </c:pt>
                <c:pt idx="89">
                  <c:v>4.4069639069641633E-3</c:v>
                </c:pt>
                <c:pt idx="90">
                  <c:v>7.545495395559338E-3</c:v>
                </c:pt>
                <c:pt idx="91">
                  <c:v>7.4958828583711421E-3</c:v>
                </c:pt>
                <c:pt idx="92">
                  <c:v>7.0481624433616575E-3</c:v>
                </c:pt>
                <c:pt idx="93">
                  <c:v>4.0897535094418999E-3</c:v>
                </c:pt>
                <c:pt idx="94">
                  <c:v>-4.2656143359627672E-3</c:v>
                </c:pt>
                <c:pt idx="95">
                  <c:v>-4.4840989476519696E-3</c:v>
                </c:pt>
                <c:pt idx="96">
                  <c:v>-7.0422306319756888E-3</c:v>
                </c:pt>
                <c:pt idx="97">
                  <c:v>-8.3420636098599059E-3</c:v>
                </c:pt>
                <c:pt idx="98">
                  <c:v>-1.2781625393118565E-2</c:v>
                </c:pt>
                <c:pt idx="99">
                  <c:v>-1.4499976370407902E-2</c:v>
                </c:pt>
                <c:pt idx="100">
                  <c:v>-1.1521685457995231E-2</c:v>
                </c:pt>
                <c:pt idx="101">
                  <c:v>-2.2231953380277874E-2</c:v>
                </c:pt>
                <c:pt idx="102">
                  <c:v>-2.5259993099724751E-2</c:v>
                </c:pt>
                <c:pt idx="103">
                  <c:v>-2.9332566775594933E-2</c:v>
                </c:pt>
                <c:pt idx="104">
                  <c:v>7.5984555984557112E-2</c:v>
                </c:pt>
                <c:pt idx="105">
                  <c:v>6.2866645954796491E-2</c:v>
                </c:pt>
                <c:pt idx="106">
                  <c:v>3.9201574735605586E-2</c:v>
                </c:pt>
                <c:pt idx="107">
                  <c:v>3.6220401140939489E-2</c:v>
                </c:pt>
                <c:pt idx="108">
                  <c:v>1.6270535698609982E-2</c:v>
                </c:pt>
                <c:pt idx="109">
                  <c:v>1.0726371418483139E-2</c:v>
                </c:pt>
                <c:pt idx="110">
                  <c:v>-2.0256887341707604E-2</c:v>
                </c:pt>
                <c:pt idx="111">
                  <c:v>-4.0722224310539998E-2</c:v>
                </c:pt>
                <c:pt idx="112">
                  <c:v>-6.0549500605499934E-2</c:v>
                </c:pt>
                <c:pt idx="113">
                  <c:v>-6.996623368722317E-2</c:v>
                </c:pt>
                <c:pt idx="114">
                  <c:v>-7.3242069859450018E-2</c:v>
                </c:pt>
                <c:pt idx="115">
                  <c:v>-6.1570176318737811E-2</c:v>
                </c:pt>
                <c:pt idx="116">
                  <c:v>-6.4577743417161271E-2</c:v>
                </c:pt>
                <c:pt idx="117">
                  <c:v>-4.8610867813470029E-2</c:v>
                </c:pt>
                <c:pt idx="118">
                  <c:v>7.2111001588903351E-2</c:v>
                </c:pt>
                <c:pt idx="119">
                  <c:v>0.14965045543441138</c:v>
                </c:pt>
                <c:pt idx="120">
                  <c:v>0.1819430997586779</c:v>
                </c:pt>
                <c:pt idx="121">
                  <c:v>0.18345252936159367</c:v>
                </c:pt>
                <c:pt idx="122">
                  <c:v>0.16522736134220103</c:v>
                </c:pt>
                <c:pt idx="123">
                  <c:v>0.14216971493896671</c:v>
                </c:pt>
                <c:pt idx="124">
                  <c:v>0.10065822584943095</c:v>
                </c:pt>
                <c:pt idx="125">
                  <c:v>-3.9790437031501395E-3</c:v>
                </c:pt>
                <c:pt idx="126">
                  <c:v>-2.7546691642269558E-3</c:v>
                </c:pt>
                <c:pt idx="127">
                  <c:v>-3.2292092743006306E-3</c:v>
                </c:pt>
                <c:pt idx="128">
                  <c:v>-4.8396463831596572E-3</c:v>
                </c:pt>
                <c:pt idx="129">
                  <c:v>-3.1373314555874308E-3</c:v>
                </c:pt>
                <c:pt idx="130">
                  <c:v>-5.0726916716429908E-4</c:v>
                </c:pt>
                <c:pt idx="131">
                  <c:v>-9.8146984925091742E-4</c:v>
                </c:pt>
                <c:pt idx="132">
                  <c:v>-2.5510554501347606E-3</c:v>
                </c:pt>
                <c:pt idx="133">
                  <c:v>-2.2088882507604684E-3</c:v>
                </c:pt>
                <c:pt idx="134">
                  <c:v>1.2975520381831781E-4</c:v>
                </c:pt>
                <c:pt idx="135">
                  <c:v>-4.5617811800429866E-3</c:v>
                </c:pt>
                <c:pt idx="136">
                  <c:v>-2.3882696877575971E-3</c:v>
                </c:pt>
                <c:pt idx="137">
                  <c:v>-4.5869034731991385E-3</c:v>
                </c:pt>
                <c:pt idx="138">
                  <c:v>-1.5574504536060282E-2</c:v>
                </c:pt>
                <c:pt idx="139">
                  <c:v>-2.02449640651748E-2</c:v>
                </c:pt>
                <c:pt idx="140">
                  <c:v>-1.4759688958980071E-2</c:v>
                </c:pt>
                <c:pt idx="141">
                  <c:v>-3.2241932936783832E-2</c:v>
                </c:pt>
                <c:pt idx="142">
                  <c:v>-6.574838094612169E-2</c:v>
                </c:pt>
                <c:pt idx="143">
                  <c:v>-8.111239860950481E-2</c:v>
                </c:pt>
                <c:pt idx="144">
                  <c:v>-5.8326550332772356E-2</c:v>
                </c:pt>
                <c:pt idx="145">
                  <c:v>-5.9193231079926391E-2</c:v>
                </c:pt>
                <c:pt idx="146">
                  <c:v>-6.0902929430899692E-2</c:v>
                </c:pt>
                <c:pt idx="147">
                  <c:v>-5.9553824485750743E-2</c:v>
                </c:pt>
                <c:pt idx="148">
                  <c:v>-4.4176487169881637E-2</c:v>
                </c:pt>
                <c:pt idx="149">
                  <c:v>-8.170869216990211E-4</c:v>
                </c:pt>
                <c:pt idx="150">
                  <c:v>-1.7554029670395075E-2</c:v>
                </c:pt>
                <c:pt idx="151">
                  <c:v>3.7797954185731127E-2</c:v>
                </c:pt>
                <c:pt idx="152">
                  <c:v>4.0927318591622096E-2</c:v>
                </c:pt>
                <c:pt idx="153">
                  <c:v>4.6726770119997395E-2</c:v>
                </c:pt>
                <c:pt idx="154">
                  <c:v>4.3941040539531157E-2</c:v>
                </c:pt>
                <c:pt idx="155">
                  <c:v>9.6524357078839537E-2</c:v>
                </c:pt>
                <c:pt idx="156">
                  <c:v>0.14007184330027869</c:v>
                </c:pt>
                <c:pt idx="157">
                  <c:v>0.16146736748248891</c:v>
                </c:pt>
                <c:pt idx="158">
                  <c:v>0.15743202563787984</c:v>
                </c:pt>
                <c:pt idx="159">
                  <c:v>-0.66075079385791802</c:v>
                </c:pt>
                <c:pt idx="160">
                  <c:v>-0.35429253909176323</c:v>
                </c:pt>
                <c:pt idx="161">
                  <c:v>-0.18503563281902019</c:v>
                </c:pt>
                <c:pt idx="162">
                  <c:v>3.6014238834197472E-2</c:v>
                </c:pt>
                <c:pt idx="163">
                  <c:v>0.17455150149499327</c:v>
                </c:pt>
                <c:pt idx="164">
                  <c:v>0.17847470479904448</c:v>
                </c:pt>
                <c:pt idx="165">
                  <c:v>0.20417835470479909</c:v>
                </c:pt>
                <c:pt idx="166">
                  <c:v>0.16947178307612651</c:v>
                </c:pt>
                <c:pt idx="167">
                  <c:v>-1.6107987951233253E-2</c:v>
                </c:pt>
                <c:pt idx="168">
                  <c:v>-3.0218534950470943E-2</c:v>
                </c:pt>
                <c:pt idx="169">
                  <c:v>-6.6296800307061379E-2</c:v>
                </c:pt>
                <c:pt idx="170">
                  <c:v>-0.10606907989894454</c:v>
                </c:pt>
                <c:pt idx="171">
                  <c:v>-0.10951499869729721</c:v>
                </c:pt>
                <c:pt idx="172">
                  <c:v>-4.3589042507235866E-2</c:v>
                </c:pt>
                <c:pt idx="173">
                  <c:v>7.3418172110007091E-2</c:v>
                </c:pt>
                <c:pt idx="174">
                  <c:v>0.18874845528975476</c:v>
                </c:pt>
                <c:pt idx="175">
                  <c:v>0.38100880508283153</c:v>
                </c:pt>
                <c:pt idx="176">
                  <c:v>0.696463784205962</c:v>
                </c:pt>
                <c:pt idx="177">
                  <c:v>0.80887244899583199</c:v>
                </c:pt>
                <c:pt idx="178">
                  <c:v>1.0664720128421969</c:v>
                </c:pt>
                <c:pt idx="179">
                  <c:v>1.1160069566072246</c:v>
                </c:pt>
                <c:pt idx="180">
                  <c:v>1.1930009002640409</c:v>
                </c:pt>
                <c:pt idx="181">
                  <c:v>1.2583174122142429</c:v>
                </c:pt>
                <c:pt idx="182">
                  <c:v>-42.585996446407194</c:v>
                </c:pt>
                <c:pt idx="183">
                  <c:v>-42.539461134756252</c:v>
                </c:pt>
                <c:pt idx="184">
                  <c:v>-3.5077458844796663</c:v>
                </c:pt>
                <c:pt idx="185">
                  <c:v>-3.2335907335907299</c:v>
                </c:pt>
                <c:pt idx="186">
                  <c:v>-3.1081462576430874</c:v>
                </c:pt>
                <c:pt idx="187">
                  <c:v>-2.6391370081053265</c:v>
                </c:pt>
                <c:pt idx="188">
                  <c:v>-2.2258097918686657</c:v>
                </c:pt>
                <c:pt idx="189">
                  <c:v>-2.1910022589913165</c:v>
                </c:pt>
                <c:pt idx="190">
                  <c:v>-2.1573381722616682</c:v>
                </c:pt>
                <c:pt idx="191">
                  <c:v>-1.5616539766348478</c:v>
                </c:pt>
                <c:pt idx="192">
                  <c:v>-1.0457894713161464</c:v>
                </c:pt>
                <c:pt idx="193">
                  <c:v>-0.68506606205180587</c:v>
                </c:pt>
                <c:pt idx="194">
                  <c:v>-0.26999345601736224</c:v>
                </c:pt>
                <c:pt idx="195">
                  <c:v>-3.6885972690192004E-2</c:v>
                </c:pt>
                <c:pt idx="196">
                  <c:v>-3.92975248234156E-2</c:v>
                </c:pt>
                <c:pt idx="197">
                  <c:v>8.9585447186508613E-2</c:v>
                </c:pt>
                <c:pt idx="198">
                  <c:v>0.15888485196515678</c:v>
                </c:pt>
                <c:pt idx="199">
                  <c:v>0.15746879606066846</c:v>
                </c:pt>
                <c:pt idx="200">
                  <c:v>0.19452278441960605</c:v>
                </c:pt>
                <c:pt idx="201">
                  <c:v>0.2168569798474333</c:v>
                </c:pt>
                <c:pt idx="202">
                  <c:v>0.21436632853735024</c:v>
                </c:pt>
                <c:pt idx="203">
                  <c:v>0.2217125587102857</c:v>
                </c:pt>
                <c:pt idx="204">
                  <c:v>-0.10776611277201485</c:v>
                </c:pt>
                <c:pt idx="205">
                  <c:v>-0.12362294126157242</c:v>
                </c:pt>
                <c:pt idx="206">
                  <c:v>-7.8029072761121213E-2</c:v>
                </c:pt>
                <c:pt idx="207">
                  <c:v>1.8659431782966373E-3</c:v>
                </c:pt>
                <c:pt idx="208">
                  <c:v>0.37258366587913744</c:v>
                </c:pt>
                <c:pt idx="209">
                  <c:v>0.9147523647259197</c:v>
                </c:pt>
                <c:pt idx="210">
                  <c:v>0.40252567181455473</c:v>
                </c:pt>
                <c:pt idx="211">
                  <c:v>-2.0319691292324511</c:v>
                </c:pt>
                <c:pt idx="212">
                  <c:v>-12.640840585862883</c:v>
                </c:pt>
                <c:pt idx="213">
                  <c:v>-17.943647459776489</c:v>
                </c:pt>
                <c:pt idx="214">
                  <c:v>-3.6164764820484456</c:v>
                </c:pt>
                <c:pt idx="215">
                  <c:v>-2.6875713383110167</c:v>
                </c:pt>
                <c:pt idx="216">
                  <c:v>-2.3213740011313568</c:v>
                </c:pt>
                <c:pt idx="217">
                  <c:v>-9.0871708438886006E-2</c:v>
                </c:pt>
                <c:pt idx="218">
                  <c:v>-0.11383372177777944</c:v>
                </c:pt>
                <c:pt idx="219">
                  <c:v>-9.6721750046308577E-2</c:v>
                </c:pt>
                <c:pt idx="220">
                  <c:v>2.2499511281099532E-2</c:v>
                </c:pt>
                <c:pt idx="221">
                  <c:v>0.32253135629251822</c:v>
                </c:pt>
                <c:pt idx="222">
                  <c:v>0.79126755597345033</c:v>
                </c:pt>
                <c:pt idx="223">
                  <c:v>0.57075435752032611</c:v>
                </c:pt>
                <c:pt idx="224">
                  <c:v>-0.96490712092514364</c:v>
                </c:pt>
                <c:pt idx="225">
                  <c:v>-1.9723443027119654</c:v>
                </c:pt>
                <c:pt idx="226">
                  <c:v>-1.8017782369776554</c:v>
                </c:pt>
                <c:pt idx="227">
                  <c:v>-1.5347198926534678</c:v>
                </c:pt>
                <c:pt idx="228">
                  <c:v>-1.5213937882297011</c:v>
                </c:pt>
                <c:pt idx="229">
                  <c:v>-2.0474201025690499</c:v>
                </c:pt>
                <c:pt idx="230">
                  <c:v>-1.6289373507559461</c:v>
                </c:pt>
                <c:pt idx="231">
                  <c:v>-1.2651563250073492</c:v>
                </c:pt>
                <c:pt idx="232">
                  <c:v>-0.93627858928345875</c:v>
                </c:pt>
                <c:pt idx="233">
                  <c:v>-0.47155131788368249</c:v>
                </c:pt>
                <c:pt idx="234">
                  <c:v>-0.17902646194055113</c:v>
                </c:pt>
                <c:pt idx="235">
                  <c:v>-9.9943032470751082E-4</c:v>
                </c:pt>
                <c:pt idx="236">
                  <c:v>0.10291194341673206</c:v>
                </c:pt>
                <c:pt idx="237">
                  <c:v>0.11037108052443041</c:v>
                </c:pt>
                <c:pt idx="238">
                  <c:v>0.16484685935432133</c:v>
                </c:pt>
                <c:pt idx="239">
                  <c:v>-1.1718226864868583E-2</c:v>
                </c:pt>
                <c:pt idx="240">
                  <c:v>-4.769101179268543E-2</c:v>
                </c:pt>
                <c:pt idx="241">
                  <c:v>-8.5006626292919829E-2</c:v>
                </c:pt>
                <c:pt idx="242">
                  <c:v>-0.11546356483065107</c:v>
                </c:pt>
                <c:pt idx="243">
                  <c:v>-0.13117236400771268</c:v>
                </c:pt>
                <c:pt idx="244">
                  <c:v>-0.12265964983301175</c:v>
                </c:pt>
                <c:pt idx="245">
                  <c:v>27.987715378214894</c:v>
                </c:pt>
                <c:pt idx="246">
                  <c:v>0.11724383720427817</c:v>
                </c:pt>
                <c:pt idx="247">
                  <c:v>0.32446653883760562</c:v>
                </c:pt>
                <c:pt idx="248">
                  <c:v>0.36303233247540601</c:v>
                </c:pt>
                <c:pt idx="249">
                  <c:v>8.008902304607822E-2</c:v>
                </c:pt>
                <c:pt idx="250">
                  <c:v>-0.81721484987963611</c:v>
                </c:pt>
                <c:pt idx="251">
                  <c:v>-0.88996957313213709</c:v>
                </c:pt>
                <c:pt idx="252">
                  <c:v>-0.35818182182205976</c:v>
                </c:pt>
                <c:pt idx="253">
                  <c:v>-0.71727956299867346</c:v>
                </c:pt>
                <c:pt idx="254">
                  <c:v>-1.240690928452379</c:v>
                </c:pt>
                <c:pt idx="255">
                  <c:v>-1.2785734983309698</c:v>
                </c:pt>
                <c:pt idx="256">
                  <c:v>-0.90792376943177988</c:v>
                </c:pt>
                <c:pt idx="257">
                  <c:v>-0.72520670700725764</c:v>
                </c:pt>
                <c:pt idx="258">
                  <c:v>-0.55146025276908095</c:v>
                </c:pt>
                <c:pt idx="259">
                  <c:v>-0.55321190916573715</c:v>
                </c:pt>
                <c:pt idx="260">
                  <c:v>-0.27439916684865556</c:v>
                </c:pt>
                <c:pt idx="261">
                  <c:v>-8.2876152678881695E-2</c:v>
                </c:pt>
                <c:pt idx="262">
                  <c:v>-3.418913688556139E-2</c:v>
                </c:pt>
                <c:pt idx="263">
                  <c:v>-6.5790940921962471E-2</c:v>
                </c:pt>
                <c:pt idx="264">
                  <c:v>-0.1149949630305403</c:v>
                </c:pt>
                <c:pt idx="265">
                  <c:v>-0.11816572624465299</c:v>
                </c:pt>
                <c:pt idx="266">
                  <c:v>-0.13898540653231098</c:v>
                </c:pt>
                <c:pt idx="267">
                  <c:v>-0.13852990121445499</c:v>
                </c:pt>
                <c:pt idx="268">
                  <c:v>-0.15316702597270049</c:v>
                </c:pt>
                <c:pt idx="269">
                  <c:v>-0.14432903998519117</c:v>
                </c:pt>
                <c:pt idx="270">
                  <c:v>-0.1309741154737076</c:v>
                </c:pt>
                <c:pt idx="271">
                  <c:v>-9.9872670924696288E-2</c:v>
                </c:pt>
                <c:pt idx="272">
                  <c:v>-7.296571584230517E-2</c:v>
                </c:pt>
                <c:pt idx="273">
                  <c:v>-7.437097093740079E-2</c:v>
                </c:pt>
                <c:pt idx="274">
                  <c:v>-7.2443475825794607E-2</c:v>
                </c:pt>
                <c:pt idx="275">
                  <c:v>-7.8494607298775831E-2</c:v>
                </c:pt>
                <c:pt idx="276">
                  <c:v>-0.21063896651011099</c:v>
                </c:pt>
                <c:pt idx="277">
                  <c:v>-0.62355131269867548</c:v>
                </c:pt>
                <c:pt idx="278">
                  <c:v>-1.1173615758659206</c:v>
                </c:pt>
                <c:pt idx="279">
                  <c:v>-0.61589532307121519</c:v>
                </c:pt>
                <c:pt idx="280">
                  <c:v>-0.52803731463689718</c:v>
                </c:pt>
                <c:pt idx="281">
                  <c:v>-5.7325013459767732E-2</c:v>
                </c:pt>
                <c:pt idx="282">
                  <c:v>-0.20855267005908865</c:v>
                </c:pt>
                <c:pt idx="283">
                  <c:v>-0.41867266039476442</c:v>
                </c:pt>
                <c:pt idx="284">
                  <c:v>-0.53670333629613776</c:v>
                </c:pt>
                <c:pt idx="285">
                  <c:v>-0.53827202446691136</c:v>
                </c:pt>
                <c:pt idx="286">
                  <c:v>-0.5775009986921753</c:v>
                </c:pt>
                <c:pt idx="287">
                  <c:v>-8.5580019850519121E-2</c:v>
                </c:pt>
                <c:pt idx="288">
                  <c:v>-9.0667768112135075E-2</c:v>
                </c:pt>
                <c:pt idx="289">
                  <c:v>-0.10992239100152533</c:v>
                </c:pt>
                <c:pt idx="290">
                  <c:v>-0.11133536105821353</c:v>
                </c:pt>
                <c:pt idx="291">
                  <c:v>-0.1320228839665655</c:v>
                </c:pt>
                <c:pt idx="292">
                  <c:v>-0.15604713871966444</c:v>
                </c:pt>
                <c:pt idx="293">
                  <c:v>-0.172938759560961</c:v>
                </c:pt>
                <c:pt idx="294">
                  <c:v>-0.17761658648474637</c:v>
                </c:pt>
                <c:pt idx="295">
                  <c:v>27.04592678812568</c:v>
                </c:pt>
                <c:pt idx="296">
                  <c:v>-0.19088865854534381</c:v>
                </c:pt>
                <c:pt idx="297">
                  <c:v>-0.20844718301793574</c:v>
                </c:pt>
                <c:pt idx="298">
                  <c:v>-0.24562212843419351</c:v>
                </c:pt>
                <c:pt idx="299">
                  <c:v>-0.3446239258187323</c:v>
                </c:pt>
                <c:pt idx="300">
                  <c:v>-0.53082993379255816</c:v>
                </c:pt>
                <c:pt idx="301">
                  <c:v>-0.81355132840748778</c:v>
                </c:pt>
                <c:pt idx="302">
                  <c:v>-1.1277101836165442</c:v>
                </c:pt>
                <c:pt idx="303">
                  <c:v>-1.1921715518149292</c:v>
                </c:pt>
                <c:pt idx="304">
                  <c:v>-1.2084654341828998</c:v>
                </c:pt>
                <c:pt idx="305">
                  <c:v>-0.77543762798250704</c:v>
                </c:pt>
                <c:pt idx="306">
                  <c:v>-0.12634762375497052</c:v>
                </c:pt>
                <c:pt idx="307">
                  <c:v>-3.4303694153166673E-3</c:v>
                </c:pt>
                <c:pt idx="308">
                  <c:v>-2.1198916499857619E-3</c:v>
                </c:pt>
                <c:pt idx="309">
                  <c:v>-2.8969385153701983E-3</c:v>
                </c:pt>
                <c:pt idx="310">
                  <c:v>-5.2936060800857941E-3</c:v>
                </c:pt>
                <c:pt idx="311">
                  <c:v>-2.4948163260820715E-3</c:v>
                </c:pt>
                <c:pt idx="312">
                  <c:v>-3.8951849022696165E-3</c:v>
                </c:pt>
                <c:pt idx="313">
                  <c:v>-6.5009110060459084E-3</c:v>
                </c:pt>
                <c:pt idx="314">
                  <c:v>-6.1563086773131475E-3</c:v>
                </c:pt>
                <c:pt idx="315">
                  <c:v>-7.3254706614833383E-3</c:v>
                </c:pt>
                <c:pt idx="316">
                  <c:v>-5.725879731626006E-3</c:v>
                </c:pt>
                <c:pt idx="317">
                  <c:v>-7.8276879261674776E-3</c:v>
                </c:pt>
                <c:pt idx="318">
                  <c:v>-9.3250526865524489E-3</c:v>
                </c:pt>
                <c:pt idx="319">
                  <c:v>-9.8011189610817621E-3</c:v>
                </c:pt>
                <c:pt idx="320">
                  <c:v>-1.5809481377163766E-2</c:v>
                </c:pt>
                <c:pt idx="321">
                  <c:v>-2.5358023595653926E-2</c:v>
                </c:pt>
                <c:pt idx="322">
                  <c:v>-4.3627089066381942E-2</c:v>
                </c:pt>
                <c:pt idx="323">
                  <c:v>-4.2505592841175513E-2</c:v>
                </c:pt>
                <c:pt idx="324">
                  <c:v>-7.1839080459763519E-2</c:v>
                </c:pt>
                <c:pt idx="325">
                  <c:v>-0.11205061239970147</c:v>
                </c:pt>
                <c:pt idx="326">
                  <c:v>-0.1193451098664312</c:v>
                </c:pt>
                <c:pt idx="327">
                  <c:v>-0.16469076231044105</c:v>
                </c:pt>
                <c:pt idx="328">
                  <c:v>-0.21806261914308583</c:v>
                </c:pt>
                <c:pt idx="329">
                  <c:v>-0.31559618989327398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98-4D05-8E50-F0D823FC9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Corr. Eq.</c:v>
                </c:tx>
                <c:spPr>
                  <a:ln w="19050">
                    <a:solidFill>
                      <a:srgbClr val="0070C0"/>
                    </a:solidFill>
                    <a:prstDash val="lgDash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'Err. rel.'!$B$4:$B$87</c15:sqref>
                        </c15:formulaRef>
                      </c:ext>
                    </c:extLst>
                    <c:numCache>
                      <c:formatCode>0.00</c:formatCode>
                      <c:ptCount val="84"/>
                      <c:pt idx="0">
                        <c:v>170.11</c:v>
                      </c:pt>
                      <c:pt idx="1">
                        <c:v>171.81</c:v>
                      </c:pt>
                      <c:pt idx="2">
                        <c:v>172.14</c:v>
                      </c:pt>
                      <c:pt idx="3">
                        <c:v>173.59</c:v>
                      </c:pt>
                      <c:pt idx="4">
                        <c:v>175.34</c:v>
                      </c:pt>
                      <c:pt idx="5">
                        <c:v>177.2</c:v>
                      </c:pt>
                      <c:pt idx="6">
                        <c:v>179.2</c:v>
                      </c:pt>
                      <c:pt idx="7">
                        <c:v>179.73</c:v>
                      </c:pt>
                      <c:pt idx="8">
                        <c:v>180.95</c:v>
                      </c:pt>
                      <c:pt idx="9">
                        <c:v>183.02</c:v>
                      </c:pt>
                      <c:pt idx="10">
                        <c:v>184.37</c:v>
                      </c:pt>
                      <c:pt idx="11">
                        <c:v>185.23</c:v>
                      </c:pt>
                      <c:pt idx="12">
                        <c:v>187.25</c:v>
                      </c:pt>
                      <c:pt idx="13">
                        <c:v>187.69</c:v>
                      </c:pt>
                      <c:pt idx="14">
                        <c:v>189.88</c:v>
                      </c:pt>
                      <c:pt idx="15">
                        <c:v>192.79</c:v>
                      </c:pt>
                      <c:pt idx="16">
                        <c:v>192.94</c:v>
                      </c:pt>
                      <c:pt idx="17">
                        <c:v>194.54</c:v>
                      </c:pt>
                      <c:pt idx="18">
                        <c:v>196.76</c:v>
                      </c:pt>
                      <c:pt idx="19">
                        <c:v>197.47</c:v>
                      </c:pt>
                      <c:pt idx="20">
                        <c:v>199.29</c:v>
                      </c:pt>
                      <c:pt idx="21">
                        <c:v>201.74</c:v>
                      </c:pt>
                      <c:pt idx="22">
                        <c:v>202.82</c:v>
                      </c:pt>
                      <c:pt idx="23">
                        <c:v>203.8</c:v>
                      </c:pt>
                      <c:pt idx="24">
                        <c:v>205.24</c:v>
                      </c:pt>
                      <c:pt idx="25">
                        <c:v>207.03</c:v>
                      </c:pt>
                      <c:pt idx="26">
                        <c:v>207.22</c:v>
                      </c:pt>
                      <c:pt idx="27">
                        <c:v>207.61</c:v>
                      </c:pt>
                      <c:pt idx="28">
                        <c:v>207.98</c:v>
                      </c:pt>
                      <c:pt idx="29">
                        <c:v>208.44</c:v>
                      </c:pt>
                      <c:pt idx="30">
                        <c:v>209.3</c:v>
                      </c:pt>
                      <c:pt idx="31">
                        <c:v>210.73</c:v>
                      </c:pt>
                      <c:pt idx="32">
                        <c:v>210.93</c:v>
                      </c:pt>
                      <c:pt idx="33">
                        <c:v>211.11</c:v>
                      </c:pt>
                      <c:pt idx="34">
                        <c:v>211.23</c:v>
                      </c:pt>
                      <c:pt idx="35">
                        <c:v>211.29</c:v>
                      </c:pt>
                      <c:pt idx="36">
                        <c:v>213.19</c:v>
                      </c:pt>
                      <c:pt idx="37">
                        <c:v>213.27</c:v>
                      </c:pt>
                      <c:pt idx="38">
                        <c:v>213.28</c:v>
                      </c:pt>
                      <c:pt idx="39">
                        <c:v>213.31</c:v>
                      </c:pt>
                      <c:pt idx="40">
                        <c:v>213.34</c:v>
                      </c:pt>
                      <c:pt idx="41">
                        <c:v>213.34</c:v>
                      </c:pt>
                      <c:pt idx="42">
                        <c:v>213.35</c:v>
                      </c:pt>
                      <c:pt idx="43">
                        <c:v>213.39</c:v>
                      </c:pt>
                      <c:pt idx="44">
                        <c:v>213.41</c:v>
                      </c:pt>
                      <c:pt idx="45">
                        <c:v>213.43</c:v>
                      </c:pt>
                      <c:pt idx="46">
                        <c:v>213.47</c:v>
                      </c:pt>
                      <c:pt idx="47">
                        <c:v>213.51</c:v>
                      </c:pt>
                      <c:pt idx="48">
                        <c:v>213.54</c:v>
                      </c:pt>
                      <c:pt idx="49">
                        <c:v>213.68</c:v>
                      </c:pt>
                      <c:pt idx="50">
                        <c:v>213.7</c:v>
                      </c:pt>
                      <c:pt idx="51">
                        <c:v>213.73</c:v>
                      </c:pt>
                      <c:pt idx="52">
                        <c:v>213.8</c:v>
                      </c:pt>
                      <c:pt idx="53">
                        <c:v>213.85</c:v>
                      </c:pt>
                      <c:pt idx="54">
                        <c:v>213.92</c:v>
                      </c:pt>
                      <c:pt idx="55">
                        <c:v>214.17</c:v>
                      </c:pt>
                      <c:pt idx="56">
                        <c:v>214.23</c:v>
                      </c:pt>
                      <c:pt idx="57">
                        <c:v>214.34</c:v>
                      </c:pt>
                      <c:pt idx="58">
                        <c:v>214.37</c:v>
                      </c:pt>
                      <c:pt idx="59">
                        <c:v>214.39</c:v>
                      </c:pt>
                      <c:pt idx="60">
                        <c:v>214.39</c:v>
                      </c:pt>
                      <c:pt idx="61">
                        <c:v>214.4</c:v>
                      </c:pt>
                      <c:pt idx="62">
                        <c:v>214.46</c:v>
                      </c:pt>
                      <c:pt idx="63">
                        <c:v>214.52</c:v>
                      </c:pt>
                      <c:pt idx="64">
                        <c:v>214.56</c:v>
                      </c:pt>
                      <c:pt idx="65">
                        <c:v>214.62</c:v>
                      </c:pt>
                      <c:pt idx="66">
                        <c:v>214.74</c:v>
                      </c:pt>
                      <c:pt idx="67">
                        <c:v>214.85</c:v>
                      </c:pt>
                      <c:pt idx="68">
                        <c:v>214.91</c:v>
                      </c:pt>
                      <c:pt idx="69">
                        <c:v>215.01</c:v>
                      </c:pt>
                      <c:pt idx="70">
                        <c:v>215.31</c:v>
                      </c:pt>
                      <c:pt idx="71">
                        <c:v>215.6</c:v>
                      </c:pt>
                      <c:pt idx="72">
                        <c:v>216.19</c:v>
                      </c:pt>
                      <c:pt idx="73">
                        <c:v>216.33</c:v>
                      </c:pt>
                      <c:pt idx="74">
                        <c:v>216.38</c:v>
                      </c:pt>
                      <c:pt idx="75">
                        <c:v>216.45</c:v>
                      </c:pt>
                      <c:pt idx="76">
                        <c:v>216.48</c:v>
                      </c:pt>
                      <c:pt idx="77">
                        <c:v>216.49</c:v>
                      </c:pt>
                      <c:pt idx="78">
                        <c:v>216.53</c:v>
                      </c:pt>
                      <c:pt idx="79">
                        <c:v>216.58</c:v>
                      </c:pt>
                      <c:pt idx="80">
                        <c:v>216.58</c:v>
                      </c:pt>
                      <c:pt idx="81">
                        <c:v>216.59</c:v>
                      </c:pt>
                      <c:pt idx="82">
                        <c:v>216.59</c:v>
                      </c:pt>
                      <c:pt idx="83">
                        <c:v>216.59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'Err. rel.'!$H$4:$H$87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0.39682539682539786</c:v>
                      </c:pt>
                      <c:pt idx="1">
                        <c:v>0.41356492969395947</c:v>
                      </c:pt>
                      <c:pt idx="2">
                        <c:v>0.43964828137489603</c:v>
                      </c:pt>
                      <c:pt idx="3">
                        <c:v>0.41208791208790724</c:v>
                      </c:pt>
                      <c:pt idx="4">
                        <c:v>0.40206777713957853</c:v>
                      </c:pt>
                      <c:pt idx="5">
                        <c:v>0.42918454935622224</c:v>
                      </c:pt>
                      <c:pt idx="6">
                        <c:v>0.3920031360250858</c:v>
                      </c:pt>
                      <c:pt idx="7">
                        <c:v>0.40968342644321215</c:v>
                      </c:pt>
                      <c:pt idx="8">
                        <c:v>0.39774610540272476</c:v>
                      </c:pt>
                      <c:pt idx="9">
                        <c:v>0.38209606986899902</c:v>
                      </c:pt>
                      <c:pt idx="10">
                        <c:v>0.3615328994938643</c:v>
                      </c:pt>
                      <c:pt idx="11">
                        <c:v>0.35666518056174862</c:v>
                      </c:pt>
                      <c:pt idx="12">
                        <c:v>0.35348837209302825</c:v>
                      </c:pt>
                      <c:pt idx="13">
                        <c:v>0.32206119162640828</c:v>
                      </c:pt>
                      <c:pt idx="14">
                        <c:v>0.31046717918389705</c:v>
                      </c:pt>
                      <c:pt idx="15">
                        <c:v>0.25404157043879677</c:v>
                      </c:pt>
                      <c:pt idx="16">
                        <c:v>0.25088379518759035</c:v>
                      </c:pt>
                      <c:pt idx="17">
                        <c:v>0.21973631642029362</c:v>
                      </c:pt>
                      <c:pt idx="18">
                        <c:v>0.17510214291670295</c:v>
                      </c:pt>
                      <c:pt idx="19">
                        <c:v>0.15752993068683502</c:v>
                      </c:pt>
                      <c:pt idx="20">
                        <c:v>0.1227412205932395</c:v>
                      </c:pt>
                      <c:pt idx="21">
                        <c:v>7.3288984101923124E-2</c:v>
                      </c:pt>
                      <c:pt idx="22">
                        <c:v>4.1526083571255902E-2</c:v>
                      </c:pt>
                      <c:pt idx="23">
                        <c:v>2.4097546869726007E-2</c:v>
                      </c:pt>
                      <c:pt idx="24">
                        <c:v>0</c:v>
                      </c:pt>
                      <c:pt idx="25">
                        <c:v>-3.4116755117505303E-2</c:v>
                      </c:pt>
                      <c:pt idx="26">
                        <c:v>-3.3646117611865485E-2</c:v>
                      </c:pt>
                      <c:pt idx="27">
                        <c:v>-3.9966573411328345E-2</c:v>
                      </c:pt>
                      <c:pt idx="28">
                        <c:v>-4.2441819339325525E-2</c:v>
                      </c:pt>
                      <c:pt idx="29">
                        <c:v>-4.7889443798307958E-2</c:v>
                      </c:pt>
                      <c:pt idx="30">
                        <c:v>-5.786478927573005E-2</c:v>
                      </c:pt>
                      <c:pt idx="31">
                        <c:v>-6.6749862147026148E-2</c:v>
                      </c:pt>
                      <c:pt idx="32">
                        <c:v>-6.5808297567940627E-2</c:v>
                      </c:pt>
                      <c:pt idx="33">
                        <c:v>-6.497358682448881E-2</c:v>
                      </c:pt>
                      <c:pt idx="34">
                        <c:v>-6.7223124754920732E-2</c:v>
                      </c:pt>
                      <c:pt idx="35">
                        <c:v>-6.6938138004132855E-2</c:v>
                      </c:pt>
                      <c:pt idx="36">
                        <c:v>-6.1012812690671867E-2</c:v>
                      </c:pt>
                      <c:pt idx="37">
                        <c:v>-5.8246772158047272E-2</c:v>
                      </c:pt>
                      <c:pt idx="38">
                        <c:v>-6.0631047947026041E-2</c:v>
                      </c:pt>
                      <c:pt idx="39">
                        <c:v>-5.8084658389607198E-2</c:v>
                      </c:pt>
                      <c:pt idx="40">
                        <c:v>-6.0377723035302248E-2</c:v>
                      </c:pt>
                      <c:pt idx="41">
                        <c:v>-6.0377723035302248E-2</c:v>
                      </c:pt>
                      <c:pt idx="42">
                        <c:v>-5.7923444514158054E-2</c:v>
                      </c:pt>
                      <c:pt idx="43">
                        <c:v>-5.7761732851976527E-2</c:v>
                      </c:pt>
                      <c:pt idx="44">
                        <c:v>-5.7681215150936833E-2</c:v>
                      </c:pt>
                      <c:pt idx="45">
                        <c:v>-5.760092161473683E-2</c:v>
                      </c:pt>
                      <c:pt idx="46">
                        <c:v>-5.744100330286199E-2</c:v>
                      </c:pt>
                      <c:pt idx="47">
                        <c:v>-5.7280603355679728E-2</c:v>
                      </c:pt>
                      <c:pt idx="48">
                        <c:v>-5.7161911113232496E-2</c:v>
                      </c:pt>
                      <c:pt idx="49">
                        <c:v>-5.6607778852281521E-2</c:v>
                      </c:pt>
                      <c:pt idx="50">
                        <c:v>-5.6529112492938099E-2</c:v>
                      </c:pt>
                      <c:pt idx="51">
                        <c:v>-5.4061677322303492E-2</c:v>
                      </c:pt>
                      <c:pt idx="52">
                        <c:v>-5.3798652694612641E-2</c:v>
                      </c:pt>
                      <c:pt idx="53">
                        <c:v>-5.3613053613055475E-2</c:v>
                      </c:pt>
                      <c:pt idx="54">
                        <c:v>-5.1033426894615506E-2</c:v>
                      </c:pt>
                      <c:pt idx="55">
                        <c:v>-5.0156168068759083E-2</c:v>
                      </c:pt>
                      <c:pt idx="56">
                        <c:v>-4.767851061414189E-2</c:v>
                      </c:pt>
                      <c:pt idx="57">
                        <c:v>-4.7316479653911038E-2</c:v>
                      </c:pt>
                      <c:pt idx="58">
                        <c:v>-4.7218599631255E-2</c:v>
                      </c:pt>
                      <c:pt idx="59">
                        <c:v>-4.4908498933430664E-2</c:v>
                      </c:pt>
                      <c:pt idx="60">
                        <c:v>-4.4908498933430664E-2</c:v>
                      </c:pt>
                      <c:pt idx="61">
                        <c:v>-4.4877260692002416E-2</c:v>
                      </c:pt>
                      <c:pt idx="62">
                        <c:v>-4.4691738732102852E-2</c:v>
                      </c:pt>
                      <c:pt idx="63">
                        <c:v>-4.4506753899899408E-2</c:v>
                      </c:pt>
                      <c:pt idx="64">
                        <c:v>-4.2165065133934775E-2</c:v>
                      </c:pt>
                      <c:pt idx="65">
                        <c:v>-4.1990806223472413E-2</c:v>
                      </c:pt>
                      <c:pt idx="66">
                        <c:v>-4.1643835616431341E-2</c:v>
                      </c:pt>
                      <c:pt idx="67">
                        <c:v>-3.9154267815194786E-2</c:v>
                      </c:pt>
                      <c:pt idx="68">
                        <c:v>-3.682682726050604E-2</c:v>
                      </c:pt>
                      <c:pt idx="69">
                        <c:v>-3.6574084034337359E-2</c:v>
                      </c:pt>
                      <c:pt idx="70">
                        <c:v>-2.9505363653613139E-2</c:v>
                      </c:pt>
                      <c:pt idx="71">
                        <c:v>-2.4791851744728421E-2</c:v>
                      </c:pt>
                      <c:pt idx="72">
                        <c:v>-9.9216192082536951E-3</c:v>
                      </c:pt>
                      <c:pt idx="73">
                        <c:v>-7.8617897364195409E-3</c:v>
                      </c:pt>
                      <c:pt idx="74">
                        <c:v>-5.8762462539097629E-3</c:v>
                      </c:pt>
                      <c:pt idx="75">
                        <c:v>-3.8988634812991015E-3</c:v>
                      </c:pt>
                      <c:pt idx="76">
                        <c:v>-3.8908991868059611E-3</c:v>
                      </c:pt>
                      <c:pt idx="77">
                        <c:v>-3.8882516476505245E-3</c:v>
                      </c:pt>
                      <c:pt idx="78">
                        <c:v>-1.9388487116262076E-3</c:v>
                      </c:pt>
                      <c:pt idx="79">
                        <c:v>-1.9322551349806795E-3</c:v>
                      </c:pt>
                      <c:pt idx="80">
                        <c:v>-1.9322551349806795E-3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098-4D05-8E50-F0D823FC9ABB}"/>
                  </c:ext>
                </c:extLst>
              </c15:ser>
            </c15:filteredScatterSeries>
          </c:ext>
        </c:extLst>
      </c:scatterChart>
      <c:valAx>
        <c:axId val="68415872"/>
        <c:scaling>
          <c:orientation val="minMax"/>
          <c:max val="321"/>
          <c:min val="217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48866158187906761"/>
              <c:y val="0.9308765623690382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3.0000000000000006E-2"/>
        <c:crossBetween val="midCat"/>
        <c:majorUnit val="8"/>
      </c:valAx>
      <c:valAx>
        <c:axId val="68417792"/>
        <c:scaling>
          <c:orientation val="minMax"/>
          <c:max val="3.0000000000000006E-2"/>
          <c:min val="-3.0000000000000006E-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5.806736538233678E-3"/>
              <c:y val="0.409377012913679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5.000000000000001E-3"/>
      </c:valAx>
      <c:valAx>
        <c:axId val="986252751"/>
        <c:scaling>
          <c:orientation val="minMax"/>
          <c:max val="3.0000000000000006E-2"/>
          <c:min val="-3.0000000000000006E-2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5.000000000000001E-3"/>
      </c:valAx>
      <c:valAx>
        <c:axId val="986251919"/>
        <c:scaling>
          <c:orientation val="minMax"/>
          <c:max val="321"/>
          <c:min val="217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8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1868735250823617"/>
          <c:y val="7.1208811747227291E-2"/>
          <c:w val="0.13932880051714605"/>
          <c:h val="7.2415295900117069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Exp data (Bilkadi et al., 1974)</c:v>
                </c:tx>
                <c:spPr>
                  <a:ln w="15875" cmpd="sng">
                    <a:noFill/>
                    <a:prstDash val="solid"/>
                  </a:ln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'Err. rel.'!$B$4:$B$87</c15:sqref>
                        </c15:formulaRef>
                      </c:ext>
                    </c:extLst>
                    <c:numCache>
                      <c:formatCode>0.00</c:formatCode>
                      <c:ptCount val="84"/>
                      <c:pt idx="0">
                        <c:v>170.11</c:v>
                      </c:pt>
                      <c:pt idx="1">
                        <c:v>171.81</c:v>
                      </c:pt>
                      <c:pt idx="2">
                        <c:v>172.14</c:v>
                      </c:pt>
                      <c:pt idx="3">
                        <c:v>173.59</c:v>
                      </c:pt>
                      <c:pt idx="4">
                        <c:v>175.34</c:v>
                      </c:pt>
                      <c:pt idx="5">
                        <c:v>177.2</c:v>
                      </c:pt>
                      <c:pt idx="6">
                        <c:v>179.2</c:v>
                      </c:pt>
                      <c:pt idx="7">
                        <c:v>179.73</c:v>
                      </c:pt>
                      <c:pt idx="8">
                        <c:v>180.95</c:v>
                      </c:pt>
                      <c:pt idx="9">
                        <c:v>183.02</c:v>
                      </c:pt>
                      <c:pt idx="10">
                        <c:v>184.37</c:v>
                      </c:pt>
                      <c:pt idx="11">
                        <c:v>185.23</c:v>
                      </c:pt>
                      <c:pt idx="12">
                        <c:v>187.25</c:v>
                      </c:pt>
                      <c:pt idx="13">
                        <c:v>187.69</c:v>
                      </c:pt>
                      <c:pt idx="14">
                        <c:v>189.88</c:v>
                      </c:pt>
                      <c:pt idx="15">
                        <c:v>192.79</c:v>
                      </c:pt>
                      <c:pt idx="16">
                        <c:v>192.94</c:v>
                      </c:pt>
                      <c:pt idx="17">
                        <c:v>194.54</c:v>
                      </c:pt>
                      <c:pt idx="18">
                        <c:v>196.76</c:v>
                      </c:pt>
                      <c:pt idx="19">
                        <c:v>197.47</c:v>
                      </c:pt>
                      <c:pt idx="20">
                        <c:v>199.29</c:v>
                      </c:pt>
                      <c:pt idx="21">
                        <c:v>201.74</c:v>
                      </c:pt>
                      <c:pt idx="22">
                        <c:v>202.82</c:v>
                      </c:pt>
                      <c:pt idx="23">
                        <c:v>203.8</c:v>
                      </c:pt>
                      <c:pt idx="24">
                        <c:v>205.24</c:v>
                      </c:pt>
                      <c:pt idx="25">
                        <c:v>207.03</c:v>
                      </c:pt>
                      <c:pt idx="26">
                        <c:v>207.22</c:v>
                      </c:pt>
                      <c:pt idx="27">
                        <c:v>207.61</c:v>
                      </c:pt>
                      <c:pt idx="28">
                        <c:v>207.98</c:v>
                      </c:pt>
                      <c:pt idx="29">
                        <c:v>208.44</c:v>
                      </c:pt>
                      <c:pt idx="30">
                        <c:v>209.3</c:v>
                      </c:pt>
                      <c:pt idx="31">
                        <c:v>210.73</c:v>
                      </c:pt>
                      <c:pt idx="32">
                        <c:v>210.93</c:v>
                      </c:pt>
                      <c:pt idx="33">
                        <c:v>211.11</c:v>
                      </c:pt>
                      <c:pt idx="34">
                        <c:v>211.23</c:v>
                      </c:pt>
                      <c:pt idx="35">
                        <c:v>211.29</c:v>
                      </c:pt>
                      <c:pt idx="36">
                        <c:v>213.19</c:v>
                      </c:pt>
                      <c:pt idx="37">
                        <c:v>213.27</c:v>
                      </c:pt>
                      <c:pt idx="38">
                        <c:v>213.28</c:v>
                      </c:pt>
                      <c:pt idx="39">
                        <c:v>213.31</c:v>
                      </c:pt>
                      <c:pt idx="40">
                        <c:v>213.34</c:v>
                      </c:pt>
                      <c:pt idx="41">
                        <c:v>213.34</c:v>
                      </c:pt>
                      <c:pt idx="42">
                        <c:v>213.35</c:v>
                      </c:pt>
                      <c:pt idx="43">
                        <c:v>213.39</c:v>
                      </c:pt>
                      <c:pt idx="44">
                        <c:v>213.41</c:v>
                      </c:pt>
                      <c:pt idx="45">
                        <c:v>213.43</c:v>
                      </c:pt>
                      <c:pt idx="46">
                        <c:v>213.47</c:v>
                      </c:pt>
                      <c:pt idx="47">
                        <c:v>213.51</c:v>
                      </c:pt>
                      <c:pt idx="48">
                        <c:v>213.54</c:v>
                      </c:pt>
                      <c:pt idx="49">
                        <c:v>213.68</c:v>
                      </c:pt>
                      <c:pt idx="50">
                        <c:v>213.7</c:v>
                      </c:pt>
                      <c:pt idx="51">
                        <c:v>213.73</c:v>
                      </c:pt>
                      <c:pt idx="52">
                        <c:v>213.8</c:v>
                      </c:pt>
                      <c:pt idx="53">
                        <c:v>213.85</c:v>
                      </c:pt>
                      <c:pt idx="54">
                        <c:v>213.92</c:v>
                      </c:pt>
                      <c:pt idx="55">
                        <c:v>214.17</c:v>
                      </c:pt>
                      <c:pt idx="56">
                        <c:v>214.23</c:v>
                      </c:pt>
                      <c:pt idx="57">
                        <c:v>214.34</c:v>
                      </c:pt>
                      <c:pt idx="58">
                        <c:v>214.37</c:v>
                      </c:pt>
                      <c:pt idx="59">
                        <c:v>214.39</c:v>
                      </c:pt>
                      <c:pt idx="60">
                        <c:v>214.39</c:v>
                      </c:pt>
                      <c:pt idx="61">
                        <c:v>214.4</c:v>
                      </c:pt>
                      <c:pt idx="62">
                        <c:v>214.46</c:v>
                      </c:pt>
                      <c:pt idx="63">
                        <c:v>214.52</c:v>
                      </c:pt>
                      <c:pt idx="64">
                        <c:v>214.56</c:v>
                      </c:pt>
                      <c:pt idx="65">
                        <c:v>214.62</c:v>
                      </c:pt>
                      <c:pt idx="66">
                        <c:v>214.74</c:v>
                      </c:pt>
                      <c:pt idx="67">
                        <c:v>214.85</c:v>
                      </c:pt>
                      <c:pt idx="68">
                        <c:v>214.91</c:v>
                      </c:pt>
                      <c:pt idx="69">
                        <c:v>215.01</c:v>
                      </c:pt>
                      <c:pt idx="70">
                        <c:v>215.31</c:v>
                      </c:pt>
                      <c:pt idx="71">
                        <c:v>215.6</c:v>
                      </c:pt>
                      <c:pt idx="72">
                        <c:v>216.19</c:v>
                      </c:pt>
                      <c:pt idx="73">
                        <c:v>216.33</c:v>
                      </c:pt>
                      <c:pt idx="74">
                        <c:v>216.38</c:v>
                      </c:pt>
                      <c:pt idx="75">
                        <c:v>216.45</c:v>
                      </c:pt>
                      <c:pt idx="76">
                        <c:v>216.48</c:v>
                      </c:pt>
                      <c:pt idx="77">
                        <c:v>216.49</c:v>
                      </c:pt>
                      <c:pt idx="78">
                        <c:v>216.53</c:v>
                      </c:pt>
                      <c:pt idx="79">
                        <c:v>216.58</c:v>
                      </c:pt>
                      <c:pt idx="80">
                        <c:v>216.58</c:v>
                      </c:pt>
                      <c:pt idx="81">
                        <c:v>216.59</c:v>
                      </c:pt>
                      <c:pt idx="82">
                        <c:v>216.59</c:v>
                      </c:pt>
                      <c:pt idx="83">
                        <c:v>216.59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'Err. rel.'!$G$4:$G$87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0.19801980198020713</c:v>
                      </c:pt>
                      <c:pt idx="1">
                        <c:v>0.41356492969395947</c:v>
                      </c:pt>
                      <c:pt idx="2">
                        <c:v>0.43964828137489603</c:v>
                      </c:pt>
                      <c:pt idx="3">
                        <c:v>0.48109965635738061</c:v>
                      </c:pt>
                      <c:pt idx="4">
                        <c:v>0.22935779816512827</c:v>
                      </c:pt>
                      <c:pt idx="5">
                        <c:v>0.28571428571427404</c:v>
                      </c:pt>
                      <c:pt idx="6">
                        <c:v>0.19561815336463784</c:v>
                      </c:pt>
                      <c:pt idx="7">
                        <c:v>0.22304832713755027</c:v>
                      </c:pt>
                      <c:pt idx="8">
                        <c:v>0.16534391534392009</c:v>
                      </c:pt>
                      <c:pt idx="9">
                        <c:v>5.4406964091401479E-2</c:v>
                      </c:pt>
                      <c:pt idx="10">
                        <c:v>2.4021138601977087E-2</c:v>
                      </c:pt>
                      <c:pt idx="11">
                        <c:v>2.221728504775855E-2</c:v>
                      </c:pt>
                      <c:pt idx="12">
                        <c:v>-5.5586436909385417E-2</c:v>
                      </c:pt>
                      <c:pt idx="13">
                        <c:v>0.19656897784131341</c:v>
                      </c:pt>
                      <c:pt idx="14">
                        <c:v>-7.3637702503694211E-2</c:v>
                      </c:pt>
                      <c:pt idx="15">
                        <c:v>-0.10355540214015273</c:v>
                      </c:pt>
                      <c:pt idx="16">
                        <c:v>0.34242666362288393</c:v>
                      </c:pt>
                      <c:pt idx="17">
                        <c:v>-5.9760956175303276E-2</c:v>
                      </c:pt>
                      <c:pt idx="18">
                        <c:v>1.6650016650010195E-2</c:v>
                      </c:pt>
                      <c:pt idx="19">
                        <c:v>-4.7162395849712699E-2</c:v>
                      </c:pt>
                      <c:pt idx="20">
                        <c:v>-0.10885094224098321</c:v>
                      </c:pt>
                      <c:pt idx="21">
                        <c:v>-0.135021097046408</c:v>
                      </c:pt>
                      <c:pt idx="22">
                        <c:v>-0.1398963730569909</c:v>
                      </c:pt>
                      <c:pt idx="23">
                        <c:v>-0.16355589763325329</c:v>
                      </c:pt>
                      <c:pt idx="24">
                        <c:v>-0.16414686825054825</c:v>
                      </c:pt>
                      <c:pt idx="25">
                        <c:v>-0.15145204649578262</c:v>
                      </c:pt>
                      <c:pt idx="26">
                        <c:v>-0.14936519790887079</c:v>
                      </c:pt>
                      <c:pt idx="27">
                        <c:v>-0.13068099317555792</c:v>
                      </c:pt>
                      <c:pt idx="28">
                        <c:v>-0.15191662250487242</c:v>
                      </c:pt>
                      <c:pt idx="29">
                        <c:v>-0.15035538545653224</c:v>
                      </c:pt>
                      <c:pt idx="30">
                        <c:v>-0.1220805088829606</c:v>
                      </c:pt>
                      <c:pt idx="31">
                        <c:v>-0.18262457605009694</c:v>
                      </c:pt>
                      <c:pt idx="32">
                        <c:v>-0.14009606587373927</c:v>
                      </c:pt>
                      <c:pt idx="33">
                        <c:v>-0.12140376634009598</c:v>
                      </c:pt>
                      <c:pt idx="34">
                        <c:v>-0.15391934626255702</c:v>
                      </c:pt>
                      <c:pt idx="35">
                        <c:v>-0.15604971297999357</c:v>
                      </c:pt>
                      <c:pt idx="36">
                        <c:v>-0.1048959578464717</c:v>
                      </c:pt>
                      <c:pt idx="37">
                        <c:v>-0.10673394139336211</c:v>
                      </c:pt>
                      <c:pt idx="38">
                        <c:v>-0.1647446457990149</c:v>
                      </c:pt>
                      <c:pt idx="39">
                        <c:v>-0.16053615206448474</c:v>
                      </c:pt>
                      <c:pt idx="40">
                        <c:v>-0.1257448754739553</c:v>
                      </c:pt>
                      <c:pt idx="41">
                        <c:v>-0.16020305254370548</c:v>
                      </c:pt>
                      <c:pt idx="42">
                        <c:v>-0.15912817050824427</c:v>
                      </c:pt>
                      <c:pt idx="43">
                        <c:v>-0.12026168943621331</c:v>
                      </c:pt>
                      <c:pt idx="44">
                        <c:v>-0.1584633853541402</c:v>
                      </c:pt>
                      <c:pt idx="45">
                        <c:v>-0.16303044833373626</c:v>
                      </c:pt>
                      <c:pt idx="46">
                        <c:v>-0.1625783005785908</c:v>
                      </c:pt>
                      <c:pt idx="47">
                        <c:v>-0.14307857398354346</c:v>
                      </c:pt>
                      <c:pt idx="48">
                        <c:v>-0.14040598748244437</c:v>
                      </c:pt>
                      <c:pt idx="49">
                        <c:v>-0.12492339603074304</c:v>
                      </c:pt>
                      <c:pt idx="50">
                        <c:v>-0.1576507682533716</c:v>
                      </c:pt>
                      <c:pt idx="51">
                        <c:v>-0.11979704970403328</c:v>
                      </c:pt>
                      <c:pt idx="52">
                        <c:v>-0.11220983238655831</c:v>
                      </c:pt>
                      <c:pt idx="53">
                        <c:v>-0.1094958531357809</c:v>
                      </c:pt>
                      <c:pt idx="54">
                        <c:v>-0.13443040908564721</c:v>
                      </c:pt>
                      <c:pt idx="55">
                        <c:v>-9.3432386855650598E-2</c:v>
                      </c:pt>
                      <c:pt idx="56">
                        <c:v>-0.14289926735771633</c:v>
                      </c:pt>
                      <c:pt idx="57">
                        <c:v>-0.15305318598213191</c:v>
                      </c:pt>
                      <c:pt idx="58">
                        <c:v>-0.11459644076937139</c:v>
                      </c:pt>
                      <c:pt idx="59">
                        <c:v>-0.11891940405672914</c:v>
                      </c:pt>
                      <c:pt idx="60">
                        <c:v>-0.15476404091154314</c:v>
                      </c:pt>
                      <c:pt idx="61">
                        <c:v>-0.11883674521849703</c:v>
                      </c:pt>
                      <c:pt idx="62">
                        <c:v>-0.1384144844060477</c:v>
                      </c:pt>
                      <c:pt idx="63">
                        <c:v>-0.14228229696982592</c:v>
                      </c:pt>
                      <c:pt idx="64">
                        <c:v>-9.9807039723203136E-2</c:v>
                      </c:pt>
                      <c:pt idx="65">
                        <c:v>-0.13248250126962163</c:v>
                      </c:pt>
                      <c:pt idx="66">
                        <c:v>-0.11826544021024638</c:v>
                      </c:pt>
                      <c:pt idx="67">
                        <c:v>-0.10868620119989576</c:v>
                      </c:pt>
                      <c:pt idx="68">
                        <c:v>-0.14282313734824909</c:v>
                      </c:pt>
                      <c:pt idx="69">
                        <c:v>-0.12467219809982909</c:v>
                      </c:pt>
                      <c:pt idx="70">
                        <c:v>-9.2672549969459325E-2</c:v>
                      </c:pt>
                      <c:pt idx="71">
                        <c:v>-9.4349945392643436E-2</c:v>
                      </c:pt>
                      <c:pt idx="72">
                        <c:v>-9.3185558221141315E-2</c:v>
                      </c:pt>
                      <c:pt idx="73">
                        <c:v>-8.0524785921893022E-2</c:v>
                      </c:pt>
                      <c:pt idx="74">
                        <c:v>-8.8071239847355209E-2</c:v>
                      </c:pt>
                      <c:pt idx="75">
                        <c:v>-0.11488881099816556</c:v>
                      </c:pt>
                      <c:pt idx="76">
                        <c:v>-8.5529896586578794E-2</c:v>
                      </c:pt>
                      <c:pt idx="77">
                        <c:v>-6.9942297604481549E-2</c:v>
                      </c:pt>
                      <c:pt idx="78">
                        <c:v>-7.7495350278974737E-2</c:v>
                      </c:pt>
                      <c:pt idx="79">
                        <c:v>-8.6877618394899589E-2</c:v>
                      </c:pt>
                      <c:pt idx="80">
                        <c:v>-0.22364463638467838</c:v>
                      </c:pt>
                      <c:pt idx="81">
                        <c:v>-0.17733230531997529</c:v>
                      </c:pt>
                      <c:pt idx="82">
                        <c:v>-0.20618556701031224</c:v>
                      </c:pt>
                      <c:pt idx="83">
                        <c:v>-0.21195421788893404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178-463B-AAC0-98192CA18385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1"/>
          <c:tx>
            <c:v>Corr. Eq.</c:v>
          </c:tx>
          <c:spPr>
            <a:ln w="19050">
              <a:solidFill>
                <a:srgbClr val="0070C0"/>
              </a:solidFill>
              <a:prstDash val="lgDash"/>
            </a:ln>
          </c:spPr>
          <c:marker>
            <c:symbol val="none"/>
          </c:marker>
          <c:xVal>
            <c:numRef>
              <c:f>'Err. rel.'!$B$4:$B$87</c:f>
              <c:numCache>
                <c:formatCode>0.00</c:formatCode>
                <c:ptCount val="84"/>
                <c:pt idx="0">
                  <c:v>170.11</c:v>
                </c:pt>
                <c:pt idx="1">
                  <c:v>171.81</c:v>
                </c:pt>
                <c:pt idx="2">
                  <c:v>172.14</c:v>
                </c:pt>
                <c:pt idx="3">
                  <c:v>173.59</c:v>
                </c:pt>
                <c:pt idx="4">
                  <c:v>175.34</c:v>
                </c:pt>
                <c:pt idx="5">
                  <c:v>177.2</c:v>
                </c:pt>
                <c:pt idx="6">
                  <c:v>179.2</c:v>
                </c:pt>
                <c:pt idx="7">
                  <c:v>179.73</c:v>
                </c:pt>
                <c:pt idx="8">
                  <c:v>180.95</c:v>
                </c:pt>
                <c:pt idx="9">
                  <c:v>183.02</c:v>
                </c:pt>
                <c:pt idx="10">
                  <c:v>184.37</c:v>
                </c:pt>
                <c:pt idx="11">
                  <c:v>185.23</c:v>
                </c:pt>
                <c:pt idx="12">
                  <c:v>187.25</c:v>
                </c:pt>
                <c:pt idx="13">
                  <c:v>187.69</c:v>
                </c:pt>
                <c:pt idx="14">
                  <c:v>189.88</c:v>
                </c:pt>
                <c:pt idx="15">
                  <c:v>192.79</c:v>
                </c:pt>
                <c:pt idx="16">
                  <c:v>192.94</c:v>
                </c:pt>
                <c:pt idx="17">
                  <c:v>194.54</c:v>
                </c:pt>
                <c:pt idx="18">
                  <c:v>196.76</c:v>
                </c:pt>
                <c:pt idx="19">
                  <c:v>197.47</c:v>
                </c:pt>
                <c:pt idx="20">
                  <c:v>199.29</c:v>
                </c:pt>
                <c:pt idx="21">
                  <c:v>201.74</c:v>
                </c:pt>
                <c:pt idx="22">
                  <c:v>202.82</c:v>
                </c:pt>
                <c:pt idx="23">
                  <c:v>203.8</c:v>
                </c:pt>
                <c:pt idx="24">
                  <c:v>205.24</c:v>
                </c:pt>
                <c:pt idx="25">
                  <c:v>207.03</c:v>
                </c:pt>
                <c:pt idx="26">
                  <c:v>207.22</c:v>
                </c:pt>
                <c:pt idx="27">
                  <c:v>207.61</c:v>
                </c:pt>
                <c:pt idx="28">
                  <c:v>207.98</c:v>
                </c:pt>
                <c:pt idx="29">
                  <c:v>208.44</c:v>
                </c:pt>
                <c:pt idx="30">
                  <c:v>209.3</c:v>
                </c:pt>
                <c:pt idx="31">
                  <c:v>210.73</c:v>
                </c:pt>
                <c:pt idx="32">
                  <c:v>210.93</c:v>
                </c:pt>
                <c:pt idx="33">
                  <c:v>211.11</c:v>
                </c:pt>
                <c:pt idx="34">
                  <c:v>211.23</c:v>
                </c:pt>
                <c:pt idx="35">
                  <c:v>211.29</c:v>
                </c:pt>
                <c:pt idx="36">
                  <c:v>213.19</c:v>
                </c:pt>
                <c:pt idx="37">
                  <c:v>213.27</c:v>
                </c:pt>
                <c:pt idx="38">
                  <c:v>213.28</c:v>
                </c:pt>
                <c:pt idx="39">
                  <c:v>213.31</c:v>
                </c:pt>
                <c:pt idx="40">
                  <c:v>213.34</c:v>
                </c:pt>
                <c:pt idx="41">
                  <c:v>213.34</c:v>
                </c:pt>
                <c:pt idx="42">
                  <c:v>213.35</c:v>
                </c:pt>
                <c:pt idx="43">
                  <c:v>213.39</c:v>
                </c:pt>
                <c:pt idx="44">
                  <c:v>213.41</c:v>
                </c:pt>
                <c:pt idx="45">
                  <c:v>213.43</c:v>
                </c:pt>
                <c:pt idx="46">
                  <c:v>213.47</c:v>
                </c:pt>
                <c:pt idx="47">
                  <c:v>213.51</c:v>
                </c:pt>
                <c:pt idx="48">
                  <c:v>213.54</c:v>
                </c:pt>
                <c:pt idx="49">
                  <c:v>213.68</c:v>
                </c:pt>
                <c:pt idx="50">
                  <c:v>213.7</c:v>
                </c:pt>
                <c:pt idx="51">
                  <c:v>213.73</c:v>
                </c:pt>
                <c:pt idx="52">
                  <c:v>213.8</c:v>
                </c:pt>
                <c:pt idx="53">
                  <c:v>213.85</c:v>
                </c:pt>
                <c:pt idx="54">
                  <c:v>213.92</c:v>
                </c:pt>
                <c:pt idx="55">
                  <c:v>214.17</c:v>
                </c:pt>
                <c:pt idx="56">
                  <c:v>214.23</c:v>
                </c:pt>
                <c:pt idx="57">
                  <c:v>214.34</c:v>
                </c:pt>
                <c:pt idx="58">
                  <c:v>214.37</c:v>
                </c:pt>
                <c:pt idx="59">
                  <c:v>214.39</c:v>
                </c:pt>
                <c:pt idx="60">
                  <c:v>214.39</c:v>
                </c:pt>
                <c:pt idx="61">
                  <c:v>214.4</c:v>
                </c:pt>
                <c:pt idx="62">
                  <c:v>214.46</c:v>
                </c:pt>
                <c:pt idx="63">
                  <c:v>214.52</c:v>
                </c:pt>
                <c:pt idx="64">
                  <c:v>214.56</c:v>
                </c:pt>
                <c:pt idx="65">
                  <c:v>214.62</c:v>
                </c:pt>
                <c:pt idx="66">
                  <c:v>214.74</c:v>
                </c:pt>
                <c:pt idx="67">
                  <c:v>214.85</c:v>
                </c:pt>
                <c:pt idx="68">
                  <c:v>214.91</c:v>
                </c:pt>
                <c:pt idx="69">
                  <c:v>215.01</c:v>
                </c:pt>
                <c:pt idx="70">
                  <c:v>215.31</c:v>
                </c:pt>
                <c:pt idx="71">
                  <c:v>215.6</c:v>
                </c:pt>
                <c:pt idx="72">
                  <c:v>216.19</c:v>
                </c:pt>
                <c:pt idx="73">
                  <c:v>216.33</c:v>
                </c:pt>
                <c:pt idx="74">
                  <c:v>216.38</c:v>
                </c:pt>
                <c:pt idx="75">
                  <c:v>216.45</c:v>
                </c:pt>
                <c:pt idx="76">
                  <c:v>216.48</c:v>
                </c:pt>
                <c:pt idx="77">
                  <c:v>216.49</c:v>
                </c:pt>
                <c:pt idx="78">
                  <c:v>216.53</c:v>
                </c:pt>
                <c:pt idx="79">
                  <c:v>216.58</c:v>
                </c:pt>
                <c:pt idx="80">
                  <c:v>216.58</c:v>
                </c:pt>
                <c:pt idx="81">
                  <c:v>216.59</c:v>
                </c:pt>
                <c:pt idx="82">
                  <c:v>216.59</c:v>
                </c:pt>
                <c:pt idx="83">
                  <c:v>216.59</c:v>
                </c:pt>
              </c:numCache>
            </c:numRef>
          </c:xVal>
          <c:yVal>
            <c:numRef>
              <c:f>'Err. rel.'!$H$4:$H$87</c:f>
              <c:numCache>
                <c:formatCode>General</c:formatCode>
                <c:ptCount val="84"/>
                <c:pt idx="0">
                  <c:v>0.39682539682539786</c:v>
                </c:pt>
                <c:pt idx="1">
                  <c:v>0.41356492969395947</c:v>
                </c:pt>
                <c:pt idx="2">
                  <c:v>0.43964828137489603</c:v>
                </c:pt>
                <c:pt idx="3">
                  <c:v>0.41208791208790724</c:v>
                </c:pt>
                <c:pt idx="4">
                  <c:v>0.40206777713957853</c:v>
                </c:pt>
                <c:pt idx="5">
                  <c:v>0.42918454935622224</c:v>
                </c:pt>
                <c:pt idx="6">
                  <c:v>0.3920031360250858</c:v>
                </c:pt>
                <c:pt idx="7">
                  <c:v>0.40968342644321215</c:v>
                </c:pt>
                <c:pt idx="8">
                  <c:v>0.39774610540272476</c:v>
                </c:pt>
                <c:pt idx="9">
                  <c:v>0.38209606986899902</c:v>
                </c:pt>
                <c:pt idx="10">
                  <c:v>0.3615328994938643</c:v>
                </c:pt>
                <c:pt idx="11">
                  <c:v>0.35666518056174862</c:v>
                </c:pt>
                <c:pt idx="12">
                  <c:v>0.35348837209302825</c:v>
                </c:pt>
                <c:pt idx="13">
                  <c:v>0.32206119162640828</c:v>
                </c:pt>
                <c:pt idx="14">
                  <c:v>0.31046717918389705</c:v>
                </c:pt>
                <c:pt idx="15">
                  <c:v>0.25404157043879677</c:v>
                </c:pt>
                <c:pt idx="16">
                  <c:v>0.25088379518759035</c:v>
                </c:pt>
                <c:pt idx="17">
                  <c:v>0.21973631642029362</c:v>
                </c:pt>
                <c:pt idx="18">
                  <c:v>0.17510214291670295</c:v>
                </c:pt>
                <c:pt idx="19">
                  <c:v>0.15752993068683502</c:v>
                </c:pt>
                <c:pt idx="20">
                  <c:v>0.1227412205932395</c:v>
                </c:pt>
                <c:pt idx="21">
                  <c:v>7.3288984101923124E-2</c:v>
                </c:pt>
                <c:pt idx="22">
                  <c:v>4.1526083571255902E-2</c:v>
                </c:pt>
                <c:pt idx="23">
                  <c:v>2.4097546869726007E-2</c:v>
                </c:pt>
                <c:pt idx="24">
                  <c:v>0</c:v>
                </c:pt>
                <c:pt idx="25">
                  <c:v>-3.4116755117505303E-2</c:v>
                </c:pt>
                <c:pt idx="26">
                  <c:v>-3.3646117611865485E-2</c:v>
                </c:pt>
                <c:pt idx="27">
                  <c:v>-3.9966573411328345E-2</c:v>
                </c:pt>
                <c:pt idx="28">
                  <c:v>-4.2441819339325525E-2</c:v>
                </c:pt>
                <c:pt idx="29">
                  <c:v>-4.7889443798307958E-2</c:v>
                </c:pt>
                <c:pt idx="30">
                  <c:v>-5.786478927573005E-2</c:v>
                </c:pt>
                <c:pt idx="31">
                  <c:v>-6.6749862147026148E-2</c:v>
                </c:pt>
                <c:pt idx="32">
                  <c:v>-6.5808297567940627E-2</c:v>
                </c:pt>
                <c:pt idx="33">
                  <c:v>-6.497358682448881E-2</c:v>
                </c:pt>
                <c:pt idx="34">
                  <c:v>-6.7223124754920732E-2</c:v>
                </c:pt>
                <c:pt idx="35">
                  <c:v>-6.6938138004132855E-2</c:v>
                </c:pt>
                <c:pt idx="36">
                  <c:v>-6.1012812690671867E-2</c:v>
                </c:pt>
                <c:pt idx="37">
                  <c:v>-5.8246772158047272E-2</c:v>
                </c:pt>
                <c:pt idx="38">
                  <c:v>-6.0631047947026041E-2</c:v>
                </c:pt>
                <c:pt idx="39">
                  <c:v>-5.8084658389607198E-2</c:v>
                </c:pt>
                <c:pt idx="40">
                  <c:v>-6.0377723035302248E-2</c:v>
                </c:pt>
                <c:pt idx="41">
                  <c:v>-6.0377723035302248E-2</c:v>
                </c:pt>
                <c:pt idx="42">
                  <c:v>-5.7923444514158054E-2</c:v>
                </c:pt>
                <c:pt idx="43">
                  <c:v>-5.7761732851976527E-2</c:v>
                </c:pt>
                <c:pt idx="44">
                  <c:v>-5.7681215150936833E-2</c:v>
                </c:pt>
                <c:pt idx="45">
                  <c:v>-5.760092161473683E-2</c:v>
                </c:pt>
                <c:pt idx="46">
                  <c:v>-5.744100330286199E-2</c:v>
                </c:pt>
                <c:pt idx="47">
                  <c:v>-5.7280603355679728E-2</c:v>
                </c:pt>
                <c:pt idx="48">
                  <c:v>-5.7161911113232496E-2</c:v>
                </c:pt>
                <c:pt idx="49">
                  <c:v>-5.6607778852281521E-2</c:v>
                </c:pt>
                <c:pt idx="50">
                  <c:v>-5.6529112492938099E-2</c:v>
                </c:pt>
                <c:pt idx="51">
                  <c:v>-5.4061677322303492E-2</c:v>
                </c:pt>
                <c:pt idx="52">
                  <c:v>-5.3798652694612641E-2</c:v>
                </c:pt>
                <c:pt idx="53">
                  <c:v>-5.3613053613055475E-2</c:v>
                </c:pt>
                <c:pt idx="54">
                  <c:v>-5.1033426894615506E-2</c:v>
                </c:pt>
                <c:pt idx="55">
                  <c:v>-5.0156168068759083E-2</c:v>
                </c:pt>
                <c:pt idx="56">
                  <c:v>-4.767851061414189E-2</c:v>
                </c:pt>
                <c:pt idx="57">
                  <c:v>-4.7316479653911038E-2</c:v>
                </c:pt>
                <c:pt idx="58">
                  <c:v>-4.7218599631255E-2</c:v>
                </c:pt>
                <c:pt idx="59">
                  <c:v>-4.4908498933430664E-2</c:v>
                </c:pt>
                <c:pt idx="60">
                  <c:v>-4.4908498933430664E-2</c:v>
                </c:pt>
                <c:pt idx="61">
                  <c:v>-4.4877260692002416E-2</c:v>
                </c:pt>
                <c:pt idx="62">
                  <c:v>-4.4691738732102852E-2</c:v>
                </c:pt>
                <c:pt idx="63">
                  <c:v>-4.4506753899899408E-2</c:v>
                </c:pt>
                <c:pt idx="64">
                  <c:v>-4.2165065133934775E-2</c:v>
                </c:pt>
                <c:pt idx="65">
                  <c:v>-4.1990806223472413E-2</c:v>
                </c:pt>
                <c:pt idx="66">
                  <c:v>-4.1643835616431341E-2</c:v>
                </c:pt>
                <c:pt idx="67">
                  <c:v>-3.9154267815194786E-2</c:v>
                </c:pt>
                <c:pt idx="68">
                  <c:v>-3.682682726050604E-2</c:v>
                </c:pt>
                <c:pt idx="69">
                  <c:v>-3.6574084034337359E-2</c:v>
                </c:pt>
                <c:pt idx="70">
                  <c:v>-2.9505363653613139E-2</c:v>
                </c:pt>
                <c:pt idx="71">
                  <c:v>-2.4791851744728421E-2</c:v>
                </c:pt>
                <c:pt idx="72">
                  <c:v>-9.9216192082536951E-3</c:v>
                </c:pt>
                <c:pt idx="73">
                  <c:v>-7.8617897364195409E-3</c:v>
                </c:pt>
                <c:pt idx="74">
                  <c:v>-5.8762462539097629E-3</c:v>
                </c:pt>
                <c:pt idx="75">
                  <c:v>-3.8988634812991015E-3</c:v>
                </c:pt>
                <c:pt idx="76">
                  <c:v>-3.8908991868059611E-3</c:v>
                </c:pt>
                <c:pt idx="77">
                  <c:v>-3.8882516476505245E-3</c:v>
                </c:pt>
                <c:pt idx="78">
                  <c:v>-1.9388487116262076E-3</c:v>
                </c:pt>
                <c:pt idx="79">
                  <c:v>-1.9322551349806795E-3</c:v>
                </c:pt>
                <c:pt idx="80">
                  <c:v>-1.9322551349806795E-3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78-463B-AAC0-98192CA18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</c:scatterChart>
      <c:valAx>
        <c:axId val="68415872"/>
        <c:scaling>
          <c:orientation val="minMax"/>
          <c:max val="218"/>
          <c:min val="17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0.1"/>
        <c:crossBetween val="midCat"/>
        <c:majorUnit val="3"/>
      </c:valAx>
      <c:valAx>
        <c:axId val="68417792"/>
        <c:scaling>
          <c:orientation val="minMax"/>
          <c:max val="0.5"/>
          <c:min val="-0.1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1.6360770219037934E-2"/>
              <c:y val="0.409376778722331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0.1"/>
      </c:valAx>
      <c:valAx>
        <c:axId val="986252751"/>
        <c:scaling>
          <c:orientation val="minMax"/>
          <c:max val="0.5"/>
          <c:min val="-0.1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</c:valAx>
      <c:valAx>
        <c:axId val="986251919"/>
        <c:scaling>
          <c:orientation val="minMax"/>
          <c:max val="218"/>
          <c:min val="170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3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smoothMarker"/>
        <c:varyColors val="0"/>
        <c:ser>
          <c:idx val="1"/>
          <c:order val="0"/>
          <c:tx>
            <c:v>T = 293 K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'Calcoli eqilib.'!$L$96:$L$111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5.0000000000000009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20.000000000000004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</c:numCache>
            </c:numRef>
          </c:xVal>
          <c:yVal>
            <c:numRef>
              <c:f>'Calcoli eqilib.'!$M$96:$M$111</c:f>
              <c:numCache>
                <c:formatCode>General</c:formatCode>
                <c:ptCount val="16"/>
                <c:pt idx="0">
                  <c:v>0</c:v>
                </c:pt>
                <c:pt idx="1">
                  <c:v>2.1361024073332202</c:v>
                </c:pt>
                <c:pt idx="2">
                  <c:v>4.8270253928955196</c:v>
                </c:pt>
                <c:pt idx="3">
                  <c:v>5.9009013622715196</c:v>
                </c:pt>
                <c:pt idx="4">
                  <c:v>5.5752939054774702</c:v>
                </c:pt>
                <c:pt idx="5">
                  <c:v>3.8154195908492099</c:v>
                </c:pt>
                <c:pt idx="6">
                  <c:v>0.17412751698762199</c:v>
                </c:pt>
                <c:pt idx="7">
                  <c:v>6.0166612727757203</c:v>
                </c:pt>
                <c:pt idx="8">
                  <c:v>16.320474892832902</c:v>
                </c:pt>
                <c:pt idx="9">
                  <c:v>6.0607554975692697</c:v>
                </c:pt>
                <c:pt idx="10">
                  <c:v>5.1129044980699501</c:v>
                </c:pt>
                <c:pt idx="11">
                  <c:v>6.2186301586758201</c:v>
                </c:pt>
                <c:pt idx="12">
                  <c:v>12.109204433325701</c:v>
                </c:pt>
                <c:pt idx="13">
                  <c:v>17.778069385936998</c:v>
                </c:pt>
                <c:pt idx="14">
                  <c:v>37.441400384924599</c:v>
                </c:pt>
                <c:pt idx="15">
                  <c:v>73.469442160659199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A1-4D12-B086-BD9A0E29C483}"/>
            </c:ext>
          </c:extLst>
        </c:ser>
        <c:ser>
          <c:idx val="2"/>
          <c:order val="1"/>
          <c:tx>
            <c:v>T = 313 K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'Calcoli eqilib.'!$L$96:$L$111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5.0000000000000009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20.000000000000004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</c:numCache>
            </c:numRef>
          </c:xVal>
          <c:yVal>
            <c:numRef>
              <c:f>'Calcoli eqilib.'!$N$96:$N$111</c:f>
              <c:numCache>
                <c:formatCode>General</c:formatCode>
                <c:ptCount val="16"/>
                <c:pt idx="0">
                  <c:v>0</c:v>
                </c:pt>
                <c:pt idx="1">
                  <c:v>2.3279630618684499</c:v>
                </c:pt>
                <c:pt idx="2">
                  <c:v>5.5495909381139299</c:v>
                </c:pt>
                <c:pt idx="3">
                  <c:v>7.3363888442063603</c:v>
                </c:pt>
                <c:pt idx="4">
                  <c:v>8.2230652891301492</c:v>
                </c:pt>
                <c:pt idx="5">
                  <c:v>8.4791129692660601</c:v>
                </c:pt>
                <c:pt idx="6">
                  <c:v>8.6728668193196299</c:v>
                </c:pt>
                <c:pt idx="7">
                  <c:v>8.9706465343908306</c:v>
                </c:pt>
                <c:pt idx="8">
                  <c:v>9.4019195688256101</c:v>
                </c:pt>
                <c:pt idx="9">
                  <c:v>10.447392655502901</c:v>
                </c:pt>
                <c:pt idx="10">
                  <c:v>13.095592995221701</c:v>
                </c:pt>
                <c:pt idx="11">
                  <c:v>15.659933740232299</c:v>
                </c:pt>
                <c:pt idx="12">
                  <c:v>24.991628891687299</c:v>
                </c:pt>
                <c:pt idx="13">
                  <c:v>32.650516383761101</c:v>
                </c:pt>
                <c:pt idx="14">
                  <c:v>56.951641672506398</c:v>
                </c:pt>
                <c:pt idx="15">
                  <c:v>98.639412349731401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A1-4D12-B086-BD9A0E29C483}"/>
            </c:ext>
          </c:extLst>
        </c:ser>
        <c:ser>
          <c:idx val="3"/>
          <c:order val="2"/>
          <c:tx>
            <c:v>T = 303 K</c:v>
          </c:tx>
          <c:spPr>
            <a:ln>
              <a:solidFill>
                <a:srgbClr val="00B050"/>
              </a:solidFill>
              <a:prstDash val="lgDashDotDot"/>
            </a:ln>
          </c:spPr>
          <c:marker>
            <c:symbol val="none"/>
          </c:marker>
          <c:xVal>
            <c:numRef>
              <c:f>'Calcoli eqilib.'!$L$96:$L$111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5.0000000000000009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20.000000000000004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</c:numCache>
            </c:numRef>
          </c:xVal>
          <c:yVal>
            <c:numRef>
              <c:f>'Calcoli eqilib.'!$O$96:$O$111</c:f>
              <c:numCache>
                <c:formatCode>General</c:formatCode>
                <c:ptCount val="16"/>
                <c:pt idx="0">
                  <c:v>0</c:v>
                </c:pt>
                <c:pt idx="1">
                  <c:v>2.2324723667117001</c:v>
                </c:pt>
                <c:pt idx="2">
                  <c:v>5.1933742231713804</c:v>
                </c:pt>
                <c:pt idx="3">
                  <c:v>6.63970546645883</c:v>
                </c:pt>
                <c:pt idx="4">
                  <c:v>7.1340775599216402</c:v>
                </c:pt>
                <c:pt idx="5">
                  <c:v>7.19383553223226</c:v>
                </c:pt>
                <c:pt idx="6">
                  <c:v>7.2016100803053096</c:v>
                </c:pt>
                <c:pt idx="7">
                  <c:v>7.1826864178466296</c:v>
                </c:pt>
                <c:pt idx="8">
                  <c:v>7.1807166510779403</c:v>
                </c:pt>
                <c:pt idx="9">
                  <c:v>7.5052913117007902</c:v>
                </c:pt>
                <c:pt idx="10">
                  <c:v>9.0044571163313698</c:v>
                </c:pt>
                <c:pt idx="11">
                  <c:v>10.8617475053566</c:v>
                </c:pt>
                <c:pt idx="12">
                  <c:v>18.526421290432001</c:v>
                </c:pt>
                <c:pt idx="13">
                  <c:v>25.2095425993578</c:v>
                </c:pt>
                <c:pt idx="14">
                  <c:v>47.217726644921903</c:v>
                </c:pt>
                <c:pt idx="15">
                  <c:v>86.1065876769662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A1-4D12-B086-BD9A0E29C483}"/>
            </c:ext>
          </c:extLst>
        </c:ser>
        <c:ser>
          <c:idx val="0"/>
          <c:order val="3"/>
          <c:tx>
            <c:v>T = 288 K</c:v>
          </c:tx>
          <c:spPr>
            <a:ln>
              <a:solidFill>
                <a:schemeClr val="tx1"/>
              </a:solidFill>
              <a:prstDash val="lgDashDot"/>
            </a:ln>
          </c:spPr>
          <c:marker>
            <c:symbol val="none"/>
          </c:marker>
          <c:xVal>
            <c:numRef>
              <c:f>'Calcoli eqilib.'!$L$96:$L$111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5.0000000000000009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20.000000000000004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</c:numCache>
            </c:numRef>
          </c:xVal>
          <c:yVal>
            <c:numRef>
              <c:f>'Calcoli eqilib.'!$P$96:$P$111</c:f>
              <c:numCache>
                <c:formatCode>General</c:formatCode>
                <c:ptCount val="16"/>
                <c:pt idx="0">
                  <c:v>0</c:v>
                </c:pt>
                <c:pt idx="1">
                  <c:v>2.08753573970569</c:v>
                </c:pt>
                <c:pt idx="2">
                  <c:v>4.6388467218251304</c:v>
                </c:pt>
                <c:pt idx="3">
                  <c:v>5.4854710868136403</c:v>
                </c:pt>
                <c:pt idx="4">
                  <c:v>1.30995336111039</c:v>
                </c:pt>
                <c:pt idx="5">
                  <c:v>-15.568778538731101</c:v>
                </c:pt>
                <c:pt idx="6">
                  <c:v>-51.680061345279299</c:v>
                </c:pt>
                <c:pt idx="7">
                  <c:v>6.3866831140999301</c:v>
                </c:pt>
                <c:pt idx="8">
                  <c:v>121.574206390417</c:v>
                </c:pt>
                <c:pt idx="9">
                  <c:v>20.0180709988004</c:v>
                </c:pt>
                <c:pt idx="10">
                  <c:v>3.4352739091362099</c:v>
                </c:pt>
                <c:pt idx="11">
                  <c:v>3.9916261135899398</c:v>
                </c:pt>
                <c:pt idx="12">
                  <c:v>8.9265709341655501</c:v>
                </c:pt>
                <c:pt idx="13">
                  <c:v>14.069643703420899</c:v>
                </c:pt>
                <c:pt idx="14">
                  <c:v>32.538672026459203</c:v>
                </c:pt>
                <c:pt idx="15">
                  <c:v>67.113372522697304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A1-4D12-B086-BD9A0E29C483}"/>
            </c:ext>
          </c:extLst>
        </c:ser>
        <c:ser>
          <c:idx val="4"/>
          <c:order val="4"/>
          <c:tx>
            <c:v>T = 296 K</c:v>
          </c:tx>
          <c:spPr>
            <a:ln>
              <a:solidFill>
                <a:srgbClr val="00B0F0"/>
              </a:solidFill>
              <a:prstDash val="sysDash"/>
            </a:ln>
          </c:spPr>
          <c:marker>
            <c:symbol val="none"/>
          </c:marker>
          <c:xVal>
            <c:numRef>
              <c:f>'Calcoli eqilib.'!$L$96:$L$111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5.0000000000000009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20.000000000000004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</c:numCache>
            </c:numRef>
          </c:xVal>
          <c:yVal>
            <c:numRef>
              <c:f>'Calcoli eqilib.'!$Q$96:$Q$111</c:f>
              <c:numCache>
                <c:formatCode>General</c:formatCode>
                <c:ptCount val="16"/>
                <c:pt idx="0">
                  <c:v>0</c:v>
                </c:pt>
                <c:pt idx="1">
                  <c:v>2.1651150684447198</c:v>
                </c:pt>
                <c:pt idx="2">
                  <c:v>4.9381949187026501</c:v>
                </c:pt>
                <c:pt idx="3">
                  <c:v>6.1293897261433603</c:v>
                </c:pt>
                <c:pt idx="4">
                  <c:v>6.2521555068801904</c:v>
                </c:pt>
                <c:pt idx="5">
                  <c:v>5.8572156379492304</c:v>
                </c:pt>
                <c:pt idx="6">
                  <c:v>5.0681830687335196</c:v>
                </c:pt>
                <c:pt idx="7">
                  <c:v>6.1758626816412496</c:v>
                </c:pt>
                <c:pt idx="8">
                  <c:v>7.8445085584583802</c:v>
                </c:pt>
                <c:pt idx="9">
                  <c:v>5.7438697077841701</c:v>
                </c:pt>
                <c:pt idx="10">
                  <c:v>6.2517707615780802</c:v>
                </c:pt>
                <c:pt idx="11">
                  <c:v>7.5915580302068504</c:v>
                </c:pt>
                <c:pt idx="12">
                  <c:v>14.0280376946701</c:v>
                </c:pt>
                <c:pt idx="13">
                  <c:v>20.0058526784808</c:v>
                </c:pt>
                <c:pt idx="14">
                  <c:v>40.378485613045903</c:v>
                </c:pt>
                <c:pt idx="15">
                  <c:v>77.271230223885297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6A1-4D12-B086-BD9A0E29C483}"/>
            </c:ext>
          </c:extLst>
        </c:ser>
        <c:ser>
          <c:idx val="5"/>
          <c:order val="5"/>
          <c:tx>
            <c:v>T = 300 K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'Calcoli eqilib.'!$L$96:$L$111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5.0000000000000009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20.000000000000004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</c:numCache>
            </c:numRef>
          </c:xVal>
          <c:yVal>
            <c:numRef>
              <c:f>'Calcoli eqilib.'!$R$96:$R$111</c:f>
              <c:numCache>
                <c:formatCode>General</c:formatCode>
                <c:ptCount val="16"/>
                <c:pt idx="0">
                  <c:v>0</c:v>
                </c:pt>
                <c:pt idx="1">
                  <c:v>2.2036606713609599</c:v>
                </c:pt>
                <c:pt idx="2">
                  <c:v>5.0846792024924499</c:v>
                </c:pt>
                <c:pt idx="3">
                  <c:v>6.4239395815561799</c:v>
                </c:pt>
                <c:pt idx="4">
                  <c:v>6.7894686528437003</c:v>
                </c:pt>
                <c:pt idx="5">
                  <c:v>6.7703097918489199</c:v>
                </c:pt>
                <c:pt idx="6">
                  <c:v>6.6816705234621097</c:v>
                </c:pt>
                <c:pt idx="7">
                  <c:v>6.6921880002150296</c:v>
                </c:pt>
                <c:pt idx="8">
                  <c:v>6.6661511090806602</c:v>
                </c:pt>
                <c:pt idx="9">
                  <c:v>6.6580048088194896</c:v>
                </c:pt>
                <c:pt idx="10">
                  <c:v>7.81198301048709</c:v>
                </c:pt>
                <c:pt idx="11">
                  <c:v>9.4498966406942397</c:v>
                </c:pt>
                <c:pt idx="12">
                  <c:v>16.595233520717599</c:v>
                </c:pt>
                <c:pt idx="13">
                  <c:v>22.978593561503999</c:v>
                </c:pt>
                <c:pt idx="14">
                  <c:v>44.289073971093501</c:v>
                </c:pt>
                <c:pt idx="15">
                  <c:v>82.326162009236697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6A1-4D12-B086-BD9A0E29C483}"/>
            </c:ext>
          </c:extLst>
        </c:ser>
        <c:ser>
          <c:idx val="6"/>
          <c:order val="6"/>
          <c:tx>
            <c:v>T = 304 K</c:v>
          </c:tx>
          <c:spPr>
            <a:ln>
              <a:solidFill>
                <a:srgbClr val="7030A0"/>
              </a:solidFill>
              <a:prstDash val="sysDash"/>
            </a:ln>
          </c:spPr>
          <c:marker>
            <c:symbol val="none"/>
          </c:marker>
          <c:xVal>
            <c:numRef>
              <c:f>'Calcoli eqilib.'!$L$96:$L$111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5.0000000000000009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20.000000000000004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</c:numCache>
            </c:numRef>
          </c:xVal>
          <c:yVal>
            <c:numRef>
              <c:f>'Calcoli eqilib.'!$S$96:$S$111</c:f>
              <c:numCache>
                <c:formatCode>General</c:formatCode>
                <c:ptCount val="16"/>
                <c:pt idx="0">
                  <c:v>0</c:v>
                </c:pt>
                <c:pt idx="1">
                  <c:v>2.2420585359499401</c:v>
                </c:pt>
                <c:pt idx="2">
                  <c:v>5.2294013746427099</c:v>
                </c:pt>
                <c:pt idx="3">
                  <c:v>6.7108252041098799</c:v>
                </c:pt>
                <c:pt idx="4">
                  <c:v>7.2459089624925497</c:v>
                </c:pt>
                <c:pt idx="5">
                  <c:v>7.3259991827953401</c:v>
                </c:pt>
                <c:pt idx="6">
                  <c:v>7.3527698178875198</c:v>
                </c:pt>
                <c:pt idx="7">
                  <c:v>7.35499869983955</c:v>
                </c:pt>
                <c:pt idx="8">
                  <c:v>7.3942270679386999</c:v>
                </c:pt>
                <c:pt idx="9">
                  <c:v>7.7929070495789201</c:v>
                </c:pt>
                <c:pt idx="10">
                  <c:v>9.4058537496757992</c:v>
                </c:pt>
                <c:pt idx="11">
                  <c:v>11.335524932604899</c:v>
                </c:pt>
                <c:pt idx="12">
                  <c:v>19.1711476318244</c:v>
                </c:pt>
                <c:pt idx="13">
                  <c:v>25.953401939966501</c:v>
                </c:pt>
                <c:pt idx="14">
                  <c:v>48.193103764106802</c:v>
                </c:pt>
                <c:pt idx="15">
                  <c:v>87.364649586469895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6A1-4D12-B086-BD9A0E29C483}"/>
            </c:ext>
          </c:extLst>
        </c:ser>
        <c:ser>
          <c:idx val="7"/>
          <c:order val="7"/>
          <c:tx>
            <c:v>T = 200 K</c:v>
          </c:tx>
          <c:spPr>
            <a:ln>
              <a:solidFill>
                <a:srgbClr val="BB11AF"/>
              </a:solidFill>
              <a:prstDash val="sysDash"/>
            </a:ln>
          </c:spPr>
          <c:marker>
            <c:symbol val="none"/>
          </c:marker>
          <c:xVal>
            <c:numRef>
              <c:f>'Calcoli eqilib.'!$L$96:$L$111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5.0000000000000009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20.000000000000004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</c:numCache>
            </c:numRef>
          </c:xVal>
          <c:yVal>
            <c:numRef>
              <c:f>'Calcoli eqilib.'!$T$96:$T$111</c:f>
              <c:numCache>
                <c:formatCode>General</c:formatCode>
                <c:ptCount val="16"/>
                <c:pt idx="0">
                  <c:v>0</c:v>
                </c:pt>
                <c:pt idx="1">
                  <c:v>1.30350235315319</c:v>
                </c:pt>
                <c:pt idx="2">
                  <c:v>6.2285103014644196</c:v>
                </c:pt>
                <c:pt idx="3">
                  <c:v>-400.57897699760298</c:v>
                </c:pt>
                <c:pt idx="4">
                  <c:v>-3367.6832382938701</c:v>
                </c:pt>
                <c:pt idx="5">
                  <c:v>-6369.7435789423298</c:v>
                </c:pt>
                <c:pt idx="6">
                  <c:v>-9613.7263439378494</c:v>
                </c:pt>
                <c:pt idx="7">
                  <c:v>-8465.4819534005892</c:v>
                </c:pt>
                <c:pt idx="8">
                  <c:v>16870.609199151098</c:v>
                </c:pt>
                <c:pt idx="9">
                  <c:v>30559.716567799202</c:v>
                </c:pt>
                <c:pt idx="10">
                  <c:v>9787.11895554894</c:v>
                </c:pt>
                <c:pt idx="11">
                  <c:v>3273.14838947319</c:v>
                </c:pt>
                <c:pt idx="12">
                  <c:v>164.74362751625901</c:v>
                </c:pt>
                <c:pt idx="13">
                  <c:v>11.4837394568266</c:v>
                </c:pt>
                <c:pt idx="14">
                  <c:v>-51.051072389036001</c:v>
                </c:pt>
                <c:pt idx="15">
                  <c:v>-50.6469358701586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6A1-4D12-B086-BD9A0E29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valAx>
        <c:axId val="68415872"/>
        <c:scaling>
          <c:orientation val="minMax"/>
          <c:max val="22"/>
          <c:min val="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el-GR" sz="1050" b="1" i="0" u="none" strike="noStrike" baseline="0">
                    <a:effectLst/>
                  </a:rPr>
                  <a:t>ρ</a:t>
                </a:r>
                <a:r>
                  <a:rPr lang="it-IT" sz="1050" b="1" i="0" u="none" strike="noStrike" baseline="0">
                    <a:effectLst/>
                  </a:rPr>
                  <a:t> </a:t>
                </a:r>
                <a:r>
                  <a:rPr lang="it-IT" sz="1050"/>
                  <a:t>[10</a:t>
                </a:r>
                <a:r>
                  <a:rPr lang="it-IT" sz="1050" baseline="30000"/>
                  <a:t>-3</a:t>
                </a:r>
                <a:r>
                  <a:rPr lang="it-IT" sz="1050"/>
                  <a:t> mol/m</a:t>
                </a:r>
                <a:r>
                  <a:rPr lang="it-IT" sz="1050" baseline="30000"/>
                  <a:t>3</a:t>
                </a:r>
                <a:r>
                  <a:rPr lang="it-IT" sz="1050"/>
                  <a:t>]</a:t>
                </a:r>
              </a:p>
            </c:rich>
          </c:tx>
          <c:layout>
            <c:manualLayout>
              <c:xMode val="edge"/>
              <c:yMode val="edge"/>
              <c:x val="0.45235012526843238"/>
              <c:y val="0.925259580052493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2"/>
      </c:valAx>
      <c:valAx>
        <c:axId val="68417792"/>
        <c:scaling>
          <c:orientation val="minMax"/>
          <c:max val="2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P [MPa]</a:t>
                </a:r>
              </a:p>
            </c:rich>
          </c:tx>
          <c:layout>
            <c:manualLayout>
              <c:xMode val="edge"/>
              <c:yMode val="edge"/>
              <c:x val="2.8372839876817831E-2"/>
              <c:y val="0.40937689418656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4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410209377236934"/>
          <c:y val="9.9866404199475067E-2"/>
          <c:w val="0.19202964686232402"/>
          <c:h val="0.2803832556644705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96631151157039"/>
          <c:y val="7.5930708661417309E-2"/>
          <c:w val="0.81268754818211386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v> model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rel.'!$K$18:$K$41</c:f>
              <c:numCache>
                <c:formatCode>General</c:formatCode>
                <c:ptCount val="24"/>
                <c:pt idx="0">
                  <c:v>216.64</c:v>
                </c:pt>
                <c:pt idx="1">
                  <c:v>216.97</c:v>
                </c:pt>
                <c:pt idx="2">
                  <c:v>216.99</c:v>
                </c:pt>
                <c:pt idx="3">
                  <c:v>217.1</c:v>
                </c:pt>
                <c:pt idx="4">
                  <c:v>217.29</c:v>
                </c:pt>
                <c:pt idx="5">
                  <c:v>217.31</c:v>
                </c:pt>
                <c:pt idx="6">
                  <c:v>217.52</c:v>
                </c:pt>
                <c:pt idx="7">
                  <c:v>217.66</c:v>
                </c:pt>
                <c:pt idx="8">
                  <c:v>218.81</c:v>
                </c:pt>
                <c:pt idx="9">
                  <c:v>218.95</c:v>
                </c:pt>
                <c:pt idx="10">
                  <c:v>219.98</c:v>
                </c:pt>
                <c:pt idx="11">
                  <c:v>219.99</c:v>
                </c:pt>
                <c:pt idx="12">
                  <c:v>221.94</c:v>
                </c:pt>
                <c:pt idx="13">
                  <c:v>222.03</c:v>
                </c:pt>
                <c:pt idx="14">
                  <c:v>226.25</c:v>
                </c:pt>
                <c:pt idx="15">
                  <c:v>235.25</c:v>
                </c:pt>
                <c:pt idx="16">
                  <c:v>242.65</c:v>
                </c:pt>
                <c:pt idx="17">
                  <c:v>242.66</c:v>
                </c:pt>
                <c:pt idx="18">
                  <c:v>252.25</c:v>
                </c:pt>
                <c:pt idx="19">
                  <c:v>259.08999999999997</c:v>
                </c:pt>
                <c:pt idx="20">
                  <c:v>259.2</c:v>
                </c:pt>
                <c:pt idx="21">
                  <c:v>261.62</c:v>
                </c:pt>
                <c:pt idx="22">
                  <c:v>265.67</c:v>
                </c:pt>
                <c:pt idx="23">
                  <c:v>266</c:v>
                </c:pt>
              </c:numCache>
            </c:numRef>
          </c:xVal>
          <c:yVal>
            <c:numRef>
              <c:f>'Err. rel.'!$P$18:$P$41</c:f>
              <c:numCache>
                <c:formatCode>General</c:formatCode>
                <c:ptCount val="24"/>
                <c:pt idx="0">
                  <c:v>-21.24245057338096</c:v>
                </c:pt>
                <c:pt idx="1">
                  <c:v>-13.704883550786484</c:v>
                </c:pt>
                <c:pt idx="2">
                  <c:v>-8.3938826418408006</c:v>
                </c:pt>
                <c:pt idx="3">
                  <c:v>-9.5258665539954634</c:v>
                </c:pt>
                <c:pt idx="4">
                  <c:v>-8.4982674003206853</c:v>
                </c:pt>
                <c:pt idx="5">
                  <c:v>-6.2234688058952212</c:v>
                </c:pt>
                <c:pt idx="6">
                  <c:v>-4.2849951842853091</c:v>
                </c:pt>
                <c:pt idx="7">
                  <c:v>-5.1878264536803123</c:v>
                </c:pt>
                <c:pt idx="8">
                  <c:v>-1.9829838803281521</c:v>
                </c:pt>
                <c:pt idx="9">
                  <c:v>-1.4701753490390304</c:v>
                </c:pt>
                <c:pt idx="10">
                  <c:v>-1.6930972217633748</c:v>
                </c:pt>
                <c:pt idx="11">
                  <c:v>-1.4062466052190874</c:v>
                </c:pt>
                <c:pt idx="12">
                  <c:v>-0.48476640032146906</c:v>
                </c:pt>
                <c:pt idx="13">
                  <c:v>-0.71203610978069942</c:v>
                </c:pt>
                <c:pt idx="14">
                  <c:v>-0.33785589720811326</c:v>
                </c:pt>
                <c:pt idx="15">
                  <c:v>0.16480450227278973</c:v>
                </c:pt>
                <c:pt idx="16">
                  <c:v>0.26135069495483121</c:v>
                </c:pt>
                <c:pt idx="17">
                  <c:v>0.3040116228937681</c:v>
                </c:pt>
                <c:pt idx="18">
                  <c:v>0.47012043882875476</c:v>
                </c:pt>
                <c:pt idx="19">
                  <c:v>0.23957343769494518</c:v>
                </c:pt>
                <c:pt idx="20">
                  <c:v>0.16821613163361174</c:v>
                </c:pt>
                <c:pt idx="21">
                  <c:v>0.19296901983749831</c:v>
                </c:pt>
                <c:pt idx="22">
                  <c:v>0.19215736515408713</c:v>
                </c:pt>
                <c:pt idx="23">
                  <c:v>0.10637967152877306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3F-47A9-BC4D-81146E4B5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1"/>
          <c:order val="1"/>
          <c:tx>
            <c:v> corr. eq. [1]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rel.'!$K$18:$K$41</c:f>
              <c:numCache>
                <c:formatCode>General</c:formatCode>
                <c:ptCount val="24"/>
                <c:pt idx="0">
                  <c:v>216.64</c:v>
                </c:pt>
                <c:pt idx="1">
                  <c:v>216.97</c:v>
                </c:pt>
                <c:pt idx="2">
                  <c:v>216.99</c:v>
                </c:pt>
                <c:pt idx="3">
                  <c:v>217.1</c:v>
                </c:pt>
                <c:pt idx="4">
                  <c:v>217.29</c:v>
                </c:pt>
                <c:pt idx="5">
                  <c:v>217.31</c:v>
                </c:pt>
                <c:pt idx="6">
                  <c:v>217.52</c:v>
                </c:pt>
                <c:pt idx="7">
                  <c:v>217.66</c:v>
                </c:pt>
                <c:pt idx="8">
                  <c:v>218.81</c:v>
                </c:pt>
                <c:pt idx="9">
                  <c:v>218.95</c:v>
                </c:pt>
                <c:pt idx="10">
                  <c:v>219.98</c:v>
                </c:pt>
                <c:pt idx="11">
                  <c:v>219.99</c:v>
                </c:pt>
                <c:pt idx="12">
                  <c:v>221.94</c:v>
                </c:pt>
                <c:pt idx="13">
                  <c:v>222.03</c:v>
                </c:pt>
                <c:pt idx="14">
                  <c:v>226.25</c:v>
                </c:pt>
                <c:pt idx="15">
                  <c:v>235.25</c:v>
                </c:pt>
                <c:pt idx="16">
                  <c:v>242.65</c:v>
                </c:pt>
                <c:pt idx="17">
                  <c:v>242.66</c:v>
                </c:pt>
                <c:pt idx="18">
                  <c:v>252.25</c:v>
                </c:pt>
                <c:pt idx="19">
                  <c:v>259.08999999999997</c:v>
                </c:pt>
                <c:pt idx="20">
                  <c:v>259.2</c:v>
                </c:pt>
                <c:pt idx="21">
                  <c:v>261.62</c:v>
                </c:pt>
                <c:pt idx="22">
                  <c:v>265.67</c:v>
                </c:pt>
                <c:pt idx="23">
                  <c:v>266</c:v>
                </c:pt>
              </c:numCache>
            </c:numRef>
          </c:xVal>
          <c:yVal>
            <c:numRef>
              <c:f>'Err. rel.'!$R$18:$R$41</c:f>
              <c:numCache>
                <c:formatCode>General</c:formatCode>
                <c:ptCount val="24"/>
                <c:pt idx="0">
                  <c:v>-20.352074147974129</c:v>
                </c:pt>
                <c:pt idx="1">
                  <c:v>-12.782358858675764</c:v>
                </c:pt>
                <c:pt idx="2">
                  <c:v>-7.4178407404241318</c:v>
                </c:pt>
                <c:pt idx="3">
                  <c:v>-8.5780410976613286</c:v>
                </c:pt>
                <c:pt idx="4">
                  <c:v>-7.5669036908515688</c:v>
                </c:pt>
                <c:pt idx="5">
                  <c:v>-5.2721229341612084</c:v>
                </c:pt>
                <c:pt idx="6">
                  <c:v>-3.3448408436022325</c:v>
                </c:pt>
                <c:pt idx="7">
                  <c:v>-4.2766080274333369</c:v>
                </c:pt>
                <c:pt idx="8">
                  <c:v>-1.2012113383025305</c:v>
                </c:pt>
                <c:pt idx="9">
                  <c:v>-0.702839956779574</c:v>
                </c:pt>
                <c:pt idx="10">
                  <c:v>-1.0570905942581759</c:v>
                </c:pt>
                <c:pt idx="11">
                  <c:v>-0.76956109593721178</c:v>
                </c:pt>
                <c:pt idx="12">
                  <c:v>-6.1413963246177518E-2</c:v>
                </c:pt>
                <c:pt idx="13">
                  <c:v>-0.29890328854255771</c:v>
                </c:pt>
                <c:pt idx="14">
                  <c:v>-0.2865815098538847</c:v>
                </c:pt>
                <c:pt idx="15">
                  <c:v>-0.20136677032699937</c:v>
                </c:pt>
                <c:pt idx="16">
                  <c:v>-0.20287234072218963</c:v>
                </c:pt>
                <c:pt idx="17">
                  <c:v>-0.16043340895327335</c:v>
                </c:pt>
                <c:pt idx="18">
                  <c:v>8.2611141771738103E-2</c:v>
                </c:pt>
                <c:pt idx="19">
                  <c:v>5.8216401552790441E-4</c:v>
                </c:pt>
                <c:pt idx="20">
                  <c:v>-6.7764694485189791E-2</c:v>
                </c:pt>
                <c:pt idx="21">
                  <c:v>2.2719854392242233E-2</c:v>
                </c:pt>
                <c:pt idx="22">
                  <c:v>0.14458964064047491</c:v>
                </c:pt>
                <c:pt idx="23">
                  <c:v>6.9469850256142426E-2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3F-47A9-BC4D-81146E4B5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</c:scatterChart>
      <c:valAx>
        <c:axId val="68415872"/>
        <c:scaling>
          <c:orientation val="minMax"/>
          <c:max val="266"/>
          <c:min val="218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49220087469476831"/>
              <c:y val="0.941926350115326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2.5"/>
        <c:crossBetween val="midCat"/>
        <c:majorUnit val="6"/>
      </c:valAx>
      <c:valAx>
        <c:axId val="68417792"/>
        <c:scaling>
          <c:orientation val="minMax"/>
          <c:max val="0.5"/>
          <c:min val="-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E</a:t>
                </a:r>
                <a:r>
                  <a:rPr lang="it-IT" sz="1080" baseline="-25000"/>
                  <a:t>r </a:t>
                </a:r>
                <a:r>
                  <a:rPr lang="it-IT" sz="1050" baseline="0"/>
                  <a:t>[%]</a:t>
                </a:r>
              </a:p>
            </c:rich>
          </c:tx>
          <c:layout>
            <c:manualLayout>
              <c:xMode val="edge"/>
              <c:yMode val="edge"/>
              <c:x val="5.917766221497354E-3"/>
              <c:y val="0.409376971817916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0.5"/>
      </c:valAx>
      <c:valAx>
        <c:axId val="986252751"/>
        <c:scaling>
          <c:orientation val="minMax"/>
          <c:max val="0.5"/>
          <c:min val="-2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0.5"/>
      </c:valAx>
      <c:valAx>
        <c:axId val="986251919"/>
        <c:scaling>
          <c:orientation val="minMax"/>
          <c:max val="266"/>
          <c:min val="218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6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75042885503402645"/>
          <c:y val="0.73287679949097273"/>
          <c:w val="0.16919736394684307"/>
          <c:h val="0.1074042259869031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8249815806"/>
          <c:y val="7.2247523164549007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'Heat Capacity'!$E$2</c:f>
              <c:strCache>
                <c:ptCount val="1"/>
                <c:pt idx="0">
                  <c:v> exp. data [9]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'Heat Capacity'!$G$4:$G$25</c:f>
              <c:numCache>
                <c:formatCode>General</c:formatCode>
                <c:ptCount val="22"/>
                <c:pt idx="0">
                  <c:v>76.47</c:v>
                </c:pt>
                <c:pt idx="1">
                  <c:v>81.94</c:v>
                </c:pt>
                <c:pt idx="2">
                  <c:v>87.45</c:v>
                </c:pt>
                <c:pt idx="3">
                  <c:v>92.71</c:v>
                </c:pt>
                <c:pt idx="4">
                  <c:v>97.93</c:v>
                </c:pt>
                <c:pt idx="5">
                  <c:v>103.26</c:v>
                </c:pt>
                <c:pt idx="6">
                  <c:v>108.56</c:v>
                </c:pt>
                <c:pt idx="7">
                  <c:v>113.91</c:v>
                </c:pt>
                <c:pt idx="8">
                  <c:v>119.24</c:v>
                </c:pt>
                <c:pt idx="9">
                  <c:v>124.58</c:v>
                </c:pt>
                <c:pt idx="10">
                  <c:v>130.18</c:v>
                </c:pt>
                <c:pt idx="11">
                  <c:v>135.74</c:v>
                </c:pt>
                <c:pt idx="12">
                  <c:v>141.13999999999999</c:v>
                </c:pt>
                <c:pt idx="13">
                  <c:v>146.47999999999999</c:v>
                </c:pt>
                <c:pt idx="14">
                  <c:v>151.66999999999999</c:v>
                </c:pt>
                <c:pt idx="15">
                  <c:v>156.72</c:v>
                </c:pt>
                <c:pt idx="16">
                  <c:v>162</c:v>
                </c:pt>
                <c:pt idx="17">
                  <c:v>167.62</c:v>
                </c:pt>
                <c:pt idx="18">
                  <c:v>173.36</c:v>
                </c:pt>
                <c:pt idx="19">
                  <c:v>179.12</c:v>
                </c:pt>
                <c:pt idx="20">
                  <c:v>184.58</c:v>
                </c:pt>
                <c:pt idx="21">
                  <c:v>189.78</c:v>
                </c:pt>
              </c:numCache>
            </c:numRef>
          </c:xVal>
          <c:yVal>
            <c:numRef>
              <c:f>'Heat Capacity'!$J$4:$J$25</c:f>
              <c:numCache>
                <c:formatCode>General</c:formatCode>
                <c:ptCount val="22"/>
                <c:pt idx="0">
                  <c:v>0.23763509392324969</c:v>
                </c:pt>
                <c:pt idx="1">
                  <c:v>-0.12592084354111771</c:v>
                </c:pt>
                <c:pt idx="2">
                  <c:v>-0.20020720924727664</c:v>
                </c:pt>
                <c:pt idx="3">
                  <c:v>0.1891550022295781</c:v>
                </c:pt>
                <c:pt idx="4">
                  <c:v>9.446574239278091E-2</c:v>
                </c:pt>
                <c:pt idx="5">
                  <c:v>-0.24778896833944516</c:v>
                </c:pt>
                <c:pt idx="6">
                  <c:v>-0.38270875035925883</c:v>
                </c:pt>
                <c:pt idx="7">
                  <c:v>-9.9399803668771353E-2</c:v>
                </c:pt>
                <c:pt idx="8">
                  <c:v>-8.8853349617676922E-2</c:v>
                </c:pt>
                <c:pt idx="9">
                  <c:v>0.19605796209606643</c:v>
                </c:pt>
                <c:pt idx="10">
                  <c:v>-0.19397696601780709</c:v>
                </c:pt>
                <c:pt idx="11">
                  <c:v>-2.7722907996862615E-2</c:v>
                </c:pt>
                <c:pt idx="12">
                  <c:v>-1.5531058666163982E-3</c:v>
                </c:pt>
                <c:pt idx="13">
                  <c:v>0.10565453215951939</c:v>
                </c:pt>
                <c:pt idx="14">
                  <c:v>0.2628019404343464</c:v>
                </c:pt>
                <c:pt idx="15">
                  <c:v>0.29883930272743686</c:v>
                </c:pt>
                <c:pt idx="16">
                  <c:v>0.34143099839801305</c:v>
                </c:pt>
                <c:pt idx="17">
                  <c:v>0.2632033342785286</c:v>
                </c:pt>
                <c:pt idx="18">
                  <c:v>8.5009994785322868E-2</c:v>
                </c:pt>
                <c:pt idx="19">
                  <c:v>-5.833489247974976E-2</c:v>
                </c:pt>
                <c:pt idx="20">
                  <c:v>-0.27140760582622619</c:v>
                </c:pt>
                <c:pt idx="21">
                  <c:v>-0.38826985487499044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EB-472B-8187-14F7CE918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Corr. Eq.</c:v>
                </c:tx>
                <c:spPr>
                  <a:ln w="19050">
                    <a:solidFill>
                      <a:srgbClr val="0070C0"/>
                    </a:solidFill>
                    <a:prstDash val="lgDash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'Err. rel.'!$B$4:$B$87</c15:sqref>
                        </c15:formulaRef>
                      </c:ext>
                    </c:extLst>
                    <c:numCache>
                      <c:formatCode>0.00</c:formatCode>
                      <c:ptCount val="84"/>
                      <c:pt idx="0">
                        <c:v>170.11</c:v>
                      </c:pt>
                      <c:pt idx="1">
                        <c:v>171.81</c:v>
                      </c:pt>
                      <c:pt idx="2">
                        <c:v>172.14</c:v>
                      </c:pt>
                      <c:pt idx="3">
                        <c:v>173.59</c:v>
                      </c:pt>
                      <c:pt idx="4">
                        <c:v>175.34</c:v>
                      </c:pt>
                      <c:pt idx="5">
                        <c:v>177.2</c:v>
                      </c:pt>
                      <c:pt idx="6">
                        <c:v>179.2</c:v>
                      </c:pt>
                      <c:pt idx="7">
                        <c:v>179.73</c:v>
                      </c:pt>
                      <c:pt idx="8">
                        <c:v>180.95</c:v>
                      </c:pt>
                      <c:pt idx="9">
                        <c:v>183.02</c:v>
                      </c:pt>
                      <c:pt idx="10">
                        <c:v>184.37</c:v>
                      </c:pt>
                      <c:pt idx="11">
                        <c:v>185.23</c:v>
                      </c:pt>
                      <c:pt idx="12">
                        <c:v>187.25</c:v>
                      </c:pt>
                      <c:pt idx="13">
                        <c:v>187.69</c:v>
                      </c:pt>
                      <c:pt idx="14">
                        <c:v>189.88</c:v>
                      </c:pt>
                      <c:pt idx="15">
                        <c:v>192.79</c:v>
                      </c:pt>
                      <c:pt idx="16">
                        <c:v>192.94</c:v>
                      </c:pt>
                      <c:pt idx="17">
                        <c:v>194.54</c:v>
                      </c:pt>
                      <c:pt idx="18">
                        <c:v>196.76</c:v>
                      </c:pt>
                      <c:pt idx="19">
                        <c:v>197.47</c:v>
                      </c:pt>
                      <c:pt idx="20">
                        <c:v>199.29</c:v>
                      </c:pt>
                      <c:pt idx="21">
                        <c:v>201.74</c:v>
                      </c:pt>
                      <c:pt idx="22">
                        <c:v>202.82</c:v>
                      </c:pt>
                      <c:pt idx="23">
                        <c:v>203.8</c:v>
                      </c:pt>
                      <c:pt idx="24">
                        <c:v>205.24</c:v>
                      </c:pt>
                      <c:pt idx="25">
                        <c:v>207.03</c:v>
                      </c:pt>
                      <c:pt idx="26">
                        <c:v>207.22</c:v>
                      </c:pt>
                      <c:pt idx="27">
                        <c:v>207.61</c:v>
                      </c:pt>
                      <c:pt idx="28">
                        <c:v>207.98</c:v>
                      </c:pt>
                      <c:pt idx="29">
                        <c:v>208.44</c:v>
                      </c:pt>
                      <c:pt idx="30">
                        <c:v>209.3</c:v>
                      </c:pt>
                      <c:pt idx="31">
                        <c:v>210.73</c:v>
                      </c:pt>
                      <c:pt idx="32">
                        <c:v>210.93</c:v>
                      </c:pt>
                      <c:pt idx="33">
                        <c:v>211.11</c:v>
                      </c:pt>
                      <c:pt idx="34">
                        <c:v>211.23</c:v>
                      </c:pt>
                      <c:pt idx="35">
                        <c:v>211.29</c:v>
                      </c:pt>
                      <c:pt idx="36">
                        <c:v>213.19</c:v>
                      </c:pt>
                      <c:pt idx="37">
                        <c:v>213.27</c:v>
                      </c:pt>
                      <c:pt idx="38">
                        <c:v>213.28</c:v>
                      </c:pt>
                      <c:pt idx="39">
                        <c:v>213.31</c:v>
                      </c:pt>
                      <c:pt idx="40">
                        <c:v>213.34</c:v>
                      </c:pt>
                      <c:pt idx="41">
                        <c:v>213.34</c:v>
                      </c:pt>
                      <c:pt idx="42">
                        <c:v>213.35</c:v>
                      </c:pt>
                      <c:pt idx="43">
                        <c:v>213.39</c:v>
                      </c:pt>
                      <c:pt idx="44">
                        <c:v>213.41</c:v>
                      </c:pt>
                      <c:pt idx="45">
                        <c:v>213.43</c:v>
                      </c:pt>
                      <c:pt idx="46">
                        <c:v>213.47</c:v>
                      </c:pt>
                      <c:pt idx="47">
                        <c:v>213.51</c:v>
                      </c:pt>
                      <c:pt idx="48">
                        <c:v>213.54</c:v>
                      </c:pt>
                      <c:pt idx="49">
                        <c:v>213.68</c:v>
                      </c:pt>
                      <c:pt idx="50">
                        <c:v>213.7</c:v>
                      </c:pt>
                      <c:pt idx="51">
                        <c:v>213.73</c:v>
                      </c:pt>
                      <c:pt idx="52">
                        <c:v>213.8</c:v>
                      </c:pt>
                      <c:pt idx="53">
                        <c:v>213.85</c:v>
                      </c:pt>
                      <c:pt idx="54">
                        <c:v>213.92</c:v>
                      </c:pt>
                      <c:pt idx="55">
                        <c:v>214.17</c:v>
                      </c:pt>
                      <c:pt idx="56">
                        <c:v>214.23</c:v>
                      </c:pt>
                      <c:pt idx="57">
                        <c:v>214.34</c:v>
                      </c:pt>
                      <c:pt idx="58">
                        <c:v>214.37</c:v>
                      </c:pt>
                      <c:pt idx="59">
                        <c:v>214.39</c:v>
                      </c:pt>
                      <c:pt idx="60">
                        <c:v>214.39</c:v>
                      </c:pt>
                      <c:pt idx="61">
                        <c:v>214.4</c:v>
                      </c:pt>
                      <c:pt idx="62">
                        <c:v>214.46</c:v>
                      </c:pt>
                      <c:pt idx="63">
                        <c:v>214.52</c:v>
                      </c:pt>
                      <c:pt idx="64">
                        <c:v>214.56</c:v>
                      </c:pt>
                      <c:pt idx="65">
                        <c:v>214.62</c:v>
                      </c:pt>
                      <c:pt idx="66">
                        <c:v>214.74</c:v>
                      </c:pt>
                      <c:pt idx="67">
                        <c:v>214.85</c:v>
                      </c:pt>
                      <c:pt idx="68">
                        <c:v>214.91</c:v>
                      </c:pt>
                      <c:pt idx="69">
                        <c:v>215.01</c:v>
                      </c:pt>
                      <c:pt idx="70">
                        <c:v>215.31</c:v>
                      </c:pt>
                      <c:pt idx="71">
                        <c:v>215.6</c:v>
                      </c:pt>
                      <c:pt idx="72">
                        <c:v>216.19</c:v>
                      </c:pt>
                      <c:pt idx="73">
                        <c:v>216.33</c:v>
                      </c:pt>
                      <c:pt idx="74">
                        <c:v>216.38</c:v>
                      </c:pt>
                      <c:pt idx="75">
                        <c:v>216.45</c:v>
                      </c:pt>
                      <c:pt idx="76">
                        <c:v>216.48</c:v>
                      </c:pt>
                      <c:pt idx="77">
                        <c:v>216.49</c:v>
                      </c:pt>
                      <c:pt idx="78">
                        <c:v>216.53</c:v>
                      </c:pt>
                      <c:pt idx="79">
                        <c:v>216.58</c:v>
                      </c:pt>
                      <c:pt idx="80">
                        <c:v>216.58</c:v>
                      </c:pt>
                      <c:pt idx="81">
                        <c:v>216.59</c:v>
                      </c:pt>
                      <c:pt idx="82">
                        <c:v>216.59</c:v>
                      </c:pt>
                      <c:pt idx="83">
                        <c:v>216.59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'Err. rel.'!$H$4:$H$87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0.39682539682539786</c:v>
                      </c:pt>
                      <c:pt idx="1">
                        <c:v>0.41356492969395947</c:v>
                      </c:pt>
                      <c:pt idx="2">
                        <c:v>0.43964828137489603</c:v>
                      </c:pt>
                      <c:pt idx="3">
                        <c:v>0.41208791208790724</c:v>
                      </c:pt>
                      <c:pt idx="4">
                        <c:v>0.40206777713957853</c:v>
                      </c:pt>
                      <c:pt idx="5">
                        <c:v>0.42918454935622224</c:v>
                      </c:pt>
                      <c:pt idx="6">
                        <c:v>0.3920031360250858</c:v>
                      </c:pt>
                      <c:pt idx="7">
                        <c:v>0.40968342644321215</c:v>
                      </c:pt>
                      <c:pt idx="8">
                        <c:v>0.39774610540272476</c:v>
                      </c:pt>
                      <c:pt idx="9">
                        <c:v>0.38209606986899902</c:v>
                      </c:pt>
                      <c:pt idx="10">
                        <c:v>0.3615328994938643</c:v>
                      </c:pt>
                      <c:pt idx="11">
                        <c:v>0.35666518056174862</c:v>
                      </c:pt>
                      <c:pt idx="12">
                        <c:v>0.35348837209302825</c:v>
                      </c:pt>
                      <c:pt idx="13">
                        <c:v>0.32206119162640828</c:v>
                      </c:pt>
                      <c:pt idx="14">
                        <c:v>0.31046717918389705</c:v>
                      </c:pt>
                      <c:pt idx="15">
                        <c:v>0.25404157043879677</c:v>
                      </c:pt>
                      <c:pt idx="16">
                        <c:v>0.25088379518759035</c:v>
                      </c:pt>
                      <c:pt idx="17">
                        <c:v>0.21973631642029362</c:v>
                      </c:pt>
                      <c:pt idx="18">
                        <c:v>0.17510214291670295</c:v>
                      </c:pt>
                      <c:pt idx="19">
                        <c:v>0.15752993068683502</c:v>
                      </c:pt>
                      <c:pt idx="20">
                        <c:v>0.1227412205932395</c:v>
                      </c:pt>
                      <c:pt idx="21">
                        <c:v>7.3288984101923124E-2</c:v>
                      </c:pt>
                      <c:pt idx="22">
                        <c:v>4.1526083571255902E-2</c:v>
                      </c:pt>
                      <c:pt idx="23">
                        <c:v>2.4097546869726007E-2</c:v>
                      </c:pt>
                      <c:pt idx="24">
                        <c:v>0</c:v>
                      </c:pt>
                      <c:pt idx="25">
                        <c:v>-3.4116755117505303E-2</c:v>
                      </c:pt>
                      <c:pt idx="26">
                        <c:v>-3.3646117611865485E-2</c:v>
                      </c:pt>
                      <c:pt idx="27">
                        <c:v>-3.9966573411328345E-2</c:v>
                      </c:pt>
                      <c:pt idx="28">
                        <c:v>-4.2441819339325525E-2</c:v>
                      </c:pt>
                      <c:pt idx="29">
                        <c:v>-4.7889443798307958E-2</c:v>
                      </c:pt>
                      <c:pt idx="30">
                        <c:v>-5.786478927573005E-2</c:v>
                      </c:pt>
                      <c:pt idx="31">
                        <c:v>-6.6749862147026148E-2</c:v>
                      </c:pt>
                      <c:pt idx="32">
                        <c:v>-6.5808297567940627E-2</c:v>
                      </c:pt>
                      <c:pt idx="33">
                        <c:v>-6.497358682448881E-2</c:v>
                      </c:pt>
                      <c:pt idx="34">
                        <c:v>-6.7223124754920732E-2</c:v>
                      </c:pt>
                      <c:pt idx="35">
                        <c:v>-6.6938138004132855E-2</c:v>
                      </c:pt>
                      <c:pt idx="36">
                        <c:v>-6.1012812690671867E-2</c:v>
                      </c:pt>
                      <c:pt idx="37">
                        <c:v>-5.8246772158047272E-2</c:v>
                      </c:pt>
                      <c:pt idx="38">
                        <c:v>-6.0631047947026041E-2</c:v>
                      </c:pt>
                      <c:pt idx="39">
                        <c:v>-5.8084658389607198E-2</c:v>
                      </c:pt>
                      <c:pt idx="40">
                        <c:v>-6.0377723035302248E-2</c:v>
                      </c:pt>
                      <c:pt idx="41">
                        <c:v>-6.0377723035302248E-2</c:v>
                      </c:pt>
                      <c:pt idx="42">
                        <c:v>-5.7923444514158054E-2</c:v>
                      </c:pt>
                      <c:pt idx="43">
                        <c:v>-5.7761732851976527E-2</c:v>
                      </c:pt>
                      <c:pt idx="44">
                        <c:v>-5.7681215150936833E-2</c:v>
                      </c:pt>
                      <c:pt idx="45">
                        <c:v>-5.760092161473683E-2</c:v>
                      </c:pt>
                      <c:pt idx="46">
                        <c:v>-5.744100330286199E-2</c:v>
                      </c:pt>
                      <c:pt idx="47">
                        <c:v>-5.7280603355679728E-2</c:v>
                      </c:pt>
                      <c:pt idx="48">
                        <c:v>-5.7161911113232496E-2</c:v>
                      </c:pt>
                      <c:pt idx="49">
                        <c:v>-5.6607778852281521E-2</c:v>
                      </c:pt>
                      <c:pt idx="50">
                        <c:v>-5.6529112492938099E-2</c:v>
                      </c:pt>
                      <c:pt idx="51">
                        <c:v>-5.4061677322303492E-2</c:v>
                      </c:pt>
                      <c:pt idx="52">
                        <c:v>-5.3798652694612641E-2</c:v>
                      </c:pt>
                      <c:pt idx="53">
                        <c:v>-5.3613053613055475E-2</c:v>
                      </c:pt>
                      <c:pt idx="54">
                        <c:v>-5.1033426894615506E-2</c:v>
                      </c:pt>
                      <c:pt idx="55">
                        <c:v>-5.0156168068759083E-2</c:v>
                      </c:pt>
                      <c:pt idx="56">
                        <c:v>-4.767851061414189E-2</c:v>
                      </c:pt>
                      <c:pt idx="57">
                        <c:v>-4.7316479653911038E-2</c:v>
                      </c:pt>
                      <c:pt idx="58">
                        <c:v>-4.7218599631255E-2</c:v>
                      </c:pt>
                      <c:pt idx="59">
                        <c:v>-4.4908498933430664E-2</c:v>
                      </c:pt>
                      <c:pt idx="60">
                        <c:v>-4.4908498933430664E-2</c:v>
                      </c:pt>
                      <c:pt idx="61">
                        <c:v>-4.4877260692002416E-2</c:v>
                      </c:pt>
                      <c:pt idx="62">
                        <c:v>-4.4691738732102852E-2</c:v>
                      </c:pt>
                      <c:pt idx="63">
                        <c:v>-4.4506753899899408E-2</c:v>
                      </c:pt>
                      <c:pt idx="64">
                        <c:v>-4.2165065133934775E-2</c:v>
                      </c:pt>
                      <c:pt idx="65">
                        <c:v>-4.1990806223472413E-2</c:v>
                      </c:pt>
                      <c:pt idx="66">
                        <c:v>-4.1643835616431341E-2</c:v>
                      </c:pt>
                      <c:pt idx="67">
                        <c:v>-3.9154267815194786E-2</c:v>
                      </c:pt>
                      <c:pt idx="68">
                        <c:v>-3.682682726050604E-2</c:v>
                      </c:pt>
                      <c:pt idx="69">
                        <c:v>-3.6574084034337359E-2</c:v>
                      </c:pt>
                      <c:pt idx="70">
                        <c:v>-2.9505363653613139E-2</c:v>
                      </c:pt>
                      <c:pt idx="71">
                        <c:v>-2.4791851744728421E-2</c:v>
                      </c:pt>
                      <c:pt idx="72">
                        <c:v>-9.9216192082536951E-3</c:v>
                      </c:pt>
                      <c:pt idx="73">
                        <c:v>-7.8617897364195409E-3</c:v>
                      </c:pt>
                      <c:pt idx="74">
                        <c:v>-5.8762462539097629E-3</c:v>
                      </c:pt>
                      <c:pt idx="75">
                        <c:v>-3.8988634812991015E-3</c:v>
                      </c:pt>
                      <c:pt idx="76">
                        <c:v>-3.8908991868059611E-3</c:v>
                      </c:pt>
                      <c:pt idx="77">
                        <c:v>-3.8882516476505245E-3</c:v>
                      </c:pt>
                      <c:pt idx="78">
                        <c:v>-1.9388487116262076E-3</c:v>
                      </c:pt>
                      <c:pt idx="79">
                        <c:v>-1.9322551349806795E-3</c:v>
                      </c:pt>
                      <c:pt idx="80">
                        <c:v>-1.9322551349806795E-3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0EB-472B-8187-14F7CE918FF3}"/>
                  </c:ext>
                </c:extLst>
              </c15:ser>
            </c15:filteredScatterSeries>
          </c:ext>
        </c:extLst>
      </c:scatterChart>
      <c:valAx>
        <c:axId val="68415872"/>
        <c:scaling>
          <c:orientation val="minMax"/>
          <c:max val="195"/>
          <c:min val="75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0846017696"/>
              <c:y val="0.934559804689550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0.4"/>
        <c:crossBetween val="midCat"/>
        <c:majorUnit val="10"/>
      </c:valAx>
      <c:valAx>
        <c:axId val="68417792"/>
        <c:scaling>
          <c:orientation val="minMax"/>
          <c:max val="0.4"/>
          <c:min val="-0.4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2.0180417769694429E-2"/>
              <c:y val="0.402010528272655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0.1"/>
      </c:valAx>
      <c:valAx>
        <c:axId val="986252751"/>
        <c:scaling>
          <c:orientation val="minMax"/>
          <c:max val="0.4"/>
          <c:min val="-0.4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0.1"/>
      </c:valAx>
      <c:valAx>
        <c:axId val="986251919"/>
        <c:scaling>
          <c:orientation val="minMax"/>
          <c:max val="195"/>
          <c:min val="75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2530584718576845"/>
          <c:y val="8.5800114789552004E-2"/>
          <c:w val="0.16470065399360465"/>
          <c:h val="9.8015718454117093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5"/>
          <c:order val="0"/>
          <c:tx>
            <c:strRef>
              <c:f>'Heat Capacity'!$E$2</c:f>
              <c:strCache>
                <c:ptCount val="1"/>
                <c:pt idx="0">
                  <c:v> exp. data [9]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'Heat Capacity'!$G$4:$G$25</c:f>
              <c:numCache>
                <c:formatCode>General</c:formatCode>
                <c:ptCount val="22"/>
                <c:pt idx="0">
                  <c:v>76.47</c:v>
                </c:pt>
                <c:pt idx="1">
                  <c:v>81.94</c:v>
                </c:pt>
                <c:pt idx="2">
                  <c:v>87.45</c:v>
                </c:pt>
                <c:pt idx="3">
                  <c:v>92.71</c:v>
                </c:pt>
                <c:pt idx="4">
                  <c:v>97.93</c:v>
                </c:pt>
                <c:pt idx="5">
                  <c:v>103.26</c:v>
                </c:pt>
                <c:pt idx="6">
                  <c:v>108.56</c:v>
                </c:pt>
                <c:pt idx="7">
                  <c:v>113.91</c:v>
                </c:pt>
                <c:pt idx="8">
                  <c:v>119.24</c:v>
                </c:pt>
                <c:pt idx="9">
                  <c:v>124.58</c:v>
                </c:pt>
                <c:pt idx="10">
                  <c:v>130.18</c:v>
                </c:pt>
                <c:pt idx="11">
                  <c:v>135.74</c:v>
                </c:pt>
                <c:pt idx="12">
                  <c:v>141.13999999999999</c:v>
                </c:pt>
                <c:pt idx="13">
                  <c:v>146.47999999999999</c:v>
                </c:pt>
                <c:pt idx="14">
                  <c:v>151.66999999999999</c:v>
                </c:pt>
                <c:pt idx="15">
                  <c:v>156.72</c:v>
                </c:pt>
                <c:pt idx="16">
                  <c:v>162</c:v>
                </c:pt>
                <c:pt idx="17">
                  <c:v>167.62</c:v>
                </c:pt>
                <c:pt idx="18">
                  <c:v>173.36</c:v>
                </c:pt>
                <c:pt idx="19">
                  <c:v>179.12</c:v>
                </c:pt>
                <c:pt idx="20">
                  <c:v>184.58</c:v>
                </c:pt>
                <c:pt idx="21">
                  <c:v>189.78</c:v>
                </c:pt>
              </c:numCache>
            </c:numRef>
          </c:xVal>
          <c:yVal>
            <c:numRef>
              <c:f>'Heat Capacity'!$H$4:$H$25</c:f>
              <c:numCache>
                <c:formatCode>General</c:formatCode>
                <c:ptCount val="22"/>
                <c:pt idx="0">
                  <c:v>35.02008</c:v>
                </c:pt>
                <c:pt idx="1">
                  <c:v>36.413351999999996</c:v>
                </c:pt>
                <c:pt idx="2">
                  <c:v>37.589055999999999</c:v>
                </c:pt>
                <c:pt idx="3">
                  <c:v>38.446776</c:v>
                </c:pt>
                <c:pt idx="4">
                  <c:v>39.417463999999995</c:v>
                </c:pt>
                <c:pt idx="5">
                  <c:v>40.463464000000002</c:v>
                </c:pt>
                <c:pt idx="6">
                  <c:v>41.392312000000004</c:v>
                </c:pt>
                <c:pt idx="7">
                  <c:v>42.13288</c:v>
                </c:pt>
                <c:pt idx="8">
                  <c:v>42.969679999999997</c:v>
                </c:pt>
                <c:pt idx="9">
                  <c:v>43.680959999999999</c:v>
                </c:pt>
                <c:pt idx="10">
                  <c:v>44.726959999999998</c:v>
                </c:pt>
                <c:pt idx="11">
                  <c:v>45.521920000000009</c:v>
                </c:pt>
                <c:pt idx="12">
                  <c:v>46.358720000000005</c:v>
                </c:pt>
                <c:pt idx="13">
                  <c:v>47.153680000000001</c:v>
                </c:pt>
                <c:pt idx="14">
                  <c:v>47.906799999999997</c:v>
                </c:pt>
                <c:pt idx="15">
                  <c:v>48.701760000000007</c:v>
                </c:pt>
                <c:pt idx="16">
                  <c:v>49.538560000000004</c:v>
                </c:pt>
                <c:pt idx="17">
                  <c:v>50.500880000000002</c:v>
                </c:pt>
                <c:pt idx="18">
                  <c:v>51.546880000000002</c:v>
                </c:pt>
                <c:pt idx="19">
                  <c:v>52.592880000000001</c:v>
                </c:pt>
                <c:pt idx="20">
                  <c:v>53.63888</c:v>
                </c:pt>
                <c:pt idx="21">
                  <c:v>54.601200000000006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E5-449D-9774-18744FEDF86E}"/>
            </c:ext>
          </c:extLst>
        </c:ser>
        <c:ser>
          <c:idx val="9"/>
          <c:order val="1"/>
          <c:tx>
            <c:strRef>
              <c:f>'Heat Capacity'!$K$2</c:f>
              <c:strCache>
                <c:ptCount val="1"/>
                <c:pt idx="0">
                  <c:v> model</c:v>
                </c:pt>
              </c:strCache>
            </c:strRef>
          </c:tx>
          <c:spPr>
            <a:ln w="15875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'Heat Capacity'!$G$4:$G$25</c:f>
              <c:numCache>
                <c:formatCode>General</c:formatCode>
                <c:ptCount val="22"/>
                <c:pt idx="0">
                  <c:v>76.47</c:v>
                </c:pt>
                <c:pt idx="1">
                  <c:v>81.94</c:v>
                </c:pt>
                <c:pt idx="2">
                  <c:v>87.45</c:v>
                </c:pt>
                <c:pt idx="3">
                  <c:v>92.71</c:v>
                </c:pt>
                <c:pt idx="4">
                  <c:v>97.93</c:v>
                </c:pt>
                <c:pt idx="5">
                  <c:v>103.26</c:v>
                </c:pt>
                <c:pt idx="6">
                  <c:v>108.56</c:v>
                </c:pt>
                <c:pt idx="7">
                  <c:v>113.91</c:v>
                </c:pt>
                <c:pt idx="8">
                  <c:v>119.24</c:v>
                </c:pt>
                <c:pt idx="9">
                  <c:v>124.58</c:v>
                </c:pt>
                <c:pt idx="10">
                  <c:v>130.18</c:v>
                </c:pt>
                <c:pt idx="11">
                  <c:v>135.74</c:v>
                </c:pt>
                <c:pt idx="12">
                  <c:v>141.13999999999999</c:v>
                </c:pt>
                <c:pt idx="13">
                  <c:v>146.47999999999999</c:v>
                </c:pt>
                <c:pt idx="14">
                  <c:v>151.66999999999999</c:v>
                </c:pt>
                <c:pt idx="15">
                  <c:v>156.72</c:v>
                </c:pt>
                <c:pt idx="16">
                  <c:v>162</c:v>
                </c:pt>
                <c:pt idx="17">
                  <c:v>167.62</c:v>
                </c:pt>
                <c:pt idx="18">
                  <c:v>173.36</c:v>
                </c:pt>
                <c:pt idx="19">
                  <c:v>179.12</c:v>
                </c:pt>
                <c:pt idx="20">
                  <c:v>184.58</c:v>
                </c:pt>
                <c:pt idx="21">
                  <c:v>189.78</c:v>
                </c:pt>
              </c:numCache>
            </c:numRef>
          </c:xVal>
          <c:yVal>
            <c:numRef>
              <c:f>'Heat Capacity'!$I$4:$I$25</c:f>
              <c:numCache>
                <c:formatCode>General</c:formatCode>
                <c:ptCount val="22"/>
                <c:pt idx="0">
                  <c:v>35.103299999999997</c:v>
                </c:pt>
                <c:pt idx="1">
                  <c:v>36.3675</c:v>
                </c:pt>
                <c:pt idx="2">
                  <c:v>37.513800000000003</c:v>
                </c:pt>
                <c:pt idx="3">
                  <c:v>38.519500000000001</c:v>
                </c:pt>
                <c:pt idx="4">
                  <c:v>39.454700000000003</c:v>
                </c:pt>
                <c:pt idx="5">
                  <c:v>40.363199999999999</c:v>
                </c:pt>
                <c:pt idx="6">
                  <c:v>41.233899999999998</c:v>
                </c:pt>
                <c:pt idx="7">
                  <c:v>42.091000000000001</c:v>
                </c:pt>
                <c:pt idx="8">
                  <c:v>42.9315</c:v>
                </c:pt>
                <c:pt idx="9">
                  <c:v>43.766599999999997</c:v>
                </c:pt>
                <c:pt idx="10">
                  <c:v>44.6402</c:v>
                </c:pt>
                <c:pt idx="11">
                  <c:v>45.509300000000003</c:v>
                </c:pt>
                <c:pt idx="12">
                  <c:v>46.357999999999997</c:v>
                </c:pt>
                <c:pt idx="13">
                  <c:v>47.203499999999998</c:v>
                </c:pt>
                <c:pt idx="14">
                  <c:v>48.032699999999998</c:v>
                </c:pt>
                <c:pt idx="15">
                  <c:v>48.847299999999997</c:v>
                </c:pt>
                <c:pt idx="16">
                  <c:v>49.707700000000003</c:v>
                </c:pt>
                <c:pt idx="17">
                  <c:v>50.633800000000001</c:v>
                </c:pt>
                <c:pt idx="18">
                  <c:v>51.590699999999998</c:v>
                </c:pt>
                <c:pt idx="19">
                  <c:v>52.562199999999997</c:v>
                </c:pt>
                <c:pt idx="20">
                  <c:v>53.493299999999998</c:v>
                </c:pt>
                <c:pt idx="21">
                  <c:v>54.389200000000002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E5-449D-9774-18744FEDF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195"/>
          <c:min val="75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10"/>
      </c:valAx>
      <c:valAx>
        <c:axId val="68417792"/>
        <c:scaling>
          <c:orientation val="minMax"/>
          <c:max val="55"/>
          <c:min val="3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c</a:t>
                </a:r>
                <a:r>
                  <a:rPr lang="it-IT" sz="1050" baseline="-25000"/>
                  <a:t>p </a:t>
                </a:r>
                <a:r>
                  <a:rPr lang="it-IT" sz="1050"/>
                  <a:t>[J</a:t>
                </a:r>
                <a:r>
                  <a:rPr lang="it-IT" sz="1050" baseline="0"/>
                  <a:t> </a:t>
                </a:r>
                <a:r>
                  <a:rPr lang="it-IT" sz="1050"/>
                  <a:t>mol</a:t>
                </a:r>
                <a:r>
                  <a:rPr lang="it-IT" sz="1050" baseline="30000"/>
                  <a:t>-1</a:t>
                </a:r>
                <a:r>
                  <a:rPr lang="it-IT" sz="1050" baseline="0"/>
                  <a:t> K</a:t>
                </a:r>
                <a:r>
                  <a:rPr lang="it-IT" sz="1050" baseline="30000"/>
                  <a:t>-1</a:t>
                </a:r>
                <a:r>
                  <a:rPr lang="it-IT" sz="1050"/>
                  <a:t>]</a:t>
                </a:r>
              </a:p>
            </c:rich>
          </c:tx>
          <c:layout>
            <c:manualLayout>
              <c:xMode val="edge"/>
              <c:yMode val="edge"/>
              <c:x val="2.2446975397604804E-2"/>
              <c:y val="0.350553239668570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402066826412648"/>
          <c:y val="9.3330502804796461E-2"/>
          <c:w val="0.18331162567304379"/>
          <c:h val="0.1137628017086099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'Err. rel.'!$Q$2</c:f>
              <c:strCache>
                <c:ptCount val="1"/>
                <c:pt idx="0">
                  <c:v> exp. data [7]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rel.'!$K$4:$K$10</c:f>
              <c:numCache>
                <c:formatCode>General</c:formatCode>
                <c:ptCount val="7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139</c:v>
                </c:pt>
              </c:numCache>
            </c:numRef>
          </c:xVal>
          <c:yVal>
            <c:numRef>
              <c:f>'Err. rel.'!$P$4:$P$10</c:f>
              <c:numCache>
                <c:formatCode>General</c:formatCode>
                <c:ptCount val="7"/>
                <c:pt idx="0">
                  <c:v>0.12962895819810141</c:v>
                </c:pt>
                <c:pt idx="1">
                  <c:v>0.1488810473464752</c:v>
                </c:pt>
                <c:pt idx="2">
                  <c:v>0.16043945647425897</c:v>
                </c:pt>
                <c:pt idx="3">
                  <c:v>0.16451930403197146</c:v>
                </c:pt>
                <c:pt idx="4">
                  <c:v>0.12510616032299895</c:v>
                </c:pt>
                <c:pt idx="5">
                  <c:v>8.1684501633161558E-2</c:v>
                </c:pt>
                <c:pt idx="6">
                  <c:v>1.6451200049810398E-2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44-4AFF-8480-19ABEFD71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0"/>
          <c:order val="1"/>
          <c:tx>
            <c:strRef>
              <c:f>'Err. rel.'!$H$90</c:f>
              <c:strCache>
                <c:ptCount val="1"/>
                <c:pt idx="0">
                  <c:v> exp. data [8]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rel.'!$B$92:$B$107</c:f>
              <c:numCache>
                <c:formatCode>General</c:formatCode>
                <c:ptCount val="16"/>
                <c:pt idx="0">
                  <c:v>90.149999999999977</c:v>
                </c:pt>
                <c:pt idx="1">
                  <c:v>90.149999999999977</c:v>
                </c:pt>
                <c:pt idx="2">
                  <c:v>137.94999999999999</c:v>
                </c:pt>
                <c:pt idx="3">
                  <c:v>144.34999999999997</c:v>
                </c:pt>
                <c:pt idx="4">
                  <c:v>147.94999999999999</c:v>
                </c:pt>
                <c:pt idx="5">
                  <c:v>157.94999999999999</c:v>
                </c:pt>
                <c:pt idx="6">
                  <c:v>158.24999999999997</c:v>
                </c:pt>
                <c:pt idx="7">
                  <c:v>167.95</c:v>
                </c:pt>
                <c:pt idx="8">
                  <c:v>168.04999999999998</c:v>
                </c:pt>
                <c:pt idx="9">
                  <c:v>177.84999999999997</c:v>
                </c:pt>
                <c:pt idx="10">
                  <c:v>178.04999999999998</c:v>
                </c:pt>
                <c:pt idx="11">
                  <c:v>185.24999999999997</c:v>
                </c:pt>
                <c:pt idx="12">
                  <c:v>187.64999999999998</c:v>
                </c:pt>
                <c:pt idx="13">
                  <c:v>189.54999999999998</c:v>
                </c:pt>
                <c:pt idx="14">
                  <c:v>191.64999999999998</c:v>
                </c:pt>
                <c:pt idx="15">
                  <c:v>193.54999999999998</c:v>
                </c:pt>
              </c:numCache>
            </c:numRef>
          </c:xVal>
          <c:yVal>
            <c:numRef>
              <c:f>'Err. rel.'!$G$92:$G$107</c:f>
              <c:numCache>
                <c:formatCode>General</c:formatCode>
                <c:ptCount val="16"/>
                <c:pt idx="0">
                  <c:v>-0.31350593143631567</c:v>
                </c:pt>
                <c:pt idx="1">
                  <c:v>0.34587556871653574</c:v>
                </c:pt>
                <c:pt idx="2">
                  <c:v>-4.2942941100571714E-3</c:v>
                </c:pt>
                <c:pt idx="3">
                  <c:v>-0.19517661328555894</c:v>
                </c:pt>
                <c:pt idx="4">
                  <c:v>0.13820676719563921</c:v>
                </c:pt>
                <c:pt idx="5">
                  <c:v>-6.2073246430788133E-2</c:v>
                </c:pt>
                <c:pt idx="6">
                  <c:v>1.8625442354243984E-2</c:v>
                </c:pt>
                <c:pt idx="7">
                  <c:v>-4.935063312489249E-2</c:v>
                </c:pt>
                <c:pt idx="8">
                  <c:v>8.2464952395225458E-2</c:v>
                </c:pt>
                <c:pt idx="9">
                  <c:v>-7.734730196261233E-2</c:v>
                </c:pt>
                <c:pt idx="10">
                  <c:v>-6.2892686209149295E-4</c:v>
                </c:pt>
                <c:pt idx="11">
                  <c:v>-3.792523671671807E-3</c:v>
                </c:pt>
                <c:pt idx="12">
                  <c:v>-0.27606118934251439</c:v>
                </c:pt>
                <c:pt idx="13">
                  <c:v>-0.26629469946741208</c:v>
                </c:pt>
                <c:pt idx="14">
                  <c:v>-0.36830073660147861</c:v>
                </c:pt>
                <c:pt idx="15">
                  <c:v>-0.48454172018668773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944-4AFF-8480-19ABEFD71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/>
      </c:scatterChart>
      <c:valAx>
        <c:axId val="68415872"/>
        <c:scaling>
          <c:orientation val="minMax"/>
          <c:max val="195"/>
          <c:min val="75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0.5"/>
        <c:crossBetween val="midCat"/>
        <c:majorUnit val="10"/>
      </c:valAx>
      <c:valAx>
        <c:axId val="68417792"/>
        <c:scaling>
          <c:orientation val="minMax"/>
          <c:max val="0.4"/>
          <c:min val="-0.5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2.0180380678221671E-2"/>
              <c:y val="0.409377012913679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0.1"/>
      </c:valAx>
      <c:valAx>
        <c:axId val="986252751"/>
        <c:scaling>
          <c:orientation val="minMax"/>
          <c:max val="0.4"/>
          <c:min val="-0.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0.1"/>
      </c:valAx>
      <c:valAx>
        <c:axId val="986251919"/>
        <c:scaling>
          <c:orientation val="minMax"/>
          <c:max val="195"/>
          <c:min val="7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76454628192051055"/>
          <c:y val="8.5800114789552004E-2"/>
          <c:w val="0.15998917227246928"/>
          <c:h val="0.120115172377190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18401866433"/>
          <c:y val="6.8178904962461082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v>Proposed model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'Heat Capacity'!$G$29:$G$72</c:f>
              <c:numCache>
                <c:formatCode>General</c:formatCode>
                <c:ptCount val="44"/>
                <c:pt idx="0">
                  <c:v>254.81100000000001</c:v>
                </c:pt>
                <c:pt idx="1">
                  <c:v>271.34899999999999</c:v>
                </c:pt>
                <c:pt idx="2">
                  <c:v>276.75700000000001</c:v>
                </c:pt>
                <c:pt idx="3">
                  <c:v>280.84699999999998</c:v>
                </c:pt>
                <c:pt idx="4">
                  <c:v>284.92099999999999</c:v>
                </c:pt>
                <c:pt idx="5">
                  <c:v>285.48599999999999</c:v>
                </c:pt>
                <c:pt idx="6">
                  <c:v>288.98599999999999</c:v>
                </c:pt>
                <c:pt idx="7">
                  <c:v>293.04399999999998</c:v>
                </c:pt>
                <c:pt idx="8">
                  <c:v>295.447</c:v>
                </c:pt>
                <c:pt idx="9">
                  <c:v>297.00400000000002</c:v>
                </c:pt>
                <c:pt idx="10">
                  <c:v>297.45100000000002</c:v>
                </c:pt>
                <c:pt idx="11">
                  <c:v>297.94200000000001</c:v>
                </c:pt>
                <c:pt idx="12">
                  <c:v>300.44299999999998</c:v>
                </c:pt>
                <c:pt idx="13">
                  <c:v>302.02600000000001</c:v>
                </c:pt>
                <c:pt idx="14">
                  <c:v>304.49400000000003</c:v>
                </c:pt>
                <c:pt idx="15">
                  <c:v>304.50700000000001</c:v>
                </c:pt>
                <c:pt idx="16">
                  <c:v>304.75400000000002</c:v>
                </c:pt>
                <c:pt idx="17">
                  <c:v>305.36599999999999</c:v>
                </c:pt>
                <c:pt idx="18">
                  <c:v>305.90800000000002</c:v>
                </c:pt>
                <c:pt idx="19">
                  <c:v>306.11</c:v>
                </c:pt>
                <c:pt idx="20">
                  <c:v>306.12799999999999</c:v>
                </c:pt>
                <c:pt idx="21">
                  <c:v>306.46899999999999</c:v>
                </c:pt>
                <c:pt idx="22">
                  <c:v>307.08800000000002</c:v>
                </c:pt>
                <c:pt idx="23">
                  <c:v>308.24700000000001</c:v>
                </c:pt>
                <c:pt idx="24">
                  <c:v>308.28800000000001</c:v>
                </c:pt>
                <c:pt idx="25">
                  <c:v>308.661</c:v>
                </c:pt>
                <c:pt idx="26">
                  <c:v>308.74200000000002</c:v>
                </c:pt>
                <c:pt idx="27">
                  <c:v>309.08699999999999</c:v>
                </c:pt>
                <c:pt idx="28">
                  <c:v>309.46699999999998</c:v>
                </c:pt>
                <c:pt idx="29">
                  <c:v>311.21899999999999</c:v>
                </c:pt>
                <c:pt idx="30">
                  <c:v>312.00799999999998</c:v>
                </c:pt>
                <c:pt idx="31">
                  <c:v>312.05500000000001</c:v>
                </c:pt>
                <c:pt idx="32">
                  <c:v>312.12900000000002</c:v>
                </c:pt>
                <c:pt idx="33">
                  <c:v>312.55500000000001</c:v>
                </c:pt>
                <c:pt idx="34">
                  <c:v>313.63</c:v>
                </c:pt>
                <c:pt idx="35">
                  <c:v>315.553</c:v>
                </c:pt>
                <c:pt idx="36">
                  <c:v>315.68900000000002</c:v>
                </c:pt>
                <c:pt idx="37">
                  <c:v>317.86500000000001</c:v>
                </c:pt>
                <c:pt idx="38">
                  <c:v>318.85300000000001</c:v>
                </c:pt>
                <c:pt idx="39">
                  <c:v>319.077</c:v>
                </c:pt>
                <c:pt idx="40">
                  <c:v>319.53100000000001</c:v>
                </c:pt>
                <c:pt idx="41">
                  <c:v>321.92200000000003</c:v>
                </c:pt>
                <c:pt idx="42">
                  <c:v>322.03899999999999</c:v>
                </c:pt>
                <c:pt idx="43">
                  <c:v>322.56200000000001</c:v>
                </c:pt>
              </c:numCache>
            </c:numRef>
          </c:xVal>
          <c:yVal>
            <c:numRef>
              <c:f>'Heat Capacity'!$J$29:$J$72</c:f>
              <c:numCache>
                <c:formatCode>General</c:formatCode>
                <c:ptCount val="44"/>
                <c:pt idx="0">
                  <c:v>-1.1873031257587457E-2</c:v>
                </c:pt>
                <c:pt idx="1">
                  <c:v>0.46569953282517607</c:v>
                </c:pt>
                <c:pt idx="2">
                  <c:v>-7.5395372489193981</c:v>
                </c:pt>
                <c:pt idx="3">
                  <c:v>-6.9501816294758578</c:v>
                </c:pt>
                <c:pt idx="4">
                  <c:v>-7.2456186241171761</c:v>
                </c:pt>
                <c:pt idx="5">
                  <c:v>5.4426705370086467E-2</c:v>
                </c:pt>
                <c:pt idx="6">
                  <c:v>-7.6826064109301093</c:v>
                </c:pt>
                <c:pt idx="7">
                  <c:v>-7.743650793650783</c:v>
                </c:pt>
                <c:pt idx="8">
                  <c:v>0.12980992118682749</c:v>
                </c:pt>
                <c:pt idx="9">
                  <c:v>-5.7566457748000914</c:v>
                </c:pt>
                <c:pt idx="10">
                  <c:v>-7.4923898531375199</c:v>
                </c:pt>
                <c:pt idx="11">
                  <c:v>-2.2902547324137594E-2</c:v>
                </c:pt>
                <c:pt idx="12">
                  <c:v>-6.1676082862513616E-2</c:v>
                </c:pt>
                <c:pt idx="13">
                  <c:v>0.4464090809866752</c:v>
                </c:pt>
                <c:pt idx="14">
                  <c:v>-5.0541532813216996</c:v>
                </c:pt>
                <c:pt idx="15">
                  <c:v>1.6317198304706759</c:v>
                </c:pt>
                <c:pt idx="16">
                  <c:v>-13.040399455288245</c:v>
                </c:pt>
                <c:pt idx="17">
                  <c:v>-7.4016594380539322</c:v>
                </c:pt>
                <c:pt idx="18">
                  <c:v>-11.687867091793931</c:v>
                </c:pt>
                <c:pt idx="19">
                  <c:v>-2.3898874185265671</c:v>
                </c:pt>
                <c:pt idx="20">
                  <c:v>-2.0059488399762073</c:v>
                </c:pt>
                <c:pt idx="21">
                  <c:v>-13.107462226333642</c:v>
                </c:pt>
                <c:pt idx="22">
                  <c:v>-9.2663263509945484</c:v>
                </c:pt>
                <c:pt idx="23">
                  <c:v>-4.6960600375234556</c:v>
                </c:pt>
                <c:pt idx="24">
                  <c:v>-6.2171076476984384</c:v>
                </c:pt>
                <c:pt idx="25">
                  <c:v>1.7357172215372112</c:v>
                </c:pt>
                <c:pt idx="26">
                  <c:v>-6.4945748668376373</c:v>
                </c:pt>
                <c:pt idx="27">
                  <c:v>-3.6848529683743361</c:v>
                </c:pt>
                <c:pt idx="28">
                  <c:v>-6.6442824917577719</c:v>
                </c:pt>
                <c:pt idx="29">
                  <c:v>4.5072984979902557</c:v>
                </c:pt>
                <c:pt idx="30">
                  <c:v>-4.6719828612235137</c:v>
                </c:pt>
                <c:pt idx="31">
                  <c:v>3.0710808179162572</c:v>
                </c:pt>
                <c:pt idx="32">
                  <c:v>-5.4034440344403514</c:v>
                </c:pt>
                <c:pt idx="33">
                  <c:v>-3.2447319778188568</c:v>
                </c:pt>
                <c:pt idx="34">
                  <c:v>-6.0390324354040752</c:v>
                </c:pt>
                <c:pt idx="35">
                  <c:v>-4.5344608879492529</c:v>
                </c:pt>
                <c:pt idx="36">
                  <c:v>-0.60263872720217482</c:v>
                </c:pt>
                <c:pt idx="37">
                  <c:v>-5.1442468037798665</c:v>
                </c:pt>
                <c:pt idx="38">
                  <c:v>1.152763819095483</c:v>
                </c:pt>
                <c:pt idx="39">
                  <c:v>-2.8221101118666372</c:v>
                </c:pt>
                <c:pt idx="40">
                  <c:v>-3.7452041318248814</c:v>
                </c:pt>
                <c:pt idx="41">
                  <c:v>-3.7178763061282063</c:v>
                </c:pt>
                <c:pt idx="42">
                  <c:v>2.7348421926910373</c:v>
                </c:pt>
                <c:pt idx="43">
                  <c:v>-2.8536367692994276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27-4F0E-8243-A95130777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Corr. Eq.</c:v>
                </c:tx>
                <c:spPr>
                  <a:ln w="19050">
                    <a:solidFill>
                      <a:srgbClr val="0070C0"/>
                    </a:solidFill>
                    <a:prstDash val="lgDash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'Err. rel.'!$B$4:$B$87</c15:sqref>
                        </c15:formulaRef>
                      </c:ext>
                    </c:extLst>
                    <c:numCache>
                      <c:formatCode>0.00</c:formatCode>
                      <c:ptCount val="84"/>
                      <c:pt idx="0">
                        <c:v>170.11</c:v>
                      </c:pt>
                      <c:pt idx="1">
                        <c:v>171.81</c:v>
                      </c:pt>
                      <c:pt idx="2">
                        <c:v>172.14</c:v>
                      </c:pt>
                      <c:pt idx="3">
                        <c:v>173.59</c:v>
                      </c:pt>
                      <c:pt idx="4">
                        <c:v>175.34</c:v>
                      </c:pt>
                      <c:pt idx="5">
                        <c:v>177.2</c:v>
                      </c:pt>
                      <c:pt idx="6">
                        <c:v>179.2</c:v>
                      </c:pt>
                      <c:pt idx="7">
                        <c:v>179.73</c:v>
                      </c:pt>
                      <c:pt idx="8">
                        <c:v>180.95</c:v>
                      </c:pt>
                      <c:pt idx="9">
                        <c:v>183.02</c:v>
                      </c:pt>
                      <c:pt idx="10">
                        <c:v>184.37</c:v>
                      </c:pt>
                      <c:pt idx="11">
                        <c:v>185.23</c:v>
                      </c:pt>
                      <c:pt idx="12">
                        <c:v>187.25</c:v>
                      </c:pt>
                      <c:pt idx="13">
                        <c:v>187.69</c:v>
                      </c:pt>
                      <c:pt idx="14">
                        <c:v>189.88</c:v>
                      </c:pt>
                      <c:pt idx="15">
                        <c:v>192.79</c:v>
                      </c:pt>
                      <c:pt idx="16">
                        <c:v>192.94</c:v>
                      </c:pt>
                      <c:pt idx="17">
                        <c:v>194.54</c:v>
                      </c:pt>
                      <c:pt idx="18">
                        <c:v>196.76</c:v>
                      </c:pt>
                      <c:pt idx="19">
                        <c:v>197.47</c:v>
                      </c:pt>
                      <c:pt idx="20">
                        <c:v>199.29</c:v>
                      </c:pt>
                      <c:pt idx="21">
                        <c:v>201.74</c:v>
                      </c:pt>
                      <c:pt idx="22">
                        <c:v>202.82</c:v>
                      </c:pt>
                      <c:pt idx="23">
                        <c:v>203.8</c:v>
                      </c:pt>
                      <c:pt idx="24">
                        <c:v>205.24</c:v>
                      </c:pt>
                      <c:pt idx="25">
                        <c:v>207.03</c:v>
                      </c:pt>
                      <c:pt idx="26">
                        <c:v>207.22</c:v>
                      </c:pt>
                      <c:pt idx="27">
                        <c:v>207.61</c:v>
                      </c:pt>
                      <c:pt idx="28">
                        <c:v>207.98</c:v>
                      </c:pt>
                      <c:pt idx="29">
                        <c:v>208.44</c:v>
                      </c:pt>
                      <c:pt idx="30">
                        <c:v>209.3</c:v>
                      </c:pt>
                      <c:pt idx="31">
                        <c:v>210.73</c:v>
                      </c:pt>
                      <c:pt idx="32">
                        <c:v>210.93</c:v>
                      </c:pt>
                      <c:pt idx="33">
                        <c:v>211.11</c:v>
                      </c:pt>
                      <c:pt idx="34">
                        <c:v>211.23</c:v>
                      </c:pt>
                      <c:pt idx="35">
                        <c:v>211.29</c:v>
                      </c:pt>
                      <c:pt idx="36">
                        <c:v>213.19</c:v>
                      </c:pt>
                      <c:pt idx="37">
                        <c:v>213.27</c:v>
                      </c:pt>
                      <c:pt idx="38">
                        <c:v>213.28</c:v>
                      </c:pt>
                      <c:pt idx="39">
                        <c:v>213.31</c:v>
                      </c:pt>
                      <c:pt idx="40">
                        <c:v>213.34</c:v>
                      </c:pt>
                      <c:pt idx="41">
                        <c:v>213.34</c:v>
                      </c:pt>
                      <c:pt idx="42">
                        <c:v>213.35</c:v>
                      </c:pt>
                      <c:pt idx="43">
                        <c:v>213.39</c:v>
                      </c:pt>
                      <c:pt idx="44">
                        <c:v>213.41</c:v>
                      </c:pt>
                      <c:pt idx="45">
                        <c:v>213.43</c:v>
                      </c:pt>
                      <c:pt idx="46">
                        <c:v>213.47</c:v>
                      </c:pt>
                      <c:pt idx="47">
                        <c:v>213.51</c:v>
                      </c:pt>
                      <c:pt idx="48">
                        <c:v>213.54</c:v>
                      </c:pt>
                      <c:pt idx="49">
                        <c:v>213.68</c:v>
                      </c:pt>
                      <c:pt idx="50">
                        <c:v>213.7</c:v>
                      </c:pt>
                      <c:pt idx="51">
                        <c:v>213.73</c:v>
                      </c:pt>
                      <c:pt idx="52">
                        <c:v>213.8</c:v>
                      </c:pt>
                      <c:pt idx="53">
                        <c:v>213.85</c:v>
                      </c:pt>
                      <c:pt idx="54">
                        <c:v>213.92</c:v>
                      </c:pt>
                      <c:pt idx="55">
                        <c:v>214.17</c:v>
                      </c:pt>
                      <c:pt idx="56">
                        <c:v>214.23</c:v>
                      </c:pt>
                      <c:pt idx="57">
                        <c:v>214.34</c:v>
                      </c:pt>
                      <c:pt idx="58">
                        <c:v>214.37</c:v>
                      </c:pt>
                      <c:pt idx="59">
                        <c:v>214.39</c:v>
                      </c:pt>
                      <c:pt idx="60">
                        <c:v>214.39</c:v>
                      </c:pt>
                      <c:pt idx="61">
                        <c:v>214.4</c:v>
                      </c:pt>
                      <c:pt idx="62">
                        <c:v>214.46</c:v>
                      </c:pt>
                      <c:pt idx="63">
                        <c:v>214.52</c:v>
                      </c:pt>
                      <c:pt idx="64">
                        <c:v>214.56</c:v>
                      </c:pt>
                      <c:pt idx="65">
                        <c:v>214.62</c:v>
                      </c:pt>
                      <c:pt idx="66">
                        <c:v>214.74</c:v>
                      </c:pt>
                      <c:pt idx="67">
                        <c:v>214.85</c:v>
                      </c:pt>
                      <c:pt idx="68">
                        <c:v>214.91</c:v>
                      </c:pt>
                      <c:pt idx="69">
                        <c:v>215.01</c:v>
                      </c:pt>
                      <c:pt idx="70">
                        <c:v>215.31</c:v>
                      </c:pt>
                      <c:pt idx="71">
                        <c:v>215.6</c:v>
                      </c:pt>
                      <c:pt idx="72">
                        <c:v>216.19</c:v>
                      </c:pt>
                      <c:pt idx="73">
                        <c:v>216.33</c:v>
                      </c:pt>
                      <c:pt idx="74">
                        <c:v>216.38</c:v>
                      </c:pt>
                      <c:pt idx="75">
                        <c:v>216.45</c:v>
                      </c:pt>
                      <c:pt idx="76">
                        <c:v>216.48</c:v>
                      </c:pt>
                      <c:pt idx="77">
                        <c:v>216.49</c:v>
                      </c:pt>
                      <c:pt idx="78">
                        <c:v>216.53</c:v>
                      </c:pt>
                      <c:pt idx="79">
                        <c:v>216.58</c:v>
                      </c:pt>
                      <c:pt idx="80">
                        <c:v>216.58</c:v>
                      </c:pt>
                      <c:pt idx="81">
                        <c:v>216.59</c:v>
                      </c:pt>
                      <c:pt idx="82">
                        <c:v>216.59</c:v>
                      </c:pt>
                      <c:pt idx="83">
                        <c:v>216.59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'Err. rel.'!$H$4:$H$87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0.39682539682539786</c:v>
                      </c:pt>
                      <c:pt idx="1">
                        <c:v>0.41356492969395947</c:v>
                      </c:pt>
                      <c:pt idx="2">
                        <c:v>0.43964828137489603</c:v>
                      </c:pt>
                      <c:pt idx="3">
                        <c:v>0.41208791208790724</c:v>
                      </c:pt>
                      <c:pt idx="4">
                        <c:v>0.40206777713957853</c:v>
                      </c:pt>
                      <c:pt idx="5">
                        <c:v>0.42918454935622224</c:v>
                      </c:pt>
                      <c:pt idx="6">
                        <c:v>0.3920031360250858</c:v>
                      </c:pt>
                      <c:pt idx="7">
                        <c:v>0.40968342644321215</c:v>
                      </c:pt>
                      <c:pt idx="8">
                        <c:v>0.39774610540272476</c:v>
                      </c:pt>
                      <c:pt idx="9">
                        <c:v>0.38209606986899902</c:v>
                      </c:pt>
                      <c:pt idx="10">
                        <c:v>0.3615328994938643</c:v>
                      </c:pt>
                      <c:pt idx="11">
                        <c:v>0.35666518056174862</c:v>
                      </c:pt>
                      <c:pt idx="12">
                        <c:v>0.35348837209302825</c:v>
                      </c:pt>
                      <c:pt idx="13">
                        <c:v>0.32206119162640828</c:v>
                      </c:pt>
                      <c:pt idx="14">
                        <c:v>0.31046717918389705</c:v>
                      </c:pt>
                      <c:pt idx="15">
                        <c:v>0.25404157043879677</c:v>
                      </c:pt>
                      <c:pt idx="16">
                        <c:v>0.25088379518759035</c:v>
                      </c:pt>
                      <c:pt idx="17">
                        <c:v>0.21973631642029362</c:v>
                      </c:pt>
                      <c:pt idx="18">
                        <c:v>0.17510214291670295</c:v>
                      </c:pt>
                      <c:pt idx="19">
                        <c:v>0.15752993068683502</c:v>
                      </c:pt>
                      <c:pt idx="20">
                        <c:v>0.1227412205932395</c:v>
                      </c:pt>
                      <c:pt idx="21">
                        <c:v>7.3288984101923124E-2</c:v>
                      </c:pt>
                      <c:pt idx="22">
                        <c:v>4.1526083571255902E-2</c:v>
                      </c:pt>
                      <c:pt idx="23">
                        <c:v>2.4097546869726007E-2</c:v>
                      </c:pt>
                      <c:pt idx="24">
                        <c:v>0</c:v>
                      </c:pt>
                      <c:pt idx="25">
                        <c:v>-3.4116755117505303E-2</c:v>
                      </c:pt>
                      <c:pt idx="26">
                        <c:v>-3.3646117611865485E-2</c:v>
                      </c:pt>
                      <c:pt idx="27">
                        <c:v>-3.9966573411328345E-2</c:v>
                      </c:pt>
                      <c:pt idx="28">
                        <c:v>-4.2441819339325525E-2</c:v>
                      </c:pt>
                      <c:pt idx="29">
                        <c:v>-4.7889443798307958E-2</c:v>
                      </c:pt>
                      <c:pt idx="30">
                        <c:v>-5.786478927573005E-2</c:v>
                      </c:pt>
                      <c:pt idx="31">
                        <c:v>-6.6749862147026148E-2</c:v>
                      </c:pt>
                      <c:pt idx="32">
                        <c:v>-6.5808297567940627E-2</c:v>
                      </c:pt>
                      <c:pt idx="33">
                        <c:v>-6.497358682448881E-2</c:v>
                      </c:pt>
                      <c:pt idx="34">
                        <c:v>-6.7223124754920732E-2</c:v>
                      </c:pt>
                      <c:pt idx="35">
                        <c:v>-6.6938138004132855E-2</c:v>
                      </c:pt>
                      <c:pt idx="36">
                        <c:v>-6.1012812690671867E-2</c:v>
                      </c:pt>
                      <c:pt idx="37">
                        <c:v>-5.8246772158047272E-2</c:v>
                      </c:pt>
                      <c:pt idx="38">
                        <c:v>-6.0631047947026041E-2</c:v>
                      </c:pt>
                      <c:pt idx="39">
                        <c:v>-5.8084658389607198E-2</c:v>
                      </c:pt>
                      <c:pt idx="40">
                        <c:v>-6.0377723035302248E-2</c:v>
                      </c:pt>
                      <c:pt idx="41">
                        <c:v>-6.0377723035302248E-2</c:v>
                      </c:pt>
                      <c:pt idx="42">
                        <c:v>-5.7923444514158054E-2</c:v>
                      </c:pt>
                      <c:pt idx="43">
                        <c:v>-5.7761732851976527E-2</c:v>
                      </c:pt>
                      <c:pt idx="44">
                        <c:v>-5.7681215150936833E-2</c:v>
                      </c:pt>
                      <c:pt idx="45">
                        <c:v>-5.760092161473683E-2</c:v>
                      </c:pt>
                      <c:pt idx="46">
                        <c:v>-5.744100330286199E-2</c:v>
                      </c:pt>
                      <c:pt idx="47">
                        <c:v>-5.7280603355679728E-2</c:v>
                      </c:pt>
                      <c:pt idx="48">
                        <c:v>-5.7161911113232496E-2</c:v>
                      </c:pt>
                      <c:pt idx="49">
                        <c:v>-5.6607778852281521E-2</c:v>
                      </c:pt>
                      <c:pt idx="50">
                        <c:v>-5.6529112492938099E-2</c:v>
                      </c:pt>
                      <c:pt idx="51">
                        <c:v>-5.4061677322303492E-2</c:v>
                      </c:pt>
                      <c:pt idx="52">
                        <c:v>-5.3798652694612641E-2</c:v>
                      </c:pt>
                      <c:pt idx="53">
                        <c:v>-5.3613053613055475E-2</c:v>
                      </c:pt>
                      <c:pt idx="54">
                        <c:v>-5.1033426894615506E-2</c:v>
                      </c:pt>
                      <c:pt idx="55">
                        <c:v>-5.0156168068759083E-2</c:v>
                      </c:pt>
                      <c:pt idx="56">
                        <c:v>-4.767851061414189E-2</c:v>
                      </c:pt>
                      <c:pt idx="57">
                        <c:v>-4.7316479653911038E-2</c:v>
                      </c:pt>
                      <c:pt idx="58">
                        <c:v>-4.7218599631255E-2</c:v>
                      </c:pt>
                      <c:pt idx="59">
                        <c:v>-4.4908498933430664E-2</c:v>
                      </c:pt>
                      <c:pt idx="60">
                        <c:v>-4.4908498933430664E-2</c:v>
                      </c:pt>
                      <c:pt idx="61">
                        <c:v>-4.4877260692002416E-2</c:v>
                      </c:pt>
                      <c:pt idx="62">
                        <c:v>-4.4691738732102852E-2</c:v>
                      </c:pt>
                      <c:pt idx="63">
                        <c:v>-4.4506753899899408E-2</c:v>
                      </c:pt>
                      <c:pt idx="64">
                        <c:v>-4.2165065133934775E-2</c:v>
                      </c:pt>
                      <c:pt idx="65">
                        <c:v>-4.1990806223472413E-2</c:v>
                      </c:pt>
                      <c:pt idx="66">
                        <c:v>-4.1643835616431341E-2</c:v>
                      </c:pt>
                      <c:pt idx="67">
                        <c:v>-3.9154267815194786E-2</c:v>
                      </c:pt>
                      <c:pt idx="68">
                        <c:v>-3.682682726050604E-2</c:v>
                      </c:pt>
                      <c:pt idx="69">
                        <c:v>-3.6574084034337359E-2</c:v>
                      </c:pt>
                      <c:pt idx="70">
                        <c:v>-2.9505363653613139E-2</c:v>
                      </c:pt>
                      <c:pt idx="71">
                        <c:v>-2.4791851744728421E-2</c:v>
                      </c:pt>
                      <c:pt idx="72">
                        <c:v>-9.9216192082536951E-3</c:v>
                      </c:pt>
                      <c:pt idx="73">
                        <c:v>-7.8617897364195409E-3</c:v>
                      </c:pt>
                      <c:pt idx="74">
                        <c:v>-5.8762462539097629E-3</c:v>
                      </c:pt>
                      <c:pt idx="75">
                        <c:v>-3.8988634812991015E-3</c:v>
                      </c:pt>
                      <c:pt idx="76">
                        <c:v>-3.8908991868059611E-3</c:v>
                      </c:pt>
                      <c:pt idx="77">
                        <c:v>-3.8882516476505245E-3</c:v>
                      </c:pt>
                      <c:pt idx="78">
                        <c:v>-1.9388487116262076E-3</c:v>
                      </c:pt>
                      <c:pt idx="79">
                        <c:v>-1.9322551349806795E-3</c:v>
                      </c:pt>
                      <c:pt idx="80">
                        <c:v>-1.9322551349806795E-3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E27-4F0E-8243-A95130777E69}"/>
                  </c:ext>
                </c:extLst>
              </c15:ser>
            </c15:filteredScatterSeries>
          </c:ext>
        </c:extLst>
      </c:scatterChart>
      <c:valAx>
        <c:axId val="68415872"/>
        <c:scaling>
          <c:orientation val="minMax"/>
          <c:max val="323"/>
          <c:min val="253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39515893851"/>
              <c:y val="0.937693645852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3"/>
        <c:crossBetween val="midCat"/>
        <c:majorUnit val="5"/>
      </c:valAx>
      <c:valAx>
        <c:axId val="68417792"/>
        <c:scaling>
          <c:orientation val="minMax"/>
          <c:max val="3"/>
          <c:min val="-3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2.0180380678221671E-2"/>
              <c:y val="0.409377012913679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"/>
      </c:valAx>
      <c:valAx>
        <c:axId val="986252751"/>
        <c:scaling>
          <c:orientation val="minMax"/>
          <c:max val="3"/>
          <c:min val="-3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1"/>
      </c:valAx>
      <c:valAx>
        <c:axId val="986251919"/>
        <c:scaling>
          <c:orientation val="minMax"/>
          <c:max val="323"/>
          <c:min val="253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2762066200058325"/>
          <c:y val="9.3166599430576535E-2"/>
          <c:w val="0.19274806794983959"/>
          <c:h val="0.10538223705643351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18401866433"/>
          <c:y val="6.8178904962461082E-2"/>
          <c:w val="0.81947875244691393"/>
          <c:h val="0.79145189738983202"/>
        </c:manualLayout>
      </c:layou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'Surface tension'!$F$29</c15:sqref>
                        </c15:formulaRef>
                      </c:ext>
                    </c:extLst>
                    <c:strCache>
                      <c:ptCount val="1"/>
                      <c:pt idx="0">
                        <c:v> exp. data [13]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marker>
                  <c:symbol val="circle"/>
                  <c:size val="5"/>
                  <c:spPr>
                    <a:solidFill>
                      <a:srgbClr val="009900"/>
                    </a:solidFill>
                    <a:ln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'Surface tension'!$B$66:$B$73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220.95</c:v>
                      </c:pt>
                      <c:pt idx="1">
                        <c:v>230.45</c:v>
                      </c:pt>
                      <c:pt idx="2">
                        <c:v>240.85</c:v>
                      </c:pt>
                      <c:pt idx="3">
                        <c:v>251.45</c:v>
                      </c:pt>
                      <c:pt idx="4">
                        <c:v>261.85000000000002</c:v>
                      </c:pt>
                      <c:pt idx="5">
                        <c:v>267.14999999999998</c:v>
                      </c:pt>
                      <c:pt idx="6">
                        <c:v>273.14999999999998</c:v>
                      </c:pt>
                      <c:pt idx="7">
                        <c:v>278.14999999999998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'Surface tension'!$E$66:$E$73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-6.4612386336154719</c:v>
                      </c:pt>
                      <c:pt idx="1">
                        <c:v>-4.2610118155619698</c:v>
                      </c:pt>
                      <c:pt idx="2">
                        <c:v>-2.3987623999999936</c:v>
                      </c:pt>
                      <c:pt idx="3">
                        <c:v>-3.592285469613258</c:v>
                      </c:pt>
                      <c:pt idx="4">
                        <c:v>-2.7615226578560881</c:v>
                      </c:pt>
                      <c:pt idx="5">
                        <c:v>-3.3146636096718418</c:v>
                      </c:pt>
                      <c:pt idx="6">
                        <c:v>-2.9539959307359256</c:v>
                      </c:pt>
                      <c:pt idx="7">
                        <c:v>-4.1209608799999957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421-4D96-AC42-2B4450A149F0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1"/>
          <c:order val="0"/>
          <c:tx>
            <c:strRef>
              <c:f>'Surface tension'!$F$12</c:f>
              <c:strCache>
                <c:ptCount val="1"/>
                <c:pt idx="0">
                  <c:v> exp. data [11]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tension'!$B$41:$B$49</c:f>
              <c:numCache>
                <c:formatCode>General</c:formatCode>
                <c:ptCount val="9"/>
                <c:pt idx="0">
                  <c:v>243.15</c:v>
                </c:pt>
                <c:pt idx="1">
                  <c:v>253.15</c:v>
                </c:pt>
                <c:pt idx="2">
                  <c:v>263.14999999999998</c:v>
                </c:pt>
                <c:pt idx="3">
                  <c:v>273.14999999999998</c:v>
                </c:pt>
                <c:pt idx="4">
                  <c:v>283.14999999999998</c:v>
                </c:pt>
                <c:pt idx="5">
                  <c:v>288.14999999999998</c:v>
                </c:pt>
                <c:pt idx="6">
                  <c:v>293.14999999999998</c:v>
                </c:pt>
                <c:pt idx="7">
                  <c:v>298.14999999999998</c:v>
                </c:pt>
                <c:pt idx="8">
                  <c:v>303.14999999999998</c:v>
                </c:pt>
              </c:numCache>
            </c:numRef>
          </c:xVal>
          <c:yVal>
            <c:numRef>
              <c:f>'Surface tension'!$E$41:$E$49</c:f>
              <c:numCache>
                <c:formatCode>General</c:formatCode>
                <c:ptCount val="9"/>
                <c:pt idx="0">
                  <c:v>-2.9444493518518593</c:v>
                </c:pt>
                <c:pt idx="1">
                  <c:v>3.8867838833746737</c:v>
                </c:pt>
                <c:pt idx="2">
                  <c:v>3.7070121009771979</c:v>
                </c:pt>
                <c:pt idx="3">
                  <c:v>3.3070365898617622</c:v>
                </c:pt>
                <c:pt idx="4">
                  <c:v>2.9962168539325842</c:v>
                </c:pt>
                <c:pt idx="5">
                  <c:v>2.8739726315789467</c:v>
                </c:pt>
                <c:pt idx="6">
                  <c:v>2.5921829411764845</c:v>
                </c:pt>
                <c:pt idx="7">
                  <c:v>-5.0722105263144329E-2</c:v>
                </c:pt>
                <c:pt idx="8">
                  <c:v>-15.912115714285722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1421-4D96-AC42-2B4450A149F0}"/>
            </c:ext>
          </c:extLst>
        </c:ser>
        <c:ser>
          <c:idx val="0"/>
          <c:order val="1"/>
          <c:tx>
            <c:strRef>
              <c:f>'Surface tension'!$F$15</c:f>
              <c:strCache>
                <c:ptCount val="1"/>
                <c:pt idx="0">
                  <c:v> exp. data [12]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tension'!$B$50:$B$65</c:f>
              <c:numCache>
                <c:formatCode>General</c:formatCode>
                <c:ptCount val="16"/>
                <c:pt idx="0">
                  <c:v>216.55</c:v>
                </c:pt>
                <c:pt idx="1">
                  <c:v>220</c:v>
                </c:pt>
                <c:pt idx="2">
                  <c:v>230</c:v>
                </c:pt>
                <c:pt idx="3">
                  <c:v>240</c:v>
                </c:pt>
                <c:pt idx="4">
                  <c:v>250</c:v>
                </c:pt>
                <c:pt idx="5">
                  <c:v>260</c:v>
                </c:pt>
                <c:pt idx="6">
                  <c:v>270</c:v>
                </c:pt>
                <c:pt idx="7">
                  <c:v>273.14999999999998</c:v>
                </c:pt>
                <c:pt idx="8">
                  <c:v>275</c:v>
                </c:pt>
                <c:pt idx="9">
                  <c:v>280</c:v>
                </c:pt>
                <c:pt idx="10">
                  <c:v>285</c:v>
                </c:pt>
                <c:pt idx="11">
                  <c:v>290</c:v>
                </c:pt>
                <c:pt idx="12">
                  <c:v>295</c:v>
                </c:pt>
                <c:pt idx="13">
                  <c:v>300</c:v>
                </c:pt>
                <c:pt idx="14">
                  <c:v>301</c:v>
                </c:pt>
                <c:pt idx="15">
                  <c:v>302</c:v>
                </c:pt>
              </c:numCache>
            </c:numRef>
          </c:xVal>
          <c:yVal>
            <c:numRef>
              <c:f>'Surface tension'!$E$50:$E$65</c:f>
              <c:numCache>
                <c:formatCode>General</c:formatCode>
                <c:ptCount val="16"/>
                <c:pt idx="0">
                  <c:v>-2.3408179289940674</c:v>
                </c:pt>
                <c:pt idx="1">
                  <c:v>-2.344643434971994</c:v>
                </c:pt>
                <c:pt idx="2">
                  <c:v>-2.615074036363632</c:v>
                </c:pt>
                <c:pt idx="3">
                  <c:v>-2.4854981659388553</c:v>
                </c:pt>
                <c:pt idx="4">
                  <c:v>-2.5150948380129612</c:v>
                </c:pt>
                <c:pt idx="5">
                  <c:v>-2.4120279748603339</c:v>
                </c:pt>
                <c:pt idx="6">
                  <c:v>-2.0805819148936209</c:v>
                </c:pt>
                <c:pt idx="7">
                  <c:v>-1.8922234573304146</c:v>
                </c:pt>
                <c:pt idx="8">
                  <c:v>-1.8830292198581555</c:v>
                </c:pt>
                <c:pt idx="9">
                  <c:v>-1.581394834834839</c:v>
                </c:pt>
                <c:pt idx="10">
                  <c:v>-1.2350541129032304</c:v>
                </c:pt>
                <c:pt idx="11">
                  <c:v>-0.88089544378698204</c:v>
                </c:pt>
                <c:pt idx="12">
                  <c:v>0.58468764278297158</c:v>
                </c:pt>
                <c:pt idx="13">
                  <c:v>2.6062255014326645</c:v>
                </c:pt>
                <c:pt idx="14">
                  <c:v>4.0706407407407399</c:v>
                </c:pt>
                <c:pt idx="15">
                  <c:v>5.4146736486486509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DF-4E9B-A37E-50328426E437}"/>
            </c:ext>
          </c:extLst>
        </c:ser>
        <c:ser>
          <c:idx val="3"/>
          <c:order val="3"/>
          <c:tx>
            <c:strRef>
              <c:f>'Surface tension'!$F$29</c:f>
              <c:strCache>
                <c:ptCount val="1"/>
                <c:pt idx="0">
                  <c:v> exp. data [13]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99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tension'!$B$66:$B$73</c:f>
              <c:numCache>
                <c:formatCode>General</c:formatCode>
                <c:ptCount val="8"/>
                <c:pt idx="0">
                  <c:v>220.95</c:v>
                </c:pt>
                <c:pt idx="1">
                  <c:v>230.45</c:v>
                </c:pt>
                <c:pt idx="2">
                  <c:v>240.85</c:v>
                </c:pt>
                <c:pt idx="3">
                  <c:v>251.45</c:v>
                </c:pt>
                <c:pt idx="4">
                  <c:v>261.85000000000002</c:v>
                </c:pt>
                <c:pt idx="5">
                  <c:v>267.14999999999998</c:v>
                </c:pt>
                <c:pt idx="6">
                  <c:v>273.14999999999998</c:v>
                </c:pt>
                <c:pt idx="7">
                  <c:v>278.14999999999998</c:v>
                </c:pt>
              </c:numCache>
            </c:numRef>
          </c:xVal>
          <c:yVal>
            <c:numRef>
              <c:f>'Surface tension'!$E$66:$E$73</c:f>
              <c:numCache>
                <c:formatCode>General</c:formatCode>
                <c:ptCount val="8"/>
                <c:pt idx="0">
                  <c:v>-6.4612386336154719</c:v>
                </c:pt>
                <c:pt idx="1">
                  <c:v>-4.2610118155619698</c:v>
                </c:pt>
                <c:pt idx="2">
                  <c:v>-2.3987623999999936</c:v>
                </c:pt>
                <c:pt idx="3">
                  <c:v>-3.592285469613258</c:v>
                </c:pt>
                <c:pt idx="4">
                  <c:v>-2.7615226578560881</c:v>
                </c:pt>
                <c:pt idx="5">
                  <c:v>-3.3146636096718418</c:v>
                </c:pt>
                <c:pt idx="6">
                  <c:v>-2.9539959307359256</c:v>
                </c:pt>
                <c:pt idx="7">
                  <c:v>-4.1209608799999957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FF-443C-AE9A-E7F5A2B4B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/>
      </c:scatterChart>
      <c:valAx>
        <c:axId val="68415872"/>
        <c:scaling>
          <c:orientation val="minMax"/>
          <c:max val="304"/>
          <c:min val="216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39515893851"/>
              <c:y val="0.937693645852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7"/>
        <c:crossBetween val="midCat"/>
        <c:majorUnit val="8"/>
      </c:valAx>
      <c:valAx>
        <c:axId val="68417792"/>
        <c:scaling>
          <c:orientation val="minMax"/>
          <c:max val="6"/>
          <c:min val="-7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2.0180380678221671E-2"/>
              <c:y val="0.409377012913679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"/>
      </c:valAx>
      <c:valAx>
        <c:axId val="986252751"/>
        <c:scaling>
          <c:orientation val="minMax"/>
          <c:max val="6"/>
          <c:min val="-7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1"/>
      </c:valAx>
      <c:valAx>
        <c:axId val="986251919"/>
        <c:scaling>
          <c:orientation val="minMax"/>
          <c:max val="304"/>
          <c:min val="216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8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2971706366892818"/>
          <c:y val="7.9832856713806299E-2"/>
          <c:w val="0.16369038775813402"/>
          <c:h val="0.15870176675676734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1"/>
          <c:order val="0"/>
          <c:tx>
            <c:strRef>
              <c:f>'Surface tension'!$F$12</c:f>
              <c:strCache>
                <c:ptCount val="1"/>
                <c:pt idx="0">
                  <c:v> exp. data [11]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tension'!$B$4:$B$12</c:f>
              <c:numCache>
                <c:formatCode>General</c:formatCode>
                <c:ptCount val="9"/>
                <c:pt idx="0">
                  <c:v>243.15</c:v>
                </c:pt>
                <c:pt idx="1">
                  <c:v>253.15</c:v>
                </c:pt>
                <c:pt idx="2">
                  <c:v>263.14999999999998</c:v>
                </c:pt>
                <c:pt idx="3">
                  <c:v>273.14999999999998</c:v>
                </c:pt>
                <c:pt idx="4">
                  <c:v>283.14999999999998</c:v>
                </c:pt>
                <c:pt idx="5">
                  <c:v>288.14999999999998</c:v>
                </c:pt>
                <c:pt idx="6">
                  <c:v>293.14999999999998</c:v>
                </c:pt>
                <c:pt idx="7">
                  <c:v>298.14999999999998</c:v>
                </c:pt>
                <c:pt idx="8">
                  <c:v>303.14999999999998</c:v>
                </c:pt>
              </c:numCache>
            </c:numRef>
          </c:xVal>
          <c:yVal>
            <c:numRef>
              <c:f>'Surface tension'!$C$4:$C$12</c:f>
              <c:numCache>
                <c:formatCode>General</c:formatCode>
                <c:ptCount val="9"/>
                <c:pt idx="0">
                  <c:v>10.8</c:v>
                </c:pt>
                <c:pt idx="1">
                  <c:v>8.06</c:v>
                </c:pt>
                <c:pt idx="2">
                  <c:v>6.14</c:v>
                </c:pt>
                <c:pt idx="3">
                  <c:v>4.34</c:v>
                </c:pt>
                <c:pt idx="4">
                  <c:v>2.67</c:v>
                </c:pt>
                <c:pt idx="5">
                  <c:v>1.9</c:v>
                </c:pt>
                <c:pt idx="6">
                  <c:v>1.19</c:v>
                </c:pt>
                <c:pt idx="7">
                  <c:v>0.56999999999999995</c:v>
                </c:pt>
                <c:pt idx="8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B6-44B2-BB68-93E6AF8B3CB2}"/>
            </c:ext>
          </c:extLst>
        </c:ser>
        <c:ser>
          <c:idx val="2"/>
          <c:order val="1"/>
          <c:tx>
            <c:strRef>
              <c:f>'Surface tension'!$F$15</c:f>
              <c:strCache>
                <c:ptCount val="1"/>
                <c:pt idx="0">
                  <c:v> exp. data [12]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tension'!$B$13:$B$28</c:f>
              <c:numCache>
                <c:formatCode>General</c:formatCode>
                <c:ptCount val="16"/>
                <c:pt idx="0">
                  <c:v>216.55</c:v>
                </c:pt>
                <c:pt idx="1">
                  <c:v>220</c:v>
                </c:pt>
                <c:pt idx="2">
                  <c:v>230</c:v>
                </c:pt>
                <c:pt idx="3">
                  <c:v>240</c:v>
                </c:pt>
                <c:pt idx="4">
                  <c:v>250</c:v>
                </c:pt>
                <c:pt idx="5">
                  <c:v>260</c:v>
                </c:pt>
                <c:pt idx="6">
                  <c:v>270</c:v>
                </c:pt>
                <c:pt idx="7">
                  <c:v>273.14999999999998</c:v>
                </c:pt>
                <c:pt idx="8">
                  <c:v>275</c:v>
                </c:pt>
                <c:pt idx="9">
                  <c:v>280</c:v>
                </c:pt>
                <c:pt idx="10">
                  <c:v>285</c:v>
                </c:pt>
                <c:pt idx="11">
                  <c:v>290</c:v>
                </c:pt>
                <c:pt idx="12">
                  <c:v>295</c:v>
                </c:pt>
                <c:pt idx="13">
                  <c:v>300</c:v>
                </c:pt>
                <c:pt idx="14">
                  <c:v>301</c:v>
                </c:pt>
                <c:pt idx="15">
                  <c:v>302</c:v>
                </c:pt>
              </c:numCache>
            </c:numRef>
          </c:xVal>
          <c:yVal>
            <c:numRef>
              <c:f>'Surface tension'!$C$13:$C$28</c:f>
              <c:numCache>
                <c:formatCode>General</c:formatCode>
                <c:ptCount val="16"/>
                <c:pt idx="0">
                  <c:v>16.899999999999999</c:v>
                </c:pt>
                <c:pt idx="1">
                  <c:v>16.07</c:v>
                </c:pt>
                <c:pt idx="2">
                  <c:v>13.75</c:v>
                </c:pt>
                <c:pt idx="3">
                  <c:v>11.45</c:v>
                </c:pt>
                <c:pt idx="4">
                  <c:v>9.26</c:v>
                </c:pt>
                <c:pt idx="5">
                  <c:v>7.16</c:v>
                </c:pt>
                <c:pt idx="6">
                  <c:v>5.17</c:v>
                </c:pt>
                <c:pt idx="7">
                  <c:v>4.57</c:v>
                </c:pt>
                <c:pt idx="8">
                  <c:v>4.2300000000000004</c:v>
                </c:pt>
                <c:pt idx="9">
                  <c:v>3.33</c:v>
                </c:pt>
                <c:pt idx="10">
                  <c:v>2.48</c:v>
                </c:pt>
                <c:pt idx="11">
                  <c:v>1.69</c:v>
                </c:pt>
                <c:pt idx="12">
                  <c:v>0.96299999999999997</c:v>
                </c:pt>
                <c:pt idx="13">
                  <c:v>0.34899999999999998</c:v>
                </c:pt>
                <c:pt idx="14">
                  <c:v>0.24299999999999999</c:v>
                </c:pt>
                <c:pt idx="15">
                  <c:v>0.14799999999999999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B6-44B2-BB68-93E6AF8B3CB2}"/>
            </c:ext>
          </c:extLst>
        </c:ser>
        <c:ser>
          <c:idx val="3"/>
          <c:order val="2"/>
          <c:tx>
            <c:strRef>
              <c:f>'Surface tension'!$F$29</c:f>
              <c:strCache>
                <c:ptCount val="1"/>
                <c:pt idx="0">
                  <c:v> exp. data [13]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tension'!$B$29:$B$36</c:f>
              <c:numCache>
                <c:formatCode>General</c:formatCode>
                <c:ptCount val="8"/>
                <c:pt idx="0">
                  <c:v>220.95</c:v>
                </c:pt>
                <c:pt idx="1">
                  <c:v>230.45</c:v>
                </c:pt>
                <c:pt idx="2">
                  <c:v>240.85</c:v>
                </c:pt>
                <c:pt idx="3">
                  <c:v>251.45</c:v>
                </c:pt>
                <c:pt idx="4">
                  <c:v>261.85000000000002</c:v>
                </c:pt>
                <c:pt idx="5">
                  <c:v>267.14999999999998</c:v>
                </c:pt>
                <c:pt idx="6">
                  <c:v>273.14999999999998</c:v>
                </c:pt>
                <c:pt idx="7">
                  <c:v>278.14999999999998</c:v>
                </c:pt>
              </c:numCache>
            </c:numRef>
          </c:xVal>
          <c:yVal>
            <c:numRef>
              <c:f>'Surface tension'!$C$29:$C$36</c:f>
              <c:numCache>
                <c:formatCode>General</c:formatCode>
                <c:ptCount val="8"/>
                <c:pt idx="0">
                  <c:v>16.54</c:v>
                </c:pt>
                <c:pt idx="1">
                  <c:v>13.88</c:v>
                </c:pt>
                <c:pt idx="2">
                  <c:v>11.25</c:v>
                </c:pt>
                <c:pt idx="3">
                  <c:v>9.0500000000000007</c:v>
                </c:pt>
                <c:pt idx="4">
                  <c:v>6.81</c:v>
                </c:pt>
                <c:pt idx="5">
                  <c:v>5.79</c:v>
                </c:pt>
                <c:pt idx="6">
                  <c:v>4.62</c:v>
                </c:pt>
                <c:pt idx="7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B6-44B2-BB68-93E6AF8B3CB2}"/>
            </c:ext>
          </c:extLst>
        </c:ser>
        <c:ser>
          <c:idx val="7"/>
          <c:order val="3"/>
          <c:tx>
            <c:strRef>
              <c:f>'Surface tension'!$I$2</c:f>
              <c:strCache>
                <c:ptCount val="1"/>
                <c:pt idx="0">
                  <c:v> model [10]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'Surface tension'!$K$4:$K$36</c:f>
              <c:numCache>
                <c:formatCode>General</c:formatCode>
                <c:ptCount val="33"/>
                <c:pt idx="0">
                  <c:v>216.55</c:v>
                </c:pt>
                <c:pt idx="1">
                  <c:v>220</c:v>
                </c:pt>
                <c:pt idx="2">
                  <c:v>220.95</c:v>
                </c:pt>
                <c:pt idx="3">
                  <c:v>230</c:v>
                </c:pt>
                <c:pt idx="4">
                  <c:v>230.45</c:v>
                </c:pt>
                <c:pt idx="5">
                  <c:v>240</c:v>
                </c:pt>
                <c:pt idx="6">
                  <c:v>240.85</c:v>
                </c:pt>
                <c:pt idx="7">
                  <c:v>243.15</c:v>
                </c:pt>
                <c:pt idx="8">
                  <c:v>250</c:v>
                </c:pt>
                <c:pt idx="9">
                  <c:v>251.45</c:v>
                </c:pt>
                <c:pt idx="10">
                  <c:v>253.15</c:v>
                </c:pt>
                <c:pt idx="11">
                  <c:v>260</c:v>
                </c:pt>
                <c:pt idx="12">
                  <c:v>261.85000000000002</c:v>
                </c:pt>
                <c:pt idx="13">
                  <c:v>263.14999999999998</c:v>
                </c:pt>
                <c:pt idx="14">
                  <c:v>267.14999999999998</c:v>
                </c:pt>
                <c:pt idx="15">
                  <c:v>270</c:v>
                </c:pt>
                <c:pt idx="16">
                  <c:v>273.14999999999998</c:v>
                </c:pt>
                <c:pt idx="17">
                  <c:v>273.14999999999998</c:v>
                </c:pt>
                <c:pt idx="18">
                  <c:v>273.14999999999998</c:v>
                </c:pt>
                <c:pt idx="19">
                  <c:v>275</c:v>
                </c:pt>
                <c:pt idx="20">
                  <c:v>278.14999999999998</c:v>
                </c:pt>
                <c:pt idx="21">
                  <c:v>280</c:v>
                </c:pt>
                <c:pt idx="22">
                  <c:v>283.14999999999998</c:v>
                </c:pt>
                <c:pt idx="23">
                  <c:v>285</c:v>
                </c:pt>
                <c:pt idx="24">
                  <c:v>288.14999999999998</c:v>
                </c:pt>
                <c:pt idx="25">
                  <c:v>290</c:v>
                </c:pt>
                <c:pt idx="26">
                  <c:v>293.14999999999998</c:v>
                </c:pt>
                <c:pt idx="27">
                  <c:v>295</c:v>
                </c:pt>
                <c:pt idx="28">
                  <c:v>298.14999999999998</c:v>
                </c:pt>
                <c:pt idx="29">
                  <c:v>300</c:v>
                </c:pt>
                <c:pt idx="30">
                  <c:v>301</c:v>
                </c:pt>
                <c:pt idx="31">
                  <c:v>302</c:v>
                </c:pt>
                <c:pt idx="32">
                  <c:v>303.14999999999998</c:v>
                </c:pt>
              </c:numCache>
            </c:numRef>
          </c:xVal>
          <c:yVal>
            <c:numRef>
              <c:f>'Surface tension'!$M$4:$M$36</c:f>
              <c:numCache>
                <c:formatCode>General</c:formatCode>
                <c:ptCount val="33"/>
                <c:pt idx="0">
                  <c:v>16.504401770000001</c:v>
                </c:pt>
                <c:pt idx="1">
                  <c:v>15.693215800000001</c:v>
                </c:pt>
                <c:pt idx="2">
                  <c:v>15.47131113</c:v>
                </c:pt>
                <c:pt idx="3">
                  <c:v>13.390427320000001</c:v>
                </c:pt>
                <c:pt idx="4">
                  <c:v>13.288571559999999</c:v>
                </c:pt>
                <c:pt idx="5">
                  <c:v>11.16541046</c:v>
                </c:pt>
                <c:pt idx="6">
                  <c:v>10.980139230000001</c:v>
                </c:pt>
                <c:pt idx="7">
                  <c:v>10.48199947</c:v>
                </c:pt>
                <c:pt idx="8">
                  <c:v>9.0271022179999996</c:v>
                </c:pt>
                <c:pt idx="9">
                  <c:v>8.7248981650000008</c:v>
                </c:pt>
                <c:pt idx="10">
                  <c:v>8.3732747809999992</c:v>
                </c:pt>
                <c:pt idx="11">
                  <c:v>6.9872987970000002</c:v>
                </c:pt>
                <c:pt idx="12">
                  <c:v>6.621940307</c:v>
                </c:pt>
                <c:pt idx="13">
                  <c:v>6.3676105429999996</c:v>
                </c:pt>
                <c:pt idx="14">
                  <c:v>5.5980809770000004</c:v>
                </c:pt>
                <c:pt idx="15">
                  <c:v>5.0624339149999997</c:v>
                </c:pt>
                <c:pt idx="16">
                  <c:v>4.4835253880000003</c:v>
                </c:pt>
                <c:pt idx="17">
                  <c:v>4.4835253880000003</c:v>
                </c:pt>
                <c:pt idx="18">
                  <c:v>4.4835253880000003</c:v>
                </c:pt>
                <c:pt idx="19">
                  <c:v>4.1503478640000004</c:v>
                </c:pt>
                <c:pt idx="20">
                  <c:v>3.5954639670000001</c:v>
                </c:pt>
                <c:pt idx="21">
                  <c:v>3.2773395519999999</c:v>
                </c:pt>
                <c:pt idx="22">
                  <c:v>2.7499989899999999</c:v>
                </c:pt>
                <c:pt idx="23">
                  <c:v>2.4493706579999999</c:v>
                </c:pt>
                <c:pt idx="24">
                  <c:v>1.9546054799999999</c:v>
                </c:pt>
                <c:pt idx="25">
                  <c:v>1.6751128669999999</c:v>
                </c:pt>
                <c:pt idx="26">
                  <c:v>1.2208469770000001</c:v>
                </c:pt>
                <c:pt idx="27">
                  <c:v>0.96863054199999998</c:v>
                </c:pt>
                <c:pt idx="28">
                  <c:v>0.56971088400000003</c:v>
                </c:pt>
                <c:pt idx="29">
                  <c:v>0.35809572699999997</c:v>
                </c:pt>
                <c:pt idx="30">
                  <c:v>0.25289165699999999</c:v>
                </c:pt>
                <c:pt idx="31">
                  <c:v>0.156013717</c:v>
                </c:pt>
                <c:pt idx="32">
                  <c:v>5.8861519000000001E-2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B6-44B2-BB68-93E6AF8B3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304"/>
          <c:min val="216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4727880094"/>
              <c:y val="0.93237968165673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0"/>
        <c:crossBetween val="midCat"/>
        <c:majorUnit val="8"/>
      </c:valAx>
      <c:valAx>
        <c:axId val="68417792"/>
        <c:scaling>
          <c:orientation val="minMax"/>
          <c:max val="18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el-GR" sz="1100"/>
                  <a:t>σ</a:t>
                </a:r>
                <a:r>
                  <a:rPr lang="it-IT" sz="1100"/>
                  <a:t> </a:t>
                </a:r>
                <a:r>
                  <a:rPr lang="it-IT" sz="1050"/>
                  <a:t>[mN/m]</a:t>
                </a:r>
              </a:p>
            </c:rich>
          </c:tx>
          <c:layout>
            <c:manualLayout>
              <c:xMode val="edge"/>
              <c:yMode val="edge"/>
              <c:x val="2.4029683585968697E-2"/>
              <c:y val="0.396886634306769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7223151829148392"/>
          <c:y val="9.3621271182398394E-2"/>
          <c:w val="0.20097873759265433"/>
          <c:h val="0.1804781403500317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18401866433"/>
          <c:y val="6.8178904962461082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'Surface tension'!$M$39</c:f>
              <c:strCache>
                <c:ptCount val="1"/>
                <c:pt idx="0">
                  <c:v> model 1 [10]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tension'!$K$4:$K$36</c:f>
              <c:numCache>
                <c:formatCode>General</c:formatCode>
                <c:ptCount val="33"/>
                <c:pt idx="0">
                  <c:v>216.55</c:v>
                </c:pt>
                <c:pt idx="1">
                  <c:v>220</c:v>
                </c:pt>
                <c:pt idx="2">
                  <c:v>220.95</c:v>
                </c:pt>
                <c:pt idx="3">
                  <c:v>230</c:v>
                </c:pt>
                <c:pt idx="4">
                  <c:v>230.45</c:v>
                </c:pt>
                <c:pt idx="5">
                  <c:v>240</c:v>
                </c:pt>
                <c:pt idx="6">
                  <c:v>240.85</c:v>
                </c:pt>
                <c:pt idx="7">
                  <c:v>243.15</c:v>
                </c:pt>
                <c:pt idx="8">
                  <c:v>250</c:v>
                </c:pt>
                <c:pt idx="9">
                  <c:v>251.45</c:v>
                </c:pt>
                <c:pt idx="10">
                  <c:v>253.15</c:v>
                </c:pt>
                <c:pt idx="11">
                  <c:v>260</c:v>
                </c:pt>
                <c:pt idx="12">
                  <c:v>261.85000000000002</c:v>
                </c:pt>
                <c:pt idx="13">
                  <c:v>263.14999999999998</c:v>
                </c:pt>
                <c:pt idx="14">
                  <c:v>267.14999999999998</c:v>
                </c:pt>
                <c:pt idx="15">
                  <c:v>270</c:v>
                </c:pt>
                <c:pt idx="16">
                  <c:v>273.14999999999998</c:v>
                </c:pt>
                <c:pt idx="17">
                  <c:v>273.14999999999998</c:v>
                </c:pt>
                <c:pt idx="18">
                  <c:v>273.14999999999998</c:v>
                </c:pt>
                <c:pt idx="19">
                  <c:v>275</c:v>
                </c:pt>
                <c:pt idx="20">
                  <c:v>278.14999999999998</c:v>
                </c:pt>
                <c:pt idx="21">
                  <c:v>280</c:v>
                </c:pt>
                <c:pt idx="22">
                  <c:v>283.14999999999998</c:v>
                </c:pt>
                <c:pt idx="23">
                  <c:v>285</c:v>
                </c:pt>
                <c:pt idx="24">
                  <c:v>288.14999999999998</c:v>
                </c:pt>
                <c:pt idx="25">
                  <c:v>290</c:v>
                </c:pt>
                <c:pt idx="26">
                  <c:v>293.14999999999998</c:v>
                </c:pt>
                <c:pt idx="27">
                  <c:v>295</c:v>
                </c:pt>
                <c:pt idx="28">
                  <c:v>298.14999999999998</c:v>
                </c:pt>
                <c:pt idx="29">
                  <c:v>300</c:v>
                </c:pt>
                <c:pt idx="30">
                  <c:v>301</c:v>
                </c:pt>
                <c:pt idx="31">
                  <c:v>302</c:v>
                </c:pt>
                <c:pt idx="32">
                  <c:v>303.14999999999998</c:v>
                </c:pt>
              </c:numCache>
            </c:numRef>
          </c:xVal>
          <c:yVal>
            <c:numRef>
              <c:f>'Surface tension'!$N$4:$N$36</c:f>
              <c:numCache>
                <c:formatCode>General</c:formatCode>
                <c:ptCount val="33"/>
                <c:pt idx="0">
                  <c:v>-2.3408179289940674</c:v>
                </c:pt>
                <c:pt idx="1">
                  <c:v>-2.344643434971994</c:v>
                </c:pt>
                <c:pt idx="2">
                  <c:v>-6.4612386336154719</c:v>
                </c:pt>
                <c:pt idx="3">
                  <c:v>-2.615074036363632</c:v>
                </c:pt>
                <c:pt idx="4">
                  <c:v>-4.2610118155619698</c:v>
                </c:pt>
                <c:pt idx="5">
                  <c:v>-2.4854981659388553</c:v>
                </c:pt>
                <c:pt idx="6">
                  <c:v>-2.3987623999999936</c:v>
                </c:pt>
                <c:pt idx="7">
                  <c:v>-2.9444493518518593</c:v>
                </c:pt>
                <c:pt idx="8">
                  <c:v>-2.5150948380129612</c:v>
                </c:pt>
                <c:pt idx="9">
                  <c:v>-3.592285469613258</c:v>
                </c:pt>
                <c:pt idx="10">
                  <c:v>3.8867838833746737</c:v>
                </c:pt>
                <c:pt idx="11">
                  <c:v>-2.4120279748603339</c:v>
                </c:pt>
                <c:pt idx="12">
                  <c:v>-2.7615226578560881</c:v>
                </c:pt>
                <c:pt idx="13">
                  <c:v>3.7070121009771979</c:v>
                </c:pt>
                <c:pt idx="14">
                  <c:v>-3.3146636096718418</c:v>
                </c:pt>
                <c:pt idx="15">
                  <c:v>-2.0805819148936209</c:v>
                </c:pt>
                <c:pt idx="16">
                  <c:v>3.3070365898617622</c:v>
                </c:pt>
                <c:pt idx="17">
                  <c:v>-1.8922234573304146</c:v>
                </c:pt>
                <c:pt idx="18">
                  <c:v>-2.9539959307359256</c:v>
                </c:pt>
                <c:pt idx="19">
                  <c:v>-1.8830292198581555</c:v>
                </c:pt>
                <c:pt idx="20">
                  <c:v>-4.1209608799999957</c:v>
                </c:pt>
                <c:pt idx="21">
                  <c:v>-1.581394834834839</c:v>
                </c:pt>
                <c:pt idx="22">
                  <c:v>2.9962168539325842</c:v>
                </c:pt>
                <c:pt idx="23">
                  <c:v>-1.2350541129032304</c:v>
                </c:pt>
                <c:pt idx="24">
                  <c:v>2.8739726315789467</c:v>
                </c:pt>
                <c:pt idx="25">
                  <c:v>-0.88089544378698204</c:v>
                </c:pt>
                <c:pt idx="26">
                  <c:v>2.5921829411764845</c:v>
                </c:pt>
                <c:pt idx="27">
                  <c:v>0.58468764278297158</c:v>
                </c:pt>
                <c:pt idx="28">
                  <c:v>-5.0722105263144329E-2</c:v>
                </c:pt>
                <c:pt idx="29">
                  <c:v>2.6062255014326645</c:v>
                </c:pt>
                <c:pt idx="30">
                  <c:v>4.0706407407407399</c:v>
                </c:pt>
                <c:pt idx="31">
                  <c:v>5.4146736486486509</c:v>
                </c:pt>
                <c:pt idx="32">
                  <c:v>-15.912115714285722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CE-45B7-BC6E-CFE9BDC42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7"/>
          <c:order val="1"/>
          <c:tx>
            <c:strRef>
              <c:f>'Surface tension'!$AE$39</c:f>
              <c:strCache>
                <c:ptCount val="1"/>
                <c:pt idx="0">
                  <c:v> model 2 [11]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tension'!$K$4:$K$36</c:f>
              <c:numCache>
                <c:formatCode>General</c:formatCode>
                <c:ptCount val="33"/>
                <c:pt idx="0">
                  <c:v>216.55</c:v>
                </c:pt>
                <c:pt idx="1">
                  <c:v>220</c:v>
                </c:pt>
                <c:pt idx="2">
                  <c:v>220.95</c:v>
                </c:pt>
                <c:pt idx="3">
                  <c:v>230</c:v>
                </c:pt>
                <c:pt idx="4">
                  <c:v>230.45</c:v>
                </c:pt>
                <c:pt idx="5">
                  <c:v>240</c:v>
                </c:pt>
                <c:pt idx="6">
                  <c:v>240.85</c:v>
                </c:pt>
                <c:pt idx="7">
                  <c:v>243.15</c:v>
                </c:pt>
                <c:pt idx="8">
                  <c:v>250</c:v>
                </c:pt>
                <c:pt idx="9">
                  <c:v>251.45</c:v>
                </c:pt>
                <c:pt idx="10">
                  <c:v>253.15</c:v>
                </c:pt>
                <c:pt idx="11">
                  <c:v>260</c:v>
                </c:pt>
                <c:pt idx="12">
                  <c:v>261.85000000000002</c:v>
                </c:pt>
                <c:pt idx="13">
                  <c:v>263.14999999999998</c:v>
                </c:pt>
                <c:pt idx="14">
                  <c:v>267.14999999999998</c:v>
                </c:pt>
                <c:pt idx="15">
                  <c:v>270</c:v>
                </c:pt>
                <c:pt idx="16">
                  <c:v>273.14999999999998</c:v>
                </c:pt>
                <c:pt idx="17">
                  <c:v>273.14999999999998</c:v>
                </c:pt>
                <c:pt idx="18">
                  <c:v>273.14999999999998</c:v>
                </c:pt>
                <c:pt idx="19">
                  <c:v>275</c:v>
                </c:pt>
                <c:pt idx="20">
                  <c:v>278.14999999999998</c:v>
                </c:pt>
                <c:pt idx="21">
                  <c:v>280</c:v>
                </c:pt>
                <c:pt idx="22">
                  <c:v>283.14999999999998</c:v>
                </c:pt>
                <c:pt idx="23">
                  <c:v>285</c:v>
                </c:pt>
                <c:pt idx="24">
                  <c:v>288.14999999999998</c:v>
                </c:pt>
                <c:pt idx="25">
                  <c:v>290</c:v>
                </c:pt>
                <c:pt idx="26">
                  <c:v>293.14999999999998</c:v>
                </c:pt>
                <c:pt idx="27">
                  <c:v>295</c:v>
                </c:pt>
                <c:pt idx="28">
                  <c:v>298.14999999999998</c:v>
                </c:pt>
                <c:pt idx="29">
                  <c:v>300</c:v>
                </c:pt>
                <c:pt idx="30">
                  <c:v>301</c:v>
                </c:pt>
                <c:pt idx="31">
                  <c:v>302</c:v>
                </c:pt>
                <c:pt idx="32">
                  <c:v>303.14999999999998</c:v>
                </c:pt>
              </c:numCache>
            </c:numRef>
          </c:xVal>
          <c:yVal>
            <c:numRef>
              <c:f>'Surface tension'!$AF$4:$AF$36</c:f>
              <c:numCache>
                <c:formatCode>General</c:formatCode>
                <c:ptCount val="33"/>
                <c:pt idx="0">
                  <c:v>-6.4362716971273732</c:v>
                </c:pt>
                <c:pt idx="1">
                  <c:v>-6.4248946977597701</c:v>
                </c:pt>
                <c:pt idx="2">
                  <c:v>-10.365418052398706</c:v>
                </c:pt>
                <c:pt idx="3">
                  <c:v>-6.6367792286266978</c:v>
                </c:pt>
                <c:pt idx="4">
                  <c:v>-8.2125091084521742</c:v>
                </c:pt>
                <c:pt idx="5">
                  <c:v>-6.4583489859363423</c:v>
                </c:pt>
                <c:pt idx="6">
                  <c:v>-6.3701497629229529</c:v>
                </c:pt>
                <c:pt idx="7">
                  <c:v>-6.8798428626969672</c:v>
                </c:pt>
                <c:pt idx="8">
                  <c:v>-6.4233055479082219</c:v>
                </c:pt>
                <c:pt idx="9">
                  <c:v>-7.4472591423080594</c:v>
                </c:pt>
                <c:pt idx="10">
                  <c:v>-0.25416176416100827</c:v>
                </c:pt>
                <c:pt idx="11">
                  <c:v>-6.2478040646901931</c:v>
                </c:pt>
                <c:pt idx="12">
                  <c:v>-6.5675570516778894</c:v>
                </c:pt>
                <c:pt idx="13">
                  <c:v>-0.33975942202386206</c:v>
                </c:pt>
                <c:pt idx="14">
                  <c:v>-7.0492602975186722</c:v>
                </c:pt>
                <c:pt idx="15">
                  <c:v>-5.8326408681864983</c:v>
                </c:pt>
                <c:pt idx="16">
                  <c:v>-0.61297295366013616</c:v>
                </c:pt>
                <c:pt idx="17">
                  <c:v>-5.6149458684649964</c:v>
                </c:pt>
                <c:pt idx="18">
                  <c:v>-6.6364291382867995</c:v>
                </c:pt>
                <c:pt idx="19">
                  <c:v>-5.5828476913272853</c:v>
                </c:pt>
                <c:pt idx="20">
                  <c:v>-7.6941432867523689</c:v>
                </c:pt>
                <c:pt idx="21">
                  <c:v>-5.2212172390441491</c:v>
                </c:pt>
                <c:pt idx="22">
                  <c:v>-0.75738008905273502</c:v>
                </c:pt>
                <c:pt idx="23">
                  <c:v>-4.7992972292456688</c:v>
                </c:pt>
                <c:pt idx="24">
                  <c:v>-0.76716010462097339</c:v>
                </c:pt>
                <c:pt idx="25">
                  <c:v>-4.3420557694609165</c:v>
                </c:pt>
                <c:pt idx="26">
                  <c:v>-0.89029879149722257</c:v>
                </c:pt>
                <c:pt idx="27">
                  <c:v>-2.7578949342105457</c:v>
                </c:pt>
                <c:pt idx="28">
                  <c:v>-3.2084599961657609</c:v>
                </c:pt>
                <c:pt idx="29">
                  <c:v>-0.48817522402670899</c:v>
                </c:pt>
                <c:pt idx="30">
                  <c:v>1.0441258700162381</c:v>
                </c:pt>
                <c:pt idx="31">
                  <c:v>2.506885483454802</c:v>
                </c:pt>
                <c:pt idx="32">
                  <c:v>-17.976983257655139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DCE-45B7-BC6E-CFE9BDC426AC}"/>
            </c:ext>
          </c:extLst>
        </c:ser>
        <c:ser>
          <c:idx val="0"/>
          <c:order val="2"/>
          <c:tx>
            <c:strRef>
              <c:f>'Surface tension'!$P$39</c:f>
              <c:strCache>
                <c:ptCount val="1"/>
                <c:pt idx="0">
                  <c:v> model 3 [14]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tension'!$K$4:$K$36</c:f>
              <c:numCache>
                <c:formatCode>General</c:formatCode>
                <c:ptCount val="33"/>
                <c:pt idx="0">
                  <c:v>216.55</c:v>
                </c:pt>
                <c:pt idx="1">
                  <c:v>220</c:v>
                </c:pt>
                <c:pt idx="2">
                  <c:v>220.95</c:v>
                </c:pt>
                <c:pt idx="3">
                  <c:v>230</c:v>
                </c:pt>
                <c:pt idx="4">
                  <c:v>230.45</c:v>
                </c:pt>
                <c:pt idx="5">
                  <c:v>240</c:v>
                </c:pt>
                <c:pt idx="6">
                  <c:v>240.85</c:v>
                </c:pt>
                <c:pt idx="7">
                  <c:v>243.15</c:v>
                </c:pt>
                <c:pt idx="8">
                  <c:v>250</c:v>
                </c:pt>
                <c:pt idx="9">
                  <c:v>251.45</c:v>
                </c:pt>
                <c:pt idx="10">
                  <c:v>253.15</c:v>
                </c:pt>
                <c:pt idx="11">
                  <c:v>260</c:v>
                </c:pt>
                <c:pt idx="12">
                  <c:v>261.85000000000002</c:v>
                </c:pt>
                <c:pt idx="13">
                  <c:v>263.14999999999998</c:v>
                </c:pt>
                <c:pt idx="14">
                  <c:v>267.14999999999998</c:v>
                </c:pt>
                <c:pt idx="15">
                  <c:v>270</c:v>
                </c:pt>
                <c:pt idx="16">
                  <c:v>273.14999999999998</c:v>
                </c:pt>
                <c:pt idx="17">
                  <c:v>273.14999999999998</c:v>
                </c:pt>
                <c:pt idx="18">
                  <c:v>273.14999999999998</c:v>
                </c:pt>
                <c:pt idx="19">
                  <c:v>275</c:v>
                </c:pt>
                <c:pt idx="20">
                  <c:v>278.14999999999998</c:v>
                </c:pt>
                <c:pt idx="21">
                  <c:v>280</c:v>
                </c:pt>
                <c:pt idx="22">
                  <c:v>283.14999999999998</c:v>
                </c:pt>
                <c:pt idx="23">
                  <c:v>285</c:v>
                </c:pt>
                <c:pt idx="24">
                  <c:v>288.14999999999998</c:v>
                </c:pt>
                <c:pt idx="25">
                  <c:v>290</c:v>
                </c:pt>
                <c:pt idx="26">
                  <c:v>293.14999999999998</c:v>
                </c:pt>
                <c:pt idx="27">
                  <c:v>295</c:v>
                </c:pt>
                <c:pt idx="28">
                  <c:v>298.14999999999998</c:v>
                </c:pt>
                <c:pt idx="29">
                  <c:v>300</c:v>
                </c:pt>
                <c:pt idx="30">
                  <c:v>301</c:v>
                </c:pt>
                <c:pt idx="31">
                  <c:v>302</c:v>
                </c:pt>
                <c:pt idx="32">
                  <c:v>303.14999999999998</c:v>
                </c:pt>
              </c:numCache>
            </c:numRef>
          </c:xVal>
          <c:yVal>
            <c:numRef>
              <c:f>'Surface tension'!$Q$4:$Q$36</c:f>
              <c:numCache>
                <c:formatCode>General</c:formatCode>
                <c:ptCount val="33"/>
                <c:pt idx="0">
                  <c:v>-4.3725759317993775</c:v>
                </c:pt>
                <c:pt idx="1">
                  <c:v>-4.2541172471908313</c:v>
                </c:pt>
                <c:pt idx="2">
                  <c:v>-8.2571172226321767</c:v>
                </c:pt>
                <c:pt idx="3">
                  <c:v>-4.1345261227836776</c:v>
                </c:pt>
                <c:pt idx="4">
                  <c:v>-5.7365451302547266</c:v>
                </c:pt>
                <c:pt idx="5">
                  <c:v>-3.5639070226857967</c:v>
                </c:pt>
                <c:pt idx="6">
                  <c:v>-3.4371944922105198</c:v>
                </c:pt>
                <c:pt idx="7">
                  <c:v>-3.8640328388691949</c:v>
                </c:pt>
                <c:pt idx="8">
                  <c:v>-3.0724070662105443</c:v>
                </c:pt>
                <c:pt idx="9">
                  <c:v>-4.0606909943301854</c:v>
                </c:pt>
                <c:pt idx="10">
                  <c:v>3.4898649547976608</c:v>
                </c:pt>
                <c:pt idx="11">
                  <c:v>-2.3380772321570604</c:v>
                </c:pt>
                <c:pt idx="12">
                  <c:v>-2.5553085296210418</c:v>
                </c:pt>
                <c:pt idx="13">
                  <c:v>4.0301389868083737</c:v>
                </c:pt>
                <c:pt idx="14">
                  <c:v>-2.6963382230292781</c:v>
                </c:pt>
                <c:pt idx="15">
                  <c:v>-1.2028785490204592</c:v>
                </c:pt>
                <c:pt idx="16">
                  <c:v>4.554289612183557</c:v>
                </c:pt>
                <c:pt idx="17">
                  <c:v>-0.70774246895479309</c:v>
                </c:pt>
                <c:pt idx="18">
                  <c:v>-1.7823340006760577</c:v>
                </c:pt>
                <c:pt idx="19">
                  <c:v>-0.50393580321853904</c:v>
                </c:pt>
                <c:pt idx="20">
                  <c:v>-2.4190718922672736</c:v>
                </c:pt>
                <c:pt idx="21">
                  <c:v>0.40100028394489001</c:v>
                </c:pt>
                <c:pt idx="22">
                  <c:v>5.5389623160401422</c:v>
                </c:pt>
                <c:pt idx="23">
                  <c:v>1.5005694779577612</c:v>
                </c:pt>
                <c:pt idx="24">
                  <c:v>6.3296719868358196</c:v>
                </c:pt>
                <c:pt idx="25">
                  <c:v>2.8500648278086449</c:v>
                </c:pt>
                <c:pt idx="26">
                  <c:v>7.310670170149999</c:v>
                </c:pt>
                <c:pt idx="27">
                  <c:v>5.8296523665513202</c:v>
                </c:pt>
                <c:pt idx="28">
                  <c:v>6.5850716892579655</c:v>
                </c:pt>
                <c:pt idx="29">
                  <c:v>10.713507134180084</c:v>
                </c:pt>
                <c:pt idx="30">
                  <c:v>13.287833969529839</c:v>
                </c:pt>
                <c:pt idx="31">
                  <c:v>16.16410874440956</c:v>
                </c:pt>
                <c:pt idx="32">
                  <c:v>-5.0200318470306513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CE-45B7-BC6E-CFE9BDC426AC}"/>
            </c:ext>
          </c:extLst>
        </c:ser>
        <c:ser>
          <c:idx val="3"/>
          <c:order val="3"/>
          <c:tx>
            <c:strRef>
              <c:f>'Surface tension'!$S$39</c:f>
              <c:strCache>
                <c:ptCount val="1"/>
                <c:pt idx="0">
                  <c:v> model 4 [15]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tension'!$K$4:$K$36</c:f>
              <c:numCache>
                <c:formatCode>General</c:formatCode>
                <c:ptCount val="33"/>
                <c:pt idx="0">
                  <c:v>216.55</c:v>
                </c:pt>
                <c:pt idx="1">
                  <c:v>220</c:v>
                </c:pt>
                <c:pt idx="2">
                  <c:v>220.95</c:v>
                </c:pt>
                <c:pt idx="3">
                  <c:v>230</c:v>
                </c:pt>
                <c:pt idx="4">
                  <c:v>230.45</c:v>
                </c:pt>
                <c:pt idx="5">
                  <c:v>240</c:v>
                </c:pt>
                <c:pt idx="6">
                  <c:v>240.85</c:v>
                </c:pt>
                <c:pt idx="7">
                  <c:v>243.15</c:v>
                </c:pt>
                <c:pt idx="8">
                  <c:v>250</c:v>
                </c:pt>
                <c:pt idx="9">
                  <c:v>251.45</c:v>
                </c:pt>
                <c:pt idx="10">
                  <c:v>253.15</c:v>
                </c:pt>
                <c:pt idx="11">
                  <c:v>260</c:v>
                </c:pt>
                <c:pt idx="12">
                  <c:v>261.85000000000002</c:v>
                </c:pt>
                <c:pt idx="13">
                  <c:v>263.14999999999998</c:v>
                </c:pt>
                <c:pt idx="14">
                  <c:v>267.14999999999998</c:v>
                </c:pt>
                <c:pt idx="15">
                  <c:v>270</c:v>
                </c:pt>
                <c:pt idx="16">
                  <c:v>273.14999999999998</c:v>
                </c:pt>
                <c:pt idx="17">
                  <c:v>273.14999999999998</c:v>
                </c:pt>
                <c:pt idx="18">
                  <c:v>273.14999999999998</c:v>
                </c:pt>
                <c:pt idx="19">
                  <c:v>275</c:v>
                </c:pt>
                <c:pt idx="20">
                  <c:v>278.14999999999998</c:v>
                </c:pt>
                <c:pt idx="21">
                  <c:v>280</c:v>
                </c:pt>
                <c:pt idx="22">
                  <c:v>283.14999999999998</c:v>
                </c:pt>
                <c:pt idx="23">
                  <c:v>285</c:v>
                </c:pt>
                <c:pt idx="24">
                  <c:v>288.14999999999998</c:v>
                </c:pt>
                <c:pt idx="25">
                  <c:v>290</c:v>
                </c:pt>
                <c:pt idx="26">
                  <c:v>293.14999999999998</c:v>
                </c:pt>
                <c:pt idx="27">
                  <c:v>295</c:v>
                </c:pt>
                <c:pt idx="28">
                  <c:v>298.14999999999998</c:v>
                </c:pt>
                <c:pt idx="29">
                  <c:v>300</c:v>
                </c:pt>
                <c:pt idx="30">
                  <c:v>301</c:v>
                </c:pt>
                <c:pt idx="31">
                  <c:v>302</c:v>
                </c:pt>
                <c:pt idx="32">
                  <c:v>303.14999999999998</c:v>
                </c:pt>
              </c:numCache>
            </c:numRef>
          </c:xVal>
          <c:yVal>
            <c:numRef>
              <c:f>'Surface tension'!$T$4:$T$36</c:f>
              <c:numCache>
                <c:formatCode>General</c:formatCode>
                <c:ptCount val="33"/>
                <c:pt idx="0">
                  <c:v>1.3429128706630407</c:v>
                </c:pt>
                <c:pt idx="1">
                  <c:v>1.4684516297589272</c:v>
                </c:pt>
                <c:pt idx="2">
                  <c:v>-2.7738008588482788</c:v>
                </c:pt>
                <c:pt idx="3">
                  <c:v>1.5951905126577772</c:v>
                </c:pt>
                <c:pt idx="4">
                  <c:v>-0.10257845135297707</c:v>
                </c:pt>
                <c:pt idx="5">
                  <c:v>2.1999145477035591</c:v>
                </c:pt>
                <c:pt idx="6">
                  <c:v>2.3342004710221431</c:v>
                </c:pt>
                <c:pt idx="7">
                  <c:v>1.8818507209709738</c:v>
                </c:pt>
                <c:pt idx="8">
                  <c:v>2.7207906222225371</c:v>
                </c:pt>
                <c:pt idx="9">
                  <c:v>1.6734386413987514</c:v>
                </c:pt>
                <c:pt idx="10">
                  <c:v>9.6752785020207579</c:v>
                </c:pt>
                <c:pt idx="11">
                  <c:v>3.4990101038822665</c:v>
                </c:pt>
                <c:pt idx="12">
                  <c:v>3.2687952605338633</c:v>
                </c:pt>
                <c:pt idx="13">
                  <c:v>10.247843795772594</c:v>
                </c:pt>
                <c:pt idx="14">
                  <c:v>3.1193364617581647</c:v>
                </c:pt>
                <c:pt idx="15">
                  <c:v>4.7020576852325338</c:v>
                </c:pt>
                <c:pt idx="16">
                  <c:v>10.803322014244912</c:v>
                </c:pt>
                <c:pt idx="17">
                  <c:v>5.2267872082763409</c:v>
                </c:pt>
                <c:pt idx="18">
                  <c:v>4.0879691648967311</c:v>
                </c:pt>
                <c:pt idx="19">
                  <c:v>5.4427750524479253</c:v>
                </c:pt>
                <c:pt idx="20">
                  <c:v>3.4131745304312489</c:v>
                </c:pt>
                <c:pt idx="21">
                  <c:v>6.4017976333501636</c:v>
                </c:pt>
                <c:pt idx="22">
                  <c:v>11.846846934061752</c:v>
                </c:pt>
                <c:pt idx="23">
                  <c:v>7.5670862114952628</c:v>
                </c:pt>
                <c:pt idx="24">
                  <c:v>12.684815979597129</c:v>
                </c:pt>
                <c:pt idx="25">
                  <c:v>8.9972386075460715</c:v>
                </c:pt>
                <c:pt idx="26">
                  <c:v>13.72444675901645</c:v>
                </c:pt>
                <c:pt idx="27">
                  <c:v>12.15491103542573</c:v>
                </c:pt>
                <c:pt idx="28">
                  <c:v>12.955480488674571</c:v>
                </c:pt>
                <c:pt idx="29">
                  <c:v>17.330665511838085</c:v>
                </c:pt>
                <c:pt idx="30">
                  <c:v>20.058855492040816</c:v>
                </c:pt>
                <c:pt idx="31">
                  <c:v>23.107040327541913</c:v>
                </c:pt>
                <c:pt idx="32">
                  <c:v>0.65675961447912512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CE-45B7-BC6E-CFE9BDC426AC}"/>
            </c:ext>
          </c:extLst>
        </c:ser>
        <c:ser>
          <c:idx val="4"/>
          <c:order val="4"/>
          <c:tx>
            <c:strRef>
              <c:f>'Surface tension'!$V$39</c:f>
              <c:strCache>
                <c:ptCount val="1"/>
                <c:pt idx="0">
                  <c:v> model 5 [16]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'Surface tension'!$K$4:$K$36</c:f>
              <c:numCache>
                <c:formatCode>General</c:formatCode>
                <c:ptCount val="33"/>
                <c:pt idx="0">
                  <c:v>216.55</c:v>
                </c:pt>
                <c:pt idx="1">
                  <c:v>220</c:v>
                </c:pt>
                <c:pt idx="2">
                  <c:v>220.95</c:v>
                </c:pt>
                <c:pt idx="3">
                  <c:v>230</c:v>
                </c:pt>
                <c:pt idx="4">
                  <c:v>230.45</c:v>
                </c:pt>
                <c:pt idx="5">
                  <c:v>240</c:v>
                </c:pt>
                <c:pt idx="6">
                  <c:v>240.85</c:v>
                </c:pt>
                <c:pt idx="7">
                  <c:v>243.15</c:v>
                </c:pt>
                <c:pt idx="8">
                  <c:v>250</c:v>
                </c:pt>
                <c:pt idx="9">
                  <c:v>251.45</c:v>
                </c:pt>
                <c:pt idx="10">
                  <c:v>253.15</c:v>
                </c:pt>
                <c:pt idx="11">
                  <c:v>260</c:v>
                </c:pt>
                <c:pt idx="12">
                  <c:v>261.85000000000002</c:v>
                </c:pt>
                <c:pt idx="13">
                  <c:v>263.14999999999998</c:v>
                </c:pt>
                <c:pt idx="14">
                  <c:v>267.14999999999998</c:v>
                </c:pt>
                <c:pt idx="15">
                  <c:v>270</c:v>
                </c:pt>
                <c:pt idx="16">
                  <c:v>273.14999999999998</c:v>
                </c:pt>
                <c:pt idx="17">
                  <c:v>273.14999999999998</c:v>
                </c:pt>
                <c:pt idx="18">
                  <c:v>273.14999999999998</c:v>
                </c:pt>
                <c:pt idx="19">
                  <c:v>275</c:v>
                </c:pt>
                <c:pt idx="20">
                  <c:v>278.14999999999998</c:v>
                </c:pt>
                <c:pt idx="21">
                  <c:v>280</c:v>
                </c:pt>
                <c:pt idx="22">
                  <c:v>283.14999999999998</c:v>
                </c:pt>
                <c:pt idx="23">
                  <c:v>285</c:v>
                </c:pt>
                <c:pt idx="24">
                  <c:v>288.14999999999998</c:v>
                </c:pt>
                <c:pt idx="25">
                  <c:v>290</c:v>
                </c:pt>
                <c:pt idx="26">
                  <c:v>293.14999999999998</c:v>
                </c:pt>
                <c:pt idx="27">
                  <c:v>295</c:v>
                </c:pt>
                <c:pt idx="28">
                  <c:v>298.14999999999998</c:v>
                </c:pt>
                <c:pt idx="29">
                  <c:v>300</c:v>
                </c:pt>
                <c:pt idx="30">
                  <c:v>301</c:v>
                </c:pt>
                <c:pt idx="31">
                  <c:v>302</c:v>
                </c:pt>
                <c:pt idx="32">
                  <c:v>303.14999999999998</c:v>
                </c:pt>
              </c:numCache>
            </c:numRef>
          </c:xVal>
          <c:yVal>
            <c:numRef>
              <c:f>'Surface tension'!$W$4:$W$36</c:f>
              <c:numCache>
                <c:formatCode>General</c:formatCode>
                <c:ptCount val="33"/>
                <c:pt idx="0">
                  <c:v>-2.9525336120562171</c:v>
                </c:pt>
                <c:pt idx="1">
                  <c:v>-2.9036640120586523</c:v>
                </c:pt>
                <c:pt idx="2">
                  <c:v>-6.9836247106808536</c:v>
                </c:pt>
                <c:pt idx="3">
                  <c:v>-3.0495553174759622</c:v>
                </c:pt>
                <c:pt idx="4">
                  <c:v>-4.6838107815506627</c:v>
                </c:pt>
                <c:pt idx="5">
                  <c:v>-2.8486632360007937</c:v>
                </c:pt>
                <c:pt idx="6">
                  <c:v>-2.758890922265667</c:v>
                </c:pt>
                <c:pt idx="7">
                  <c:v>-3.295916656535268</c:v>
                </c:pt>
                <c:pt idx="8">
                  <c:v>-2.8709549480122196</c:v>
                </c:pt>
                <c:pt idx="9">
                  <c:v>-3.9495663229904694</c:v>
                </c:pt>
                <c:pt idx="10">
                  <c:v>3.4925102005588107</c:v>
                </c:pt>
                <c:pt idx="11">
                  <c:v>-2.8462666081142061</c:v>
                </c:pt>
                <c:pt idx="12">
                  <c:v>-3.2202540450226658</c:v>
                </c:pt>
                <c:pt idx="13">
                  <c:v>3.1955356302780964</c:v>
                </c:pt>
                <c:pt idx="14">
                  <c:v>-3.8696407034502696</c:v>
                </c:pt>
                <c:pt idx="15">
                  <c:v>-2.7140502000693227</c:v>
                </c:pt>
                <c:pt idx="16">
                  <c:v>2.5375873308141608</c:v>
                </c:pt>
                <c:pt idx="17">
                  <c:v>-2.6229476989642415</c:v>
                </c:pt>
                <c:pt idx="18">
                  <c:v>-3.6768119013563996</c:v>
                </c:pt>
                <c:pt idx="19">
                  <c:v>-2.6796823831030512</c:v>
                </c:pt>
                <c:pt idx="20">
                  <c:v>-5.0272655258482626</c:v>
                </c:pt>
                <c:pt idx="21">
                  <c:v>-2.6013633667923712</c:v>
                </c:pt>
                <c:pt idx="22">
                  <c:v>1.7421881123196115</c:v>
                </c:pt>
                <c:pt idx="23">
                  <c:v>-2.5605540823879278</c:v>
                </c:pt>
                <c:pt idx="24">
                  <c:v>1.2354115671775818</c:v>
                </c:pt>
                <c:pt idx="25">
                  <c:v>-2.6336050507681317</c:v>
                </c:pt>
                <c:pt idx="26">
                  <c:v>0.40437708142934192</c:v>
                </c:pt>
                <c:pt idx="27">
                  <c:v>-1.8282754079383297</c:v>
                </c:pt>
                <c:pt idx="28">
                  <c:v>-3.0459091857546161</c:v>
                </c:pt>
                <c:pt idx="29">
                  <c:v>-0.9792588335172715</c:v>
                </c:pt>
                <c:pt idx="30">
                  <c:v>6.5724507255945502E-2</c:v>
                </c:pt>
                <c:pt idx="31">
                  <c:v>0.87006579258354333</c:v>
                </c:pt>
                <c:pt idx="32">
                  <c:v>-20.241237877150862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CE-45B7-BC6E-CFE9BDC426AC}"/>
            </c:ext>
          </c:extLst>
        </c:ser>
        <c:ser>
          <c:idx val="5"/>
          <c:order val="5"/>
          <c:tx>
            <c:strRef>
              <c:f>'Surface tension'!$Y$39</c:f>
              <c:strCache>
                <c:ptCount val="1"/>
                <c:pt idx="0">
                  <c:v> model 6 [17]</c:v>
                </c:pt>
              </c:strCache>
            </c:strRef>
          </c:tx>
          <c:spPr>
            <a:ln w="19050">
              <a:noFill/>
            </a:ln>
          </c:spPr>
          <c:marker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tension'!$K$4:$K$36</c:f>
              <c:numCache>
                <c:formatCode>General</c:formatCode>
                <c:ptCount val="33"/>
                <c:pt idx="0">
                  <c:v>216.55</c:v>
                </c:pt>
                <c:pt idx="1">
                  <c:v>220</c:v>
                </c:pt>
                <c:pt idx="2">
                  <c:v>220.95</c:v>
                </c:pt>
                <c:pt idx="3">
                  <c:v>230</c:v>
                </c:pt>
                <c:pt idx="4">
                  <c:v>230.45</c:v>
                </c:pt>
                <c:pt idx="5">
                  <c:v>240</c:v>
                </c:pt>
                <c:pt idx="6">
                  <c:v>240.85</c:v>
                </c:pt>
                <c:pt idx="7">
                  <c:v>243.15</c:v>
                </c:pt>
                <c:pt idx="8">
                  <c:v>250</c:v>
                </c:pt>
                <c:pt idx="9">
                  <c:v>251.45</c:v>
                </c:pt>
                <c:pt idx="10">
                  <c:v>253.15</c:v>
                </c:pt>
                <c:pt idx="11">
                  <c:v>260</c:v>
                </c:pt>
                <c:pt idx="12">
                  <c:v>261.85000000000002</c:v>
                </c:pt>
                <c:pt idx="13">
                  <c:v>263.14999999999998</c:v>
                </c:pt>
                <c:pt idx="14">
                  <c:v>267.14999999999998</c:v>
                </c:pt>
                <c:pt idx="15">
                  <c:v>270</c:v>
                </c:pt>
                <c:pt idx="16">
                  <c:v>273.14999999999998</c:v>
                </c:pt>
                <c:pt idx="17">
                  <c:v>273.14999999999998</c:v>
                </c:pt>
                <c:pt idx="18">
                  <c:v>273.14999999999998</c:v>
                </c:pt>
                <c:pt idx="19">
                  <c:v>275</c:v>
                </c:pt>
                <c:pt idx="20">
                  <c:v>278.14999999999998</c:v>
                </c:pt>
                <c:pt idx="21">
                  <c:v>280</c:v>
                </c:pt>
                <c:pt idx="22">
                  <c:v>283.14999999999998</c:v>
                </c:pt>
                <c:pt idx="23">
                  <c:v>285</c:v>
                </c:pt>
                <c:pt idx="24">
                  <c:v>288.14999999999998</c:v>
                </c:pt>
                <c:pt idx="25">
                  <c:v>290</c:v>
                </c:pt>
                <c:pt idx="26">
                  <c:v>293.14999999999998</c:v>
                </c:pt>
                <c:pt idx="27">
                  <c:v>295</c:v>
                </c:pt>
                <c:pt idx="28">
                  <c:v>298.14999999999998</c:v>
                </c:pt>
                <c:pt idx="29">
                  <c:v>300</c:v>
                </c:pt>
                <c:pt idx="30">
                  <c:v>301</c:v>
                </c:pt>
                <c:pt idx="31">
                  <c:v>302</c:v>
                </c:pt>
                <c:pt idx="32">
                  <c:v>303.14999999999998</c:v>
                </c:pt>
              </c:numCache>
            </c:numRef>
          </c:xVal>
          <c:yVal>
            <c:numRef>
              <c:f>'Surface tension'!$Z$4:$Z$36</c:f>
              <c:numCache>
                <c:formatCode>General</c:formatCode>
                <c:ptCount val="33"/>
                <c:pt idx="0">
                  <c:v>-1.3471909865816927</c:v>
                </c:pt>
                <c:pt idx="1">
                  <c:v>-1.324597163201398</c:v>
                </c:pt>
                <c:pt idx="2">
                  <c:v>-5.4770294115378064</c:v>
                </c:pt>
                <c:pt idx="3">
                  <c:v>-1.5147289680507987</c:v>
                </c:pt>
                <c:pt idx="4">
                  <c:v>-3.1753302013331353</c:v>
                </c:pt>
                <c:pt idx="5">
                  <c:v>-1.2882884085620199</c:v>
                </c:pt>
                <c:pt idx="6">
                  <c:v>-1.1916909562418079</c:v>
                </c:pt>
                <c:pt idx="7">
                  <c:v>-1.7198499189462437</c:v>
                </c:pt>
                <c:pt idx="8">
                  <c:v>-1.2065583053028852</c:v>
                </c:pt>
                <c:pt idx="9">
                  <c:v>-2.2805045827644816</c:v>
                </c:pt>
                <c:pt idx="10">
                  <c:v>5.3233803359782836</c:v>
                </c:pt>
                <c:pt idx="11">
                  <c:v>-0.96722815098264847</c:v>
                </c:pt>
                <c:pt idx="12">
                  <c:v>-1.2936942514141758</c:v>
                </c:pt>
                <c:pt idx="13">
                  <c:v>5.2944241052949161</c:v>
                </c:pt>
                <c:pt idx="14">
                  <c:v>-1.767430280910651</c:v>
                </c:pt>
                <c:pt idx="15">
                  <c:v>-0.46034400558718347</c:v>
                </c:pt>
                <c:pt idx="16">
                  <c:v>5.0843015756670935</c:v>
                </c:pt>
                <c:pt idx="17">
                  <c:v>-0.20440506818487011</c:v>
                </c:pt>
                <c:pt idx="18">
                  <c:v>-1.2844439743733416</c:v>
                </c:pt>
                <c:pt idx="19">
                  <c:v>-0.15403715100856899</c:v>
                </c:pt>
                <c:pt idx="20">
                  <c:v>-2.3568672550397216</c:v>
                </c:pt>
                <c:pt idx="21">
                  <c:v>0.27884401154766103</c:v>
                </c:pt>
                <c:pt idx="22">
                  <c:v>5.0409848785964311</c:v>
                </c:pt>
                <c:pt idx="23">
                  <c:v>0.78777789876853299</c:v>
                </c:pt>
                <c:pt idx="24">
                  <c:v>5.1070826939710585</c:v>
                </c:pt>
                <c:pt idx="25">
                  <c:v>1.3538910384773668</c:v>
                </c:pt>
                <c:pt idx="26">
                  <c:v>5.082001773597149</c:v>
                </c:pt>
                <c:pt idx="27">
                  <c:v>3.1527266909696707</c:v>
                </c:pt>
                <c:pt idx="28">
                  <c:v>2.7909796740477337</c:v>
                </c:pt>
                <c:pt idx="29">
                  <c:v>5.7845053195963567</c:v>
                </c:pt>
                <c:pt idx="30">
                  <c:v>7.493050212269142</c:v>
                </c:pt>
                <c:pt idx="31">
                  <c:v>9.1614799752945544</c:v>
                </c:pt>
                <c:pt idx="32">
                  <c:v>-12.470527677229898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CE-45B7-BC6E-CFE9BDC426AC}"/>
            </c:ext>
          </c:extLst>
        </c:ser>
        <c:ser>
          <c:idx val="6"/>
          <c:order val="6"/>
          <c:tx>
            <c:strRef>
              <c:f>'Surface tension'!$AB$39</c:f>
              <c:strCache>
                <c:ptCount val="1"/>
                <c:pt idx="0">
                  <c:v> model 7 [18]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BB11A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'Surface tension'!$K$4:$K$36</c:f>
              <c:numCache>
                <c:formatCode>General</c:formatCode>
                <c:ptCount val="33"/>
                <c:pt idx="0">
                  <c:v>216.55</c:v>
                </c:pt>
                <c:pt idx="1">
                  <c:v>220</c:v>
                </c:pt>
                <c:pt idx="2">
                  <c:v>220.95</c:v>
                </c:pt>
                <c:pt idx="3">
                  <c:v>230</c:v>
                </c:pt>
                <c:pt idx="4">
                  <c:v>230.45</c:v>
                </c:pt>
                <c:pt idx="5">
                  <c:v>240</c:v>
                </c:pt>
                <c:pt idx="6">
                  <c:v>240.85</c:v>
                </c:pt>
                <c:pt idx="7">
                  <c:v>243.15</c:v>
                </c:pt>
                <c:pt idx="8">
                  <c:v>250</c:v>
                </c:pt>
                <c:pt idx="9">
                  <c:v>251.45</c:v>
                </c:pt>
                <c:pt idx="10">
                  <c:v>253.15</c:v>
                </c:pt>
                <c:pt idx="11">
                  <c:v>260</c:v>
                </c:pt>
                <c:pt idx="12">
                  <c:v>261.85000000000002</c:v>
                </c:pt>
                <c:pt idx="13">
                  <c:v>263.14999999999998</c:v>
                </c:pt>
                <c:pt idx="14">
                  <c:v>267.14999999999998</c:v>
                </c:pt>
                <c:pt idx="15">
                  <c:v>270</c:v>
                </c:pt>
                <c:pt idx="16">
                  <c:v>273.14999999999998</c:v>
                </c:pt>
                <c:pt idx="17">
                  <c:v>273.14999999999998</c:v>
                </c:pt>
                <c:pt idx="18">
                  <c:v>273.14999999999998</c:v>
                </c:pt>
                <c:pt idx="19">
                  <c:v>275</c:v>
                </c:pt>
                <c:pt idx="20">
                  <c:v>278.14999999999998</c:v>
                </c:pt>
                <c:pt idx="21">
                  <c:v>280</c:v>
                </c:pt>
                <c:pt idx="22">
                  <c:v>283.14999999999998</c:v>
                </c:pt>
                <c:pt idx="23">
                  <c:v>285</c:v>
                </c:pt>
                <c:pt idx="24">
                  <c:v>288.14999999999998</c:v>
                </c:pt>
                <c:pt idx="25">
                  <c:v>290</c:v>
                </c:pt>
                <c:pt idx="26">
                  <c:v>293.14999999999998</c:v>
                </c:pt>
                <c:pt idx="27">
                  <c:v>295</c:v>
                </c:pt>
                <c:pt idx="28">
                  <c:v>298.14999999999998</c:v>
                </c:pt>
                <c:pt idx="29">
                  <c:v>300</c:v>
                </c:pt>
                <c:pt idx="30">
                  <c:v>301</c:v>
                </c:pt>
                <c:pt idx="31">
                  <c:v>302</c:v>
                </c:pt>
                <c:pt idx="32">
                  <c:v>303.14999999999998</c:v>
                </c:pt>
              </c:numCache>
            </c:numRef>
          </c:xVal>
          <c:yVal>
            <c:numRef>
              <c:f>'Surface tension'!$AC$4:$AC$36</c:f>
              <c:numCache>
                <c:formatCode>General</c:formatCode>
                <c:ptCount val="33"/>
                <c:pt idx="0">
                  <c:v>-2.6734940737491382</c:v>
                </c:pt>
                <c:pt idx="1">
                  <c:v>-2.6190518371536236</c:v>
                </c:pt>
                <c:pt idx="2">
                  <c:v>-6.7082930410738459</c:v>
                </c:pt>
                <c:pt idx="3">
                  <c:v>-2.7050949209629107</c:v>
                </c:pt>
                <c:pt idx="4">
                  <c:v>-4.3407990389648434</c:v>
                </c:pt>
                <c:pt idx="5">
                  <c:v>-2.3638292049481264</c:v>
                </c:pt>
                <c:pt idx="6">
                  <c:v>-2.2573999248245653</c:v>
                </c:pt>
                <c:pt idx="7">
                  <c:v>-2.7497805167316058</c:v>
                </c:pt>
                <c:pt idx="8">
                  <c:v>-2.1441276527142188</c:v>
                </c:pt>
                <c:pt idx="9">
                  <c:v>-3.1857634694066284</c:v>
                </c:pt>
                <c:pt idx="10">
                  <c:v>4.3765276586109341</c:v>
                </c:pt>
                <c:pt idx="11">
                  <c:v>-1.7376217778503904</c:v>
                </c:pt>
                <c:pt idx="12">
                  <c:v>-2.0258887095015132</c:v>
                </c:pt>
                <c:pt idx="13">
                  <c:v>4.5411594443221883</c:v>
                </c:pt>
                <c:pt idx="14">
                  <c:v>-2.384538214270127</c:v>
                </c:pt>
                <c:pt idx="15">
                  <c:v>-1.0175180046894132</c:v>
                </c:pt>
                <c:pt idx="16">
                  <c:v>4.5834526108142866</c:v>
                </c:pt>
                <c:pt idx="17">
                  <c:v>-0.68004719235580713</c:v>
                </c:pt>
                <c:pt idx="18">
                  <c:v>-1.7549384565077966</c:v>
                </c:pt>
                <c:pt idx="19">
                  <c:v>-0.57685727475431736</c:v>
                </c:pt>
                <c:pt idx="20">
                  <c:v>-2.6733139538669568</c:v>
                </c:pt>
                <c:pt idx="21">
                  <c:v>1.8632028387718175E-2</c:v>
                </c:pt>
                <c:pt idx="22">
                  <c:v>4.8979630567317267</c:v>
                </c:pt>
                <c:pt idx="23">
                  <c:v>0.73333920718155643</c:v>
                </c:pt>
                <c:pt idx="24">
                  <c:v>5.2205292961740506</c:v>
                </c:pt>
                <c:pt idx="25">
                  <c:v>1.5770333940126926</c:v>
                </c:pt>
                <c:pt idx="26">
                  <c:v>5.5593254223009128</c:v>
                </c:pt>
                <c:pt idx="27">
                  <c:v>3.8016510415465645</c:v>
                </c:pt>
                <c:pt idx="28">
                  <c:v>3.8625468507968415</c:v>
                </c:pt>
                <c:pt idx="29">
                  <c:v>7.285703372754579</c:v>
                </c:pt>
                <c:pt idx="30">
                  <c:v>9.3321336844930443</c:v>
                </c:pt>
                <c:pt idx="31">
                  <c:v>11.486840690453647</c:v>
                </c:pt>
                <c:pt idx="32">
                  <c:v>-9.8200283925392977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DCE-45B7-BC6E-CFE9BDC42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/>
      </c:scatterChart>
      <c:valAx>
        <c:axId val="68415872"/>
        <c:scaling>
          <c:orientation val="minMax"/>
          <c:max val="306"/>
          <c:min val="216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39515893851"/>
              <c:y val="0.937693645852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22"/>
        <c:crossBetween val="midCat"/>
        <c:majorUnit val="6"/>
      </c:valAx>
      <c:valAx>
        <c:axId val="68417792"/>
        <c:scaling>
          <c:orientation val="minMax"/>
          <c:max val="24"/>
          <c:min val="-2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3.0250810793665896E-2"/>
              <c:y val="0.4093769978099142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2"/>
      </c:valAx>
      <c:valAx>
        <c:axId val="986252751"/>
        <c:scaling>
          <c:orientation val="minMax"/>
          <c:max val="24"/>
          <c:min val="-22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2"/>
      </c:valAx>
      <c:valAx>
        <c:axId val="986251919"/>
        <c:scaling>
          <c:orientation val="minMax"/>
          <c:max val="306"/>
          <c:min val="216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6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2552421601505417"/>
          <c:y val="7.523539111514406E-2"/>
          <c:w val="0.16103083791263251"/>
          <c:h val="0.2766956453863341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18401866433"/>
          <c:y val="6.8178904962461082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'Thermal cond.'!$G$2</c:f>
              <c:strCache>
                <c:ptCount val="1"/>
                <c:pt idx="0">
                  <c:v> exp. data [28]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'Thermal cond.'!$O$4:$O$16</c:f>
              <c:numCache>
                <c:formatCode>General</c:formatCode>
                <c:ptCount val="13"/>
                <c:pt idx="0">
                  <c:v>298.45</c:v>
                </c:pt>
                <c:pt idx="1">
                  <c:v>298.45</c:v>
                </c:pt>
                <c:pt idx="2">
                  <c:v>298.45</c:v>
                </c:pt>
                <c:pt idx="3">
                  <c:v>298.45</c:v>
                </c:pt>
                <c:pt idx="4">
                  <c:v>298.45</c:v>
                </c:pt>
                <c:pt idx="5">
                  <c:v>298.45</c:v>
                </c:pt>
                <c:pt idx="6">
                  <c:v>298.45</c:v>
                </c:pt>
                <c:pt idx="7">
                  <c:v>298.45</c:v>
                </c:pt>
                <c:pt idx="8">
                  <c:v>298.45</c:v>
                </c:pt>
                <c:pt idx="9">
                  <c:v>298.45</c:v>
                </c:pt>
                <c:pt idx="10">
                  <c:v>298.45</c:v>
                </c:pt>
                <c:pt idx="11">
                  <c:v>298.45</c:v>
                </c:pt>
                <c:pt idx="12">
                  <c:v>298.45</c:v>
                </c:pt>
              </c:numCache>
            </c:numRef>
          </c:xVal>
          <c:yVal>
            <c:numRef>
              <c:f>'Thermal cond.'!$S$4:$S$16</c:f>
              <c:numCache>
                <c:formatCode>General</c:formatCode>
                <c:ptCount val="13"/>
                <c:pt idx="0">
                  <c:v>1.6272957819381093</c:v>
                </c:pt>
                <c:pt idx="1">
                  <c:v>0.7921125340584857</c:v>
                </c:pt>
                <c:pt idx="2">
                  <c:v>0.95684522820310469</c:v>
                </c:pt>
                <c:pt idx="3">
                  <c:v>1.9348472379154336</c:v>
                </c:pt>
                <c:pt idx="4">
                  <c:v>0.92887577011404221</c:v>
                </c:pt>
                <c:pt idx="5">
                  <c:v>0.36341511524607339</c:v>
                </c:pt>
                <c:pt idx="6">
                  <c:v>0.24429135039227529</c:v>
                </c:pt>
                <c:pt idx="7">
                  <c:v>0.82644813918391136</c:v>
                </c:pt>
                <c:pt idx="8">
                  <c:v>0.68497295647043333</c:v>
                </c:pt>
                <c:pt idx="9">
                  <c:v>2.0598793311221901E-3</c:v>
                </c:pt>
                <c:pt idx="10">
                  <c:v>-0.20422680169630977</c:v>
                </c:pt>
                <c:pt idx="11">
                  <c:v>-2.1712403599499894</c:v>
                </c:pt>
                <c:pt idx="12">
                  <c:v>-2.2805247555208612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DB-4D0E-8FA7-0C64F599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1"/>
          <c:order val="1"/>
          <c:tx>
            <c:strRef>
              <c:f>'Thermal cond.'!$G$17</c:f>
              <c:strCache>
                <c:ptCount val="1"/>
                <c:pt idx="0">
                  <c:v> exp. data [29]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'Thermal cond.'!$O$17:$O$38</c:f>
              <c:numCache>
                <c:formatCode>General</c:formatCode>
                <c:ptCount val="22"/>
                <c:pt idx="0">
                  <c:v>303.58999999999997</c:v>
                </c:pt>
                <c:pt idx="1">
                  <c:v>303.31</c:v>
                </c:pt>
                <c:pt idx="2">
                  <c:v>303.08</c:v>
                </c:pt>
                <c:pt idx="3">
                  <c:v>302.91999999999996</c:v>
                </c:pt>
                <c:pt idx="4">
                  <c:v>302.79999999999995</c:v>
                </c:pt>
                <c:pt idx="5">
                  <c:v>302.64999999999998</c:v>
                </c:pt>
                <c:pt idx="6">
                  <c:v>302.46999999999997</c:v>
                </c:pt>
                <c:pt idx="7">
                  <c:v>302.33</c:v>
                </c:pt>
                <c:pt idx="8">
                  <c:v>302.09999999999997</c:v>
                </c:pt>
                <c:pt idx="9">
                  <c:v>301.94</c:v>
                </c:pt>
                <c:pt idx="10">
                  <c:v>301.78999999999996</c:v>
                </c:pt>
                <c:pt idx="11">
                  <c:v>301.64999999999998</c:v>
                </c:pt>
                <c:pt idx="12">
                  <c:v>301.42999999999995</c:v>
                </c:pt>
                <c:pt idx="13">
                  <c:v>301.54999999999995</c:v>
                </c:pt>
                <c:pt idx="14">
                  <c:v>301.54999999999995</c:v>
                </c:pt>
                <c:pt idx="15">
                  <c:v>301.53999999999996</c:v>
                </c:pt>
                <c:pt idx="16">
                  <c:v>301.75</c:v>
                </c:pt>
                <c:pt idx="17">
                  <c:v>301.52</c:v>
                </c:pt>
                <c:pt idx="18">
                  <c:v>301.77</c:v>
                </c:pt>
                <c:pt idx="19">
                  <c:v>301.75</c:v>
                </c:pt>
                <c:pt idx="20">
                  <c:v>301.44</c:v>
                </c:pt>
                <c:pt idx="21">
                  <c:v>301.33999999999997</c:v>
                </c:pt>
              </c:numCache>
            </c:numRef>
          </c:xVal>
          <c:yVal>
            <c:numRef>
              <c:f>'Thermal cond.'!$S$17:$S$38</c:f>
              <c:numCache>
                <c:formatCode>General</c:formatCode>
                <c:ptCount val="22"/>
                <c:pt idx="0">
                  <c:v>0.51169444328383185</c:v>
                </c:pt>
                <c:pt idx="1">
                  <c:v>1.1403466638420079</c:v>
                </c:pt>
                <c:pt idx="2">
                  <c:v>1.1942256139054597</c:v>
                </c:pt>
                <c:pt idx="3">
                  <c:v>1.4743887938807159</c:v>
                </c:pt>
                <c:pt idx="4">
                  <c:v>1.7000297313417236</c:v>
                </c:pt>
                <c:pt idx="5">
                  <c:v>1.4451071579785568</c:v>
                </c:pt>
                <c:pt idx="6">
                  <c:v>1.5276305863432607</c:v>
                </c:pt>
                <c:pt idx="7">
                  <c:v>1.6107778991946338</c:v>
                </c:pt>
                <c:pt idx="8">
                  <c:v>1.6728952457975617</c:v>
                </c:pt>
                <c:pt idx="9">
                  <c:v>1.5497952035603917</c:v>
                </c:pt>
                <c:pt idx="10">
                  <c:v>1.3817681869539153</c:v>
                </c:pt>
                <c:pt idx="11">
                  <c:v>1.1500284992132528</c:v>
                </c:pt>
                <c:pt idx="12">
                  <c:v>0.89891391378258079</c:v>
                </c:pt>
                <c:pt idx="13">
                  <c:v>0.53412796691791109</c:v>
                </c:pt>
                <c:pt idx="14">
                  <c:v>0.41176696570140198</c:v>
                </c:pt>
                <c:pt idx="15">
                  <c:v>-0.12913578947689053</c:v>
                </c:pt>
                <c:pt idx="16">
                  <c:v>-0.80145377033450083</c:v>
                </c:pt>
                <c:pt idx="17">
                  <c:v>-1.5077909463211971</c:v>
                </c:pt>
                <c:pt idx="18">
                  <c:v>-2.580780670635737</c:v>
                </c:pt>
                <c:pt idx="19">
                  <c:v>-2.7668544577883099</c:v>
                </c:pt>
                <c:pt idx="20">
                  <c:v>-3.9380263945431033</c:v>
                </c:pt>
                <c:pt idx="21">
                  <c:v>-4.9793299092053003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42DB-4D0E-8FA7-0C64F599B9A1}"/>
            </c:ext>
          </c:extLst>
        </c:ser>
        <c:ser>
          <c:idx val="0"/>
          <c:order val="2"/>
          <c:tx>
            <c:strRef>
              <c:f>'Thermal cond.'!$G$39</c:f>
              <c:strCache>
                <c:ptCount val="1"/>
                <c:pt idx="0">
                  <c:v> exp. data [30]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99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'Thermal cond.'!$O$39:$O$71</c:f>
              <c:numCache>
                <c:formatCode>General</c:formatCode>
                <c:ptCount val="33"/>
                <c:pt idx="0">
                  <c:v>276.81199999999995</c:v>
                </c:pt>
                <c:pt idx="1">
                  <c:v>276.81199999999995</c:v>
                </c:pt>
                <c:pt idx="2">
                  <c:v>276.81199999999995</c:v>
                </c:pt>
                <c:pt idx="3">
                  <c:v>276.81199999999995</c:v>
                </c:pt>
                <c:pt idx="4">
                  <c:v>276.81199999999995</c:v>
                </c:pt>
                <c:pt idx="5">
                  <c:v>299.14999999999998</c:v>
                </c:pt>
                <c:pt idx="6">
                  <c:v>299.14999999999998</c:v>
                </c:pt>
                <c:pt idx="7">
                  <c:v>299.14999999999998</c:v>
                </c:pt>
                <c:pt idx="8">
                  <c:v>299.14999999999998</c:v>
                </c:pt>
                <c:pt idx="9">
                  <c:v>299.14999999999998</c:v>
                </c:pt>
                <c:pt idx="10">
                  <c:v>304.04999999999995</c:v>
                </c:pt>
                <c:pt idx="11">
                  <c:v>304.04999999999995</c:v>
                </c:pt>
                <c:pt idx="12">
                  <c:v>304.04999999999995</c:v>
                </c:pt>
                <c:pt idx="13">
                  <c:v>304.45999999999998</c:v>
                </c:pt>
                <c:pt idx="14">
                  <c:v>305.20399999999995</c:v>
                </c:pt>
                <c:pt idx="15">
                  <c:v>305.20399999999995</c:v>
                </c:pt>
                <c:pt idx="16">
                  <c:v>305.20399999999995</c:v>
                </c:pt>
                <c:pt idx="17">
                  <c:v>305.20399999999995</c:v>
                </c:pt>
                <c:pt idx="18">
                  <c:v>305.20399999999995</c:v>
                </c:pt>
                <c:pt idx="19">
                  <c:v>305.20399999999995</c:v>
                </c:pt>
                <c:pt idx="20">
                  <c:v>305.20399999999995</c:v>
                </c:pt>
                <c:pt idx="21">
                  <c:v>305.20399999999995</c:v>
                </c:pt>
                <c:pt idx="22">
                  <c:v>307.87099999999998</c:v>
                </c:pt>
                <c:pt idx="23">
                  <c:v>307.87099999999998</c:v>
                </c:pt>
                <c:pt idx="24">
                  <c:v>307.87099999999998</c:v>
                </c:pt>
                <c:pt idx="25">
                  <c:v>309.39</c:v>
                </c:pt>
                <c:pt idx="26">
                  <c:v>309.39</c:v>
                </c:pt>
                <c:pt idx="27">
                  <c:v>309.39</c:v>
                </c:pt>
                <c:pt idx="28">
                  <c:v>313.23699999999997</c:v>
                </c:pt>
                <c:pt idx="29">
                  <c:v>313.23699999999997</c:v>
                </c:pt>
                <c:pt idx="30">
                  <c:v>313.23699999999997</c:v>
                </c:pt>
                <c:pt idx="31">
                  <c:v>314.37</c:v>
                </c:pt>
                <c:pt idx="32">
                  <c:v>314.37</c:v>
                </c:pt>
              </c:numCache>
            </c:numRef>
          </c:xVal>
          <c:yVal>
            <c:numRef>
              <c:f>'Thermal cond.'!$S$39:$S$71</c:f>
              <c:numCache>
                <c:formatCode>General</c:formatCode>
                <c:ptCount val="33"/>
                <c:pt idx="0">
                  <c:v>3.1838252133477734</c:v>
                </c:pt>
                <c:pt idx="1">
                  <c:v>2.4942401998950547</c:v>
                </c:pt>
                <c:pt idx="2">
                  <c:v>-3.4205697668624402</c:v>
                </c:pt>
                <c:pt idx="3">
                  <c:v>-6.783986732728267</c:v>
                </c:pt>
                <c:pt idx="4">
                  <c:v>-6.1711716558490979</c:v>
                </c:pt>
                <c:pt idx="5">
                  <c:v>3.7289526383794582</c:v>
                </c:pt>
                <c:pt idx="6">
                  <c:v>3.4493401738449418</c:v>
                </c:pt>
                <c:pt idx="7">
                  <c:v>-1.8826813237427724</c:v>
                </c:pt>
                <c:pt idx="8">
                  <c:v>-0.60144896101950529</c:v>
                </c:pt>
                <c:pt idx="9">
                  <c:v>-0.79886242861163281</c:v>
                </c:pt>
                <c:pt idx="10">
                  <c:v>3.6074111806944371</c:v>
                </c:pt>
                <c:pt idx="11">
                  <c:v>2.976167345801338</c:v>
                </c:pt>
                <c:pt idx="12">
                  <c:v>-0.69718843802909602</c:v>
                </c:pt>
                <c:pt idx="13">
                  <c:v>-3.6703880268182201</c:v>
                </c:pt>
                <c:pt idx="14">
                  <c:v>-0.73637406734580602</c:v>
                </c:pt>
                <c:pt idx="15">
                  <c:v>-12.012677848885087</c:v>
                </c:pt>
                <c:pt idx="16">
                  <c:v>-42.750554096433596</c:v>
                </c:pt>
                <c:pt idx="17">
                  <c:v>-55.724692936554511</c:v>
                </c:pt>
                <c:pt idx="18">
                  <c:v>-43.253357793274262</c:v>
                </c:pt>
                <c:pt idx="19">
                  <c:v>-19.731270648523175</c:v>
                </c:pt>
                <c:pt idx="20">
                  <c:v>-7.2670823756255292</c:v>
                </c:pt>
                <c:pt idx="21">
                  <c:v>-3.8872904306393994</c:v>
                </c:pt>
                <c:pt idx="22">
                  <c:v>1.3047229822706707</c:v>
                </c:pt>
                <c:pt idx="23">
                  <c:v>-10.784313429868233</c:v>
                </c:pt>
                <c:pt idx="24">
                  <c:v>0.54248156121059454</c:v>
                </c:pt>
                <c:pt idx="25">
                  <c:v>3.193220043716666</c:v>
                </c:pt>
                <c:pt idx="26">
                  <c:v>2.6718713936853882</c:v>
                </c:pt>
                <c:pt idx="27">
                  <c:v>-1.1080888631860446</c:v>
                </c:pt>
                <c:pt idx="28">
                  <c:v>4.3147015927883521</c:v>
                </c:pt>
                <c:pt idx="29">
                  <c:v>6.9993919350137963</c:v>
                </c:pt>
                <c:pt idx="30">
                  <c:v>-1.1263415291698837</c:v>
                </c:pt>
                <c:pt idx="31">
                  <c:v>3.721982965489699</c:v>
                </c:pt>
                <c:pt idx="32">
                  <c:v>0.24925163999617816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DB-4D0E-8FA7-0C64F599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/>
      </c:scatterChart>
      <c:valAx>
        <c:axId val="68415872"/>
        <c:scaling>
          <c:orientation val="minMax"/>
          <c:max val="316"/>
          <c:min val="298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39515893851"/>
              <c:y val="0.937693645852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8"/>
        <c:crossBetween val="midCat"/>
        <c:majorUnit val="2"/>
      </c:valAx>
      <c:valAx>
        <c:axId val="68417792"/>
        <c:scaling>
          <c:orientation val="minMax"/>
          <c:max val="4"/>
          <c:min val="-5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3.4451588046906984E-2"/>
              <c:y val="0.4093770269813777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"/>
      </c:valAx>
      <c:valAx>
        <c:axId val="986252751"/>
        <c:scaling>
          <c:orientation val="minMax"/>
          <c:max val="4"/>
          <c:min val="-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1"/>
      </c:valAx>
      <c:valAx>
        <c:axId val="986251919"/>
        <c:scaling>
          <c:orientation val="minMax"/>
          <c:max val="316"/>
          <c:min val="298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76237698293578404"/>
          <c:y val="0.67548078266725409"/>
          <c:w val="0.16129678804812153"/>
          <c:h val="0.1476807748418453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18401866433"/>
          <c:y val="6.8178904962461082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Viscosity!$G$2</c:f>
              <c:strCache>
                <c:ptCount val="1"/>
                <c:pt idx="0">
                  <c:v> exp. data [19]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Viscosity!$W$4:$W$76</c:f>
              <c:numCache>
                <c:formatCode>General</c:formatCode>
                <c:ptCount val="73"/>
                <c:pt idx="0">
                  <c:v>220.005</c:v>
                </c:pt>
                <c:pt idx="1">
                  <c:v>220.005</c:v>
                </c:pt>
                <c:pt idx="2">
                  <c:v>220.005</c:v>
                </c:pt>
                <c:pt idx="3">
                  <c:v>220.005</c:v>
                </c:pt>
                <c:pt idx="4">
                  <c:v>220.005</c:v>
                </c:pt>
                <c:pt idx="5">
                  <c:v>220.005</c:v>
                </c:pt>
                <c:pt idx="6">
                  <c:v>220.005</c:v>
                </c:pt>
                <c:pt idx="7">
                  <c:v>220.005</c:v>
                </c:pt>
                <c:pt idx="8">
                  <c:v>220.005</c:v>
                </c:pt>
                <c:pt idx="9">
                  <c:v>220.005</c:v>
                </c:pt>
                <c:pt idx="10">
                  <c:v>220.005</c:v>
                </c:pt>
                <c:pt idx="11">
                  <c:v>220.005</c:v>
                </c:pt>
                <c:pt idx="12">
                  <c:v>220.005</c:v>
                </c:pt>
                <c:pt idx="13">
                  <c:v>220.005</c:v>
                </c:pt>
                <c:pt idx="14">
                  <c:v>230.005</c:v>
                </c:pt>
                <c:pt idx="15">
                  <c:v>230.005</c:v>
                </c:pt>
                <c:pt idx="16">
                  <c:v>230.005</c:v>
                </c:pt>
                <c:pt idx="17">
                  <c:v>230.005</c:v>
                </c:pt>
                <c:pt idx="18">
                  <c:v>230.005</c:v>
                </c:pt>
                <c:pt idx="19">
                  <c:v>230.005</c:v>
                </c:pt>
                <c:pt idx="20">
                  <c:v>230.005</c:v>
                </c:pt>
                <c:pt idx="21">
                  <c:v>230.005</c:v>
                </c:pt>
                <c:pt idx="22">
                  <c:v>240.00399999999999</c:v>
                </c:pt>
                <c:pt idx="23">
                  <c:v>240.00399999999999</c:v>
                </c:pt>
                <c:pt idx="24">
                  <c:v>240.00399999999999</c:v>
                </c:pt>
                <c:pt idx="25">
                  <c:v>240.00399999999999</c:v>
                </c:pt>
                <c:pt idx="26">
                  <c:v>240.00399999999999</c:v>
                </c:pt>
                <c:pt idx="27">
                  <c:v>240.00399999999999</c:v>
                </c:pt>
                <c:pt idx="28">
                  <c:v>240.00399999999999</c:v>
                </c:pt>
                <c:pt idx="29">
                  <c:v>240.00399999999999</c:v>
                </c:pt>
                <c:pt idx="30">
                  <c:v>240.00399999999999</c:v>
                </c:pt>
                <c:pt idx="31">
                  <c:v>260.005</c:v>
                </c:pt>
                <c:pt idx="32">
                  <c:v>260.005</c:v>
                </c:pt>
                <c:pt idx="33">
                  <c:v>260.005</c:v>
                </c:pt>
                <c:pt idx="34">
                  <c:v>260.005</c:v>
                </c:pt>
                <c:pt idx="35">
                  <c:v>260.005</c:v>
                </c:pt>
                <c:pt idx="36">
                  <c:v>260.005</c:v>
                </c:pt>
                <c:pt idx="37">
                  <c:v>260.005</c:v>
                </c:pt>
                <c:pt idx="38">
                  <c:v>260.005</c:v>
                </c:pt>
                <c:pt idx="39">
                  <c:v>260.005</c:v>
                </c:pt>
                <c:pt idx="40">
                  <c:v>260.005</c:v>
                </c:pt>
                <c:pt idx="41">
                  <c:v>260.005</c:v>
                </c:pt>
                <c:pt idx="42">
                  <c:v>280.01499999999999</c:v>
                </c:pt>
                <c:pt idx="43">
                  <c:v>280.01499999999999</c:v>
                </c:pt>
                <c:pt idx="44">
                  <c:v>280.01499999999999</c:v>
                </c:pt>
                <c:pt idx="45">
                  <c:v>280.01499999999999</c:v>
                </c:pt>
                <c:pt idx="46">
                  <c:v>280.01499999999999</c:v>
                </c:pt>
                <c:pt idx="47">
                  <c:v>280.01499999999999</c:v>
                </c:pt>
                <c:pt idx="48">
                  <c:v>280.01499999999999</c:v>
                </c:pt>
                <c:pt idx="49">
                  <c:v>280.01499999999999</c:v>
                </c:pt>
                <c:pt idx="50">
                  <c:v>300.01499999999999</c:v>
                </c:pt>
                <c:pt idx="51">
                  <c:v>300.01499999999999</c:v>
                </c:pt>
                <c:pt idx="52">
                  <c:v>300.01499999999999</c:v>
                </c:pt>
                <c:pt idx="53">
                  <c:v>300.01499999999999</c:v>
                </c:pt>
                <c:pt idx="54">
                  <c:v>300.01499999999999</c:v>
                </c:pt>
                <c:pt idx="55">
                  <c:v>300.01499999999999</c:v>
                </c:pt>
                <c:pt idx="56">
                  <c:v>300.01499999999999</c:v>
                </c:pt>
                <c:pt idx="57">
                  <c:v>303.05</c:v>
                </c:pt>
                <c:pt idx="58">
                  <c:v>303.05</c:v>
                </c:pt>
                <c:pt idx="59">
                  <c:v>303.05</c:v>
                </c:pt>
                <c:pt idx="60">
                  <c:v>303.05</c:v>
                </c:pt>
                <c:pt idx="61">
                  <c:v>303.05</c:v>
                </c:pt>
                <c:pt idx="62">
                  <c:v>303.05</c:v>
                </c:pt>
                <c:pt idx="63">
                  <c:v>303.05</c:v>
                </c:pt>
                <c:pt idx="64">
                  <c:v>303.05</c:v>
                </c:pt>
                <c:pt idx="65">
                  <c:v>303.05</c:v>
                </c:pt>
                <c:pt idx="66">
                  <c:v>303.05</c:v>
                </c:pt>
                <c:pt idx="67">
                  <c:v>308.14999999999998</c:v>
                </c:pt>
                <c:pt idx="68">
                  <c:v>308.14999999999998</c:v>
                </c:pt>
                <c:pt idx="69">
                  <c:v>308.14999999999998</c:v>
                </c:pt>
                <c:pt idx="70">
                  <c:v>308.14999999999998</c:v>
                </c:pt>
                <c:pt idx="71">
                  <c:v>308.14999999999998</c:v>
                </c:pt>
                <c:pt idx="72">
                  <c:v>308.14999999999998</c:v>
                </c:pt>
              </c:numCache>
            </c:numRef>
          </c:xVal>
          <c:yVal>
            <c:numRef>
              <c:f>Viscosity!$AA$4:$AA$76</c:f>
              <c:numCache>
                <c:formatCode>General</c:formatCode>
                <c:ptCount val="73"/>
                <c:pt idx="0">
                  <c:v>-1.7110253071784194</c:v>
                </c:pt>
                <c:pt idx="1">
                  <c:v>-1.7399521251379235</c:v>
                </c:pt>
                <c:pt idx="2">
                  <c:v>-1.8972933561625343</c:v>
                </c:pt>
                <c:pt idx="3">
                  <c:v>-1.7764772149755443</c:v>
                </c:pt>
                <c:pt idx="4">
                  <c:v>-2.0751963054650413</c:v>
                </c:pt>
                <c:pt idx="5">
                  <c:v>-1.3500914180356638</c:v>
                </c:pt>
                <c:pt idx="6">
                  <c:v>-1.4235284522928788</c:v>
                </c:pt>
                <c:pt idx="7">
                  <c:v>-1.9187895198000162</c:v>
                </c:pt>
                <c:pt idx="8">
                  <c:v>-1.8132390136866339</c:v>
                </c:pt>
                <c:pt idx="9">
                  <c:v>-2.2184168300020812</c:v>
                </c:pt>
                <c:pt idx="10">
                  <c:v>-2.1982992700871953</c:v>
                </c:pt>
                <c:pt idx="11">
                  <c:v>-2.3328377947831274</c:v>
                </c:pt>
                <c:pt idx="12">
                  <c:v>-2.654935434888261</c:v>
                </c:pt>
                <c:pt idx="13">
                  <c:v>-2.235023004072902</c:v>
                </c:pt>
                <c:pt idx="14">
                  <c:v>4.6379667222012609E-2</c:v>
                </c:pt>
                <c:pt idx="15">
                  <c:v>-0.53505884108339896</c:v>
                </c:pt>
                <c:pt idx="16">
                  <c:v>-0.53505884108339896</c:v>
                </c:pt>
                <c:pt idx="17">
                  <c:v>0.12538679050887602</c:v>
                </c:pt>
                <c:pt idx="18">
                  <c:v>0.58453906983169945</c:v>
                </c:pt>
                <c:pt idx="19">
                  <c:v>0.30686763053252747</c:v>
                </c:pt>
                <c:pt idx="20">
                  <c:v>2.31228755878502</c:v>
                </c:pt>
                <c:pt idx="21">
                  <c:v>2.7300552113814045</c:v>
                </c:pt>
                <c:pt idx="22">
                  <c:v>0.11660771229323333</c:v>
                </c:pt>
                <c:pt idx="23">
                  <c:v>0.24356317637381442</c:v>
                </c:pt>
                <c:pt idx="24">
                  <c:v>0.2611343386687856</c:v>
                </c:pt>
                <c:pt idx="25">
                  <c:v>4.9551565834205308E-2</c:v>
                </c:pt>
                <c:pt idx="26">
                  <c:v>-0.10639733230537796</c:v>
                </c:pt>
                <c:pt idx="27">
                  <c:v>0.18671862279210119</c:v>
                </c:pt>
                <c:pt idx="28">
                  <c:v>-3.0375505435505629E-2</c:v>
                </c:pt>
                <c:pt idx="29">
                  <c:v>1.3239368090492307</c:v>
                </c:pt>
                <c:pt idx="30">
                  <c:v>1.4923115263096309</c:v>
                </c:pt>
                <c:pt idx="31">
                  <c:v>0.20236374463267434</c:v>
                </c:pt>
                <c:pt idx="32">
                  <c:v>-0.32299550723367787</c:v>
                </c:pt>
                <c:pt idx="33">
                  <c:v>3.0079129469773314E-2</c:v>
                </c:pt>
                <c:pt idx="34">
                  <c:v>0.24321125984344</c:v>
                </c:pt>
                <c:pt idx="35">
                  <c:v>-0.33550750030255239</c:v>
                </c:pt>
                <c:pt idx="36">
                  <c:v>-0.47718242388126197</c:v>
                </c:pt>
                <c:pt idx="37">
                  <c:v>-0.23535245656828979</c:v>
                </c:pt>
                <c:pt idx="38">
                  <c:v>0.16508836840558389</c:v>
                </c:pt>
                <c:pt idx="39">
                  <c:v>0.20037850748685207</c:v>
                </c:pt>
                <c:pt idx="40">
                  <c:v>0.25266485767951147</c:v>
                </c:pt>
                <c:pt idx="41">
                  <c:v>0.37208985921880067</c:v>
                </c:pt>
                <c:pt idx="42">
                  <c:v>-0.33062325209186838</c:v>
                </c:pt>
                <c:pt idx="43">
                  <c:v>0.1973401425432503</c:v>
                </c:pt>
                <c:pt idx="44">
                  <c:v>1.616404882517045E-2</c:v>
                </c:pt>
                <c:pt idx="45">
                  <c:v>2.7463432332172289E-2</c:v>
                </c:pt>
                <c:pt idx="46">
                  <c:v>-7.0623918356202325E-2</c:v>
                </c:pt>
                <c:pt idx="47">
                  <c:v>-0.11867957860309714</c:v>
                </c:pt>
                <c:pt idx="48">
                  <c:v>-0.23703497146070696</c:v>
                </c:pt>
                <c:pt idx="49">
                  <c:v>0.32016099506301099</c:v>
                </c:pt>
                <c:pt idx="50">
                  <c:v>0.21919808095312437</c:v>
                </c:pt>
                <c:pt idx="51">
                  <c:v>0.8805595318140903</c:v>
                </c:pt>
                <c:pt idx="52">
                  <c:v>0.68831732951116997</c:v>
                </c:pt>
                <c:pt idx="53">
                  <c:v>0.95096851493808154</c:v>
                </c:pt>
                <c:pt idx="54">
                  <c:v>-1.1288305343452814</c:v>
                </c:pt>
                <c:pt idx="55">
                  <c:v>-0.59387833732479722</c:v>
                </c:pt>
                <c:pt idx="56">
                  <c:v>-1.6769217845295203</c:v>
                </c:pt>
                <c:pt idx="57">
                  <c:v>-5.3510280925385461</c:v>
                </c:pt>
                <c:pt idx="58">
                  <c:v>-2.555375764704392</c:v>
                </c:pt>
                <c:pt idx="59">
                  <c:v>-0.44932040118600575</c:v>
                </c:pt>
                <c:pt idx="60">
                  <c:v>-1.2899749101728046</c:v>
                </c:pt>
                <c:pt idx="61">
                  <c:v>-3.5792415964343856E-2</c:v>
                </c:pt>
                <c:pt idx="62">
                  <c:v>0.31591017205515831</c:v>
                </c:pt>
                <c:pt idx="63">
                  <c:v>0.49979325016298742</c:v>
                </c:pt>
                <c:pt idx="64">
                  <c:v>0.31575646402604352</c:v>
                </c:pt>
                <c:pt idx="65">
                  <c:v>0.45192866881315463</c:v>
                </c:pt>
                <c:pt idx="66">
                  <c:v>-0.11881738047149272</c:v>
                </c:pt>
                <c:pt idx="67">
                  <c:v>-0.35923397028692861</c:v>
                </c:pt>
                <c:pt idx="68">
                  <c:v>-0.76339904193244068</c:v>
                </c:pt>
                <c:pt idx="69">
                  <c:v>-2.7078152134555802E-2</c:v>
                </c:pt>
                <c:pt idx="70">
                  <c:v>0.62675186102232627</c:v>
                </c:pt>
                <c:pt idx="71">
                  <c:v>0.64284102708937396</c:v>
                </c:pt>
                <c:pt idx="72">
                  <c:v>0.74851815589219739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C1-40EC-AE9C-11E76FCB5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1"/>
          <c:order val="1"/>
          <c:tx>
            <c:strRef>
              <c:f>Viscosity!$A$79</c:f>
              <c:strCache>
                <c:ptCount val="1"/>
                <c:pt idx="0">
                  <c:v> exp. data [20]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Viscosity!$W$77:$W$100</c:f>
              <c:numCache>
                <c:formatCode>General</c:formatCode>
                <c:ptCount val="24"/>
                <c:pt idx="0">
                  <c:v>298.15300000000002</c:v>
                </c:pt>
                <c:pt idx="1">
                  <c:v>298.15100000000001</c:v>
                </c:pt>
                <c:pt idx="2">
                  <c:v>298.15100000000001</c:v>
                </c:pt>
                <c:pt idx="3">
                  <c:v>298.15199999999999</c:v>
                </c:pt>
                <c:pt idx="4">
                  <c:v>298.15199999999999</c:v>
                </c:pt>
                <c:pt idx="5">
                  <c:v>298.15100000000001</c:v>
                </c:pt>
                <c:pt idx="6">
                  <c:v>323.15899999999999</c:v>
                </c:pt>
                <c:pt idx="7">
                  <c:v>323.16000000000003</c:v>
                </c:pt>
                <c:pt idx="8">
                  <c:v>323.15899999999999</c:v>
                </c:pt>
                <c:pt idx="9">
                  <c:v>323.16000000000003</c:v>
                </c:pt>
                <c:pt idx="10">
                  <c:v>323.15899999999999</c:v>
                </c:pt>
                <c:pt idx="11">
                  <c:v>323.15899999999999</c:v>
                </c:pt>
                <c:pt idx="12">
                  <c:v>323.16000000000003</c:v>
                </c:pt>
                <c:pt idx="13">
                  <c:v>253.14599999999999</c:v>
                </c:pt>
                <c:pt idx="14">
                  <c:v>253.14599999999999</c:v>
                </c:pt>
                <c:pt idx="15">
                  <c:v>253.14599999999999</c:v>
                </c:pt>
                <c:pt idx="16">
                  <c:v>253.14599999999999</c:v>
                </c:pt>
                <c:pt idx="17">
                  <c:v>253.14599999999999</c:v>
                </c:pt>
                <c:pt idx="18">
                  <c:v>273.16800000000001</c:v>
                </c:pt>
                <c:pt idx="19">
                  <c:v>273.17</c:v>
                </c:pt>
                <c:pt idx="20">
                  <c:v>273.16699999999997</c:v>
                </c:pt>
                <c:pt idx="21">
                  <c:v>273.16899999999998</c:v>
                </c:pt>
                <c:pt idx="22">
                  <c:v>273.16899999999998</c:v>
                </c:pt>
                <c:pt idx="23">
                  <c:v>273.16800000000001</c:v>
                </c:pt>
              </c:numCache>
            </c:numRef>
          </c:xVal>
          <c:yVal>
            <c:numRef>
              <c:f>Viscosity!$AA$77:$AA$100</c:f>
              <c:numCache>
                <c:formatCode>General</c:formatCode>
                <c:ptCount val="24"/>
                <c:pt idx="0">
                  <c:v>0.150676721264733</c:v>
                </c:pt>
                <c:pt idx="1">
                  <c:v>0.17598645900947496</c:v>
                </c:pt>
                <c:pt idx="2">
                  <c:v>0.17970906773420586</c:v>
                </c:pt>
                <c:pt idx="3">
                  <c:v>0.15714543753749305</c:v>
                </c:pt>
                <c:pt idx="4">
                  <c:v>0.14471908146896467</c:v>
                </c:pt>
                <c:pt idx="5">
                  <c:v>9.1420147662546816E-2</c:v>
                </c:pt>
                <c:pt idx="6">
                  <c:v>0.23359664589721379</c:v>
                </c:pt>
                <c:pt idx="7">
                  <c:v>0.22815920432909287</c:v>
                </c:pt>
                <c:pt idx="8">
                  <c:v>0.22342622737464554</c:v>
                </c:pt>
                <c:pt idx="9">
                  <c:v>0.18105852433157452</c:v>
                </c:pt>
                <c:pt idx="10">
                  <c:v>0.17150479489604886</c:v>
                </c:pt>
                <c:pt idx="11">
                  <c:v>0.19154126611288189</c:v>
                </c:pt>
                <c:pt idx="12">
                  <c:v>0.16153892811783474</c:v>
                </c:pt>
                <c:pt idx="13">
                  <c:v>0.19923140711320569</c:v>
                </c:pt>
                <c:pt idx="14">
                  <c:v>0.26128125038982558</c:v>
                </c:pt>
                <c:pt idx="15">
                  <c:v>0.18706378847807401</c:v>
                </c:pt>
                <c:pt idx="16">
                  <c:v>0.17195348320213222</c:v>
                </c:pt>
                <c:pt idx="17">
                  <c:v>0.17311931606841546</c:v>
                </c:pt>
                <c:pt idx="18">
                  <c:v>0.10213558598289532</c:v>
                </c:pt>
                <c:pt idx="19">
                  <c:v>0.14609639372075806</c:v>
                </c:pt>
                <c:pt idx="20">
                  <c:v>0.10095597402769525</c:v>
                </c:pt>
                <c:pt idx="21">
                  <c:v>0.11985808278748769</c:v>
                </c:pt>
                <c:pt idx="22">
                  <c:v>7.4570803606169314E-2</c:v>
                </c:pt>
                <c:pt idx="23">
                  <c:v>3.0101292769632922E-2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FAC1-40EC-AE9C-11E76FCB58C3}"/>
            </c:ext>
          </c:extLst>
        </c:ser>
        <c:ser>
          <c:idx val="0"/>
          <c:order val="2"/>
          <c:tx>
            <c:strRef>
              <c:f>Viscosity!$A$103</c:f>
              <c:strCache>
                <c:ptCount val="1"/>
                <c:pt idx="0">
                  <c:v> exp. data [21]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99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Viscosity!$W$101:$W$188</c:f>
              <c:numCache>
                <c:formatCode>General</c:formatCode>
                <c:ptCount val="88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235</c:v>
                </c:pt>
                <c:pt idx="11">
                  <c:v>235</c:v>
                </c:pt>
                <c:pt idx="12">
                  <c:v>235</c:v>
                </c:pt>
                <c:pt idx="13">
                  <c:v>235</c:v>
                </c:pt>
                <c:pt idx="14">
                  <c:v>235</c:v>
                </c:pt>
                <c:pt idx="15">
                  <c:v>235</c:v>
                </c:pt>
                <c:pt idx="16">
                  <c:v>235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270</c:v>
                </c:pt>
                <c:pt idx="29">
                  <c:v>270</c:v>
                </c:pt>
                <c:pt idx="30">
                  <c:v>270</c:v>
                </c:pt>
                <c:pt idx="31">
                  <c:v>270</c:v>
                </c:pt>
                <c:pt idx="32">
                  <c:v>270</c:v>
                </c:pt>
                <c:pt idx="33">
                  <c:v>270</c:v>
                </c:pt>
                <c:pt idx="34">
                  <c:v>270</c:v>
                </c:pt>
                <c:pt idx="35">
                  <c:v>270</c:v>
                </c:pt>
                <c:pt idx="36">
                  <c:v>270</c:v>
                </c:pt>
                <c:pt idx="37">
                  <c:v>270</c:v>
                </c:pt>
                <c:pt idx="38">
                  <c:v>270</c:v>
                </c:pt>
                <c:pt idx="39">
                  <c:v>270</c:v>
                </c:pt>
                <c:pt idx="40">
                  <c:v>270</c:v>
                </c:pt>
                <c:pt idx="41">
                  <c:v>285</c:v>
                </c:pt>
                <c:pt idx="42">
                  <c:v>285</c:v>
                </c:pt>
                <c:pt idx="43">
                  <c:v>285</c:v>
                </c:pt>
                <c:pt idx="44">
                  <c:v>285</c:v>
                </c:pt>
                <c:pt idx="45">
                  <c:v>285</c:v>
                </c:pt>
                <c:pt idx="46">
                  <c:v>285</c:v>
                </c:pt>
                <c:pt idx="47">
                  <c:v>285</c:v>
                </c:pt>
                <c:pt idx="48">
                  <c:v>285</c:v>
                </c:pt>
                <c:pt idx="49">
                  <c:v>285</c:v>
                </c:pt>
                <c:pt idx="50">
                  <c:v>285</c:v>
                </c:pt>
                <c:pt idx="51">
                  <c:v>285</c:v>
                </c:pt>
                <c:pt idx="52">
                  <c:v>285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304.77</c:v>
                </c:pt>
                <c:pt idx="66">
                  <c:v>304.77</c:v>
                </c:pt>
                <c:pt idx="67">
                  <c:v>304.77</c:v>
                </c:pt>
                <c:pt idx="68">
                  <c:v>304.77</c:v>
                </c:pt>
                <c:pt idx="69">
                  <c:v>304.77</c:v>
                </c:pt>
                <c:pt idx="70">
                  <c:v>304.77</c:v>
                </c:pt>
                <c:pt idx="71">
                  <c:v>304.77</c:v>
                </c:pt>
                <c:pt idx="72">
                  <c:v>304.77</c:v>
                </c:pt>
                <c:pt idx="73">
                  <c:v>304.77</c:v>
                </c:pt>
                <c:pt idx="74">
                  <c:v>304.77</c:v>
                </c:pt>
                <c:pt idx="75">
                  <c:v>304.77</c:v>
                </c:pt>
                <c:pt idx="76">
                  <c:v>304.77</c:v>
                </c:pt>
                <c:pt idx="77">
                  <c:v>310</c:v>
                </c:pt>
                <c:pt idx="78">
                  <c:v>310</c:v>
                </c:pt>
                <c:pt idx="79">
                  <c:v>310</c:v>
                </c:pt>
                <c:pt idx="80">
                  <c:v>310</c:v>
                </c:pt>
                <c:pt idx="81">
                  <c:v>310</c:v>
                </c:pt>
                <c:pt idx="82">
                  <c:v>310</c:v>
                </c:pt>
                <c:pt idx="83">
                  <c:v>310</c:v>
                </c:pt>
                <c:pt idx="84">
                  <c:v>310</c:v>
                </c:pt>
                <c:pt idx="85">
                  <c:v>310</c:v>
                </c:pt>
                <c:pt idx="86">
                  <c:v>310</c:v>
                </c:pt>
                <c:pt idx="87">
                  <c:v>310</c:v>
                </c:pt>
              </c:numCache>
            </c:numRef>
          </c:xVal>
          <c:yVal>
            <c:numRef>
              <c:f>Viscosity!$AA$101:$AA$188</c:f>
              <c:numCache>
                <c:formatCode>General</c:formatCode>
                <c:ptCount val="88"/>
                <c:pt idx="0">
                  <c:v>-1.0620539947209784</c:v>
                </c:pt>
                <c:pt idx="1">
                  <c:v>-1.33897070665863</c:v>
                </c:pt>
                <c:pt idx="2">
                  <c:v>-1.2705326607694722</c:v>
                </c:pt>
                <c:pt idx="3">
                  <c:v>-1.2698791208970377</c:v>
                </c:pt>
                <c:pt idx="4">
                  <c:v>-1.6997594211194431</c:v>
                </c:pt>
                <c:pt idx="5">
                  <c:v>-1.4817652660384837</c:v>
                </c:pt>
                <c:pt idx="6">
                  <c:v>-1.4531170992730256</c:v>
                </c:pt>
                <c:pt idx="7">
                  <c:v>-2.4932436496470851</c:v>
                </c:pt>
                <c:pt idx="8">
                  <c:v>-1.6741939733584086</c:v>
                </c:pt>
                <c:pt idx="9">
                  <c:v>-3.0180675275715267</c:v>
                </c:pt>
                <c:pt idx="10">
                  <c:v>-0.59260714331397513</c:v>
                </c:pt>
                <c:pt idx="11">
                  <c:v>-1.0227030793814513</c:v>
                </c:pt>
                <c:pt idx="12">
                  <c:v>-0.62819030068066517</c:v>
                </c:pt>
                <c:pt idx="13">
                  <c:v>-1.1169360730910594</c:v>
                </c:pt>
                <c:pt idx="14">
                  <c:v>-1.2510838043345829</c:v>
                </c:pt>
                <c:pt idx="15">
                  <c:v>-1.4265635072417193</c:v>
                </c:pt>
                <c:pt idx="16">
                  <c:v>-1.37184331008667</c:v>
                </c:pt>
                <c:pt idx="17">
                  <c:v>0.24270609416054917</c:v>
                </c:pt>
                <c:pt idx="18">
                  <c:v>-4.3395931925189479E-2</c:v>
                </c:pt>
                <c:pt idx="19">
                  <c:v>-0.37464817968069447</c:v>
                </c:pt>
                <c:pt idx="20">
                  <c:v>-0.42026249259492471</c:v>
                </c:pt>
                <c:pt idx="21">
                  <c:v>-0.63596720057086287</c:v>
                </c:pt>
                <c:pt idx="22">
                  <c:v>-0.72312410252506809</c:v>
                </c:pt>
                <c:pt idx="23">
                  <c:v>-0.88604091824732578</c:v>
                </c:pt>
                <c:pt idx="24">
                  <c:v>-1.097672209043963</c:v>
                </c:pt>
                <c:pt idx="25">
                  <c:v>-1.2484349556457903</c:v>
                </c:pt>
                <c:pt idx="26">
                  <c:v>-1.6144048932171375</c:v>
                </c:pt>
                <c:pt idx="27">
                  <c:v>-1.8427194165856202</c:v>
                </c:pt>
                <c:pt idx="28">
                  <c:v>-0.56504470759952985</c:v>
                </c:pt>
                <c:pt idx="29">
                  <c:v>-0.45538366289509313</c:v>
                </c:pt>
                <c:pt idx="30">
                  <c:v>-0.25144308372030633</c:v>
                </c:pt>
                <c:pt idx="31">
                  <c:v>-0.14095838285048717</c:v>
                </c:pt>
                <c:pt idx="32">
                  <c:v>-9.8942442090280719E-2</c:v>
                </c:pt>
                <c:pt idx="33">
                  <c:v>-0.1843208633471338</c:v>
                </c:pt>
                <c:pt idx="34">
                  <c:v>-0.28197693162393189</c:v>
                </c:pt>
                <c:pt idx="35">
                  <c:v>-0.61922753842397682</c:v>
                </c:pt>
                <c:pt idx="36">
                  <c:v>-0.64832158423484831</c:v>
                </c:pt>
                <c:pt idx="37">
                  <c:v>-1.3882954856082206</c:v>
                </c:pt>
                <c:pt idx="38">
                  <c:v>-1.5437846652177729</c:v>
                </c:pt>
                <c:pt idx="39">
                  <c:v>-2.6213598453636977</c:v>
                </c:pt>
                <c:pt idx="40">
                  <c:v>-0.95812327070098069</c:v>
                </c:pt>
                <c:pt idx="41">
                  <c:v>0.32376614609035864</c:v>
                </c:pt>
                <c:pt idx="42">
                  <c:v>-0.29560815064860907</c:v>
                </c:pt>
                <c:pt idx="43">
                  <c:v>-0.31184614512603021</c:v>
                </c:pt>
                <c:pt idx="44">
                  <c:v>-2.5470024429101824E-2</c:v>
                </c:pt>
                <c:pt idx="45">
                  <c:v>-4.7837598674680459E-2</c:v>
                </c:pt>
                <c:pt idx="46">
                  <c:v>-0.13300728299063189</c:v>
                </c:pt>
                <c:pt idx="47">
                  <c:v>-0.25788268824415272</c:v>
                </c:pt>
                <c:pt idx="48">
                  <c:v>-0.56462784731085758</c:v>
                </c:pt>
                <c:pt idx="49">
                  <c:v>-0.5901943848211133</c:v>
                </c:pt>
                <c:pt idx="50">
                  <c:v>-0.9611757120203579</c:v>
                </c:pt>
                <c:pt idx="51">
                  <c:v>-1.2239675172741715</c:v>
                </c:pt>
                <c:pt idx="52">
                  <c:v>-1.988004609560547</c:v>
                </c:pt>
                <c:pt idx="53">
                  <c:v>-0.60429826349865934</c:v>
                </c:pt>
                <c:pt idx="54">
                  <c:v>-0.49537280139965012</c:v>
                </c:pt>
                <c:pt idx="55">
                  <c:v>0.13515539091385839</c:v>
                </c:pt>
                <c:pt idx="56">
                  <c:v>-0.12761330769323156</c:v>
                </c:pt>
                <c:pt idx="57">
                  <c:v>-0.10456008778600263</c:v>
                </c:pt>
                <c:pt idx="58">
                  <c:v>-0.23279363526696792</c:v>
                </c:pt>
                <c:pt idx="59">
                  <c:v>-0.32686199486340078</c:v>
                </c:pt>
                <c:pt idx="60">
                  <c:v>-0.56409228716172588</c:v>
                </c:pt>
                <c:pt idx="61">
                  <c:v>-0.81960828864756086</c:v>
                </c:pt>
                <c:pt idx="62">
                  <c:v>-0.96683344915178937</c:v>
                </c:pt>
                <c:pt idx="63">
                  <c:v>-1.2772846986549771</c:v>
                </c:pt>
                <c:pt idx="64">
                  <c:v>-1.5892319178819312</c:v>
                </c:pt>
                <c:pt idx="65">
                  <c:v>-0.4155978821864405</c:v>
                </c:pt>
                <c:pt idx="66">
                  <c:v>-0.23304923783323633</c:v>
                </c:pt>
                <c:pt idx="67">
                  <c:v>3.0607015035906425E-2</c:v>
                </c:pt>
                <c:pt idx="68">
                  <c:v>-0.10005774350530154</c:v>
                </c:pt>
                <c:pt idx="69">
                  <c:v>-0.11172502473567991</c:v>
                </c:pt>
                <c:pt idx="70">
                  <c:v>-0.30412855333173239</c:v>
                </c:pt>
                <c:pt idx="71">
                  <c:v>-0.38638013509272157</c:v>
                </c:pt>
                <c:pt idx="72">
                  <c:v>-0.59862816252975082</c:v>
                </c:pt>
                <c:pt idx="73">
                  <c:v>-0.79362925573358267</c:v>
                </c:pt>
                <c:pt idx="74">
                  <c:v>-1.0402266590874609</c:v>
                </c:pt>
                <c:pt idx="75">
                  <c:v>-1.3361211691087918</c:v>
                </c:pt>
                <c:pt idx="76">
                  <c:v>-2.1340910322896605</c:v>
                </c:pt>
                <c:pt idx="77">
                  <c:v>-0.28115277034716896</c:v>
                </c:pt>
                <c:pt idx="78">
                  <c:v>-8.5978008876112497E-2</c:v>
                </c:pt>
                <c:pt idx="79">
                  <c:v>-7.8814134551757037E-2</c:v>
                </c:pt>
                <c:pt idx="80">
                  <c:v>-0.22841029299328405</c:v>
                </c:pt>
                <c:pt idx="81">
                  <c:v>-0.31137501864200651</c:v>
                </c:pt>
                <c:pt idx="82">
                  <c:v>-0.44033556525188977</c:v>
                </c:pt>
                <c:pt idx="83">
                  <c:v>-0.58895372999973616</c:v>
                </c:pt>
                <c:pt idx="84">
                  <c:v>-0.85783211030022732</c:v>
                </c:pt>
                <c:pt idx="85">
                  <c:v>-1.0764606809428783</c:v>
                </c:pt>
                <c:pt idx="86">
                  <c:v>-1.3838612018273808</c:v>
                </c:pt>
                <c:pt idx="87">
                  <c:v>-1.7336573345612947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01-41FC-ADC4-96BB0E1C9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/>
      </c:scatterChart>
      <c:valAx>
        <c:axId val="68415872"/>
        <c:scaling>
          <c:orientation val="minMax"/>
          <c:max val="325"/>
          <c:min val="217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39515893851"/>
              <c:y val="0.937693645852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6"/>
        <c:crossBetween val="midCat"/>
        <c:majorUnit val="6"/>
      </c:valAx>
      <c:valAx>
        <c:axId val="68417792"/>
        <c:scaling>
          <c:orientation val="minMax"/>
          <c:max val="3"/>
          <c:min val="-3.5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2.0180380678221671E-2"/>
              <c:y val="0.409377012913679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0.5"/>
      </c:valAx>
      <c:valAx>
        <c:axId val="986252751"/>
        <c:scaling>
          <c:orientation val="minMax"/>
          <c:max val="3"/>
          <c:min val="-3.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0.5"/>
      </c:valAx>
      <c:valAx>
        <c:axId val="986251919"/>
        <c:scaling>
          <c:orientation val="minMax"/>
          <c:max val="325"/>
          <c:min val="217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6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76396147384231838"/>
          <c:y val="8.2888402625820631E-2"/>
          <c:w val="0.14175086521264488"/>
          <c:h val="0.1476807748418453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7265539292989"/>
          <c:y val="7.5930562909571245E-2"/>
          <c:w val="0.81947875244691393"/>
          <c:h val="0.791451897389832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'Err. rel.'!$Y$6</c:f>
              <c:strCache>
                <c:ptCount val="1"/>
                <c:pt idx="0">
                  <c:v> T = 220 K (exp. data [6])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0000000000000014E-3"/>
          </c:errBars>
          <c:errBars>
            <c:errDir val="y"/>
            <c:errBarType val="both"/>
            <c:errValType val="percentage"/>
            <c:noEndCap val="0"/>
            <c:val val="5.0000000000000018E-3"/>
          </c:errBars>
          <c:xVal>
            <c:numRef>
              <c:f>'Err. rel.'!$T$6:$T$28</c:f>
              <c:numCache>
                <c:formatCode>General</c:formatCode>
                <c:ptCount val="23"/>
                <c:pt idx="0">
                  <c:v>0.29731999999999997</c:v>
                </c:pt>
                <c:pt idx="1">
                  <c:v>0.30081999999999998</c:v>
                </c:pt>
                <c:pt idx="2">
                  <c:v>0.30081999999999998</c:v>
                </c:pt>
                <c:pt idx="3">
                  <c:v>0.40068999999999999</c:v>
                </c:pt>
                <c:pt idx="4">
                  <c:v>0.49489</c:v>
                </c:pt>
                <c:pt idx="5">
                  <c:v>0.50039999999999996</c:v>
                </c:pt>
                <c:pt idx="6">
                  <c:v>0.50117</c:v>
                </c:pt>
                <c:pt idx="7">
                  <c:v>0.52442999999999995</c:v>
                </c:pt>
                <c:pt idx="8">
                  <c:v>0.54998999999999998</c:v>
                </c:pt>
                <c:pt idx="9">
                  <c:v>0.55059999999999998</c:v>
                </c:pt>
                <c:pt idx="10">
                  <c:v>0.56023000000000001</c:v>
                </c:pt>
                <c:pt idx="11">
                  <c:v>0.57076000000000005</c:v>
                </c:pt>
                <c:pt idx="12">
                  <c:v>0.58069000000000004</c:v>
                </c:pt>
                <c:pt idx="13">
                  <c:v>1.00854</c:v>
                </c:pt>
                <c:pt idx="14">
                  <c:v>2.0145400000000002</c:v>
                </c:pt>
                <c:pt idx="15">
                  <c:v>2.9993500000000002</c:v>
                </c:pt>
                <c:pt idx="16">
                  <c:v>4.0028899999999998</c:v>
                </c:pt>
                <c:pt idx="17">
                  <c:v>5.0030999999999999</c:v>
                </c:pt>
                <c:pt idx="18">
                  <c:v>5.9994199999999998</c:v>
                </c:pt>
                <c:pt idx="19">
                  <c:v>6.0013699999999996</c:v>
                </c:pt>
                <c:pt idx="20">
                  <c:v>7.0210800000000004</c:v>
                </c:pt>
                <c:pt idx="21">
                  <c:v>8.0075400000000005</c:v>
                </c:pt>
                <c:pt idx="22">
                  <c:v>9.0009899999999998</c:v>
                </c:pt>
              </c:numCache>
            </c:numRef>
          </c:xVal>
          <c:yVal>
            <c:numRef>
              <c:f>'Err. rel.'!$V$6:$V$28</c:f>
              <c:numCache>
                <c:formatCode>General</c:formatCode>
                <c:ptCount val="23"/>
                <c:pt idx="0">
                  <c:v>7.4657999999999998</c:v>
                </c:pt>
                <c:pt idx="1">
                  <c:v>7.5582000000000003</c:v>
                </c:pt>
                <c:pt idx="2">
                  <c:v>7.5583999999999998</c:v>
                </c:pt>
                <c:pt idx="3">
                  <c:v>10.2263</c:v>
                </c:pt>
                <c:pt idx="4">
                  <c:v>12.8291</c:v>
                </c:pt>
                <c:pt idx="5">
                  <c:v>12.984</c:v>
                </c:pt>
                <c:pt idx="6">
                  <c:v>13.0039</c:v>
                </c:pt>
                <c:pt idx="7">
                  <c:v>13.663600000000001</c:v>
                </c:pt>
                <c:pt idx="8">
                  <c:v>14.3933</c:v>
                </c:pt>
                <c:pt idx="9">
                  <c:v>14.4107</c:v>
                </c:pt>
                <c:pt idx="10">
                  <c:v>14.687200000000001</c:v>
                </c:pt>
                <c:pt idx="11">
                  <c:v>14.9918</c:v>
                </c:pt>
                <c:pt idx="12">
                  <c:v>15.279500000000001</c:v>
                </c:pt>
                <c:pt idx="13">
                  <c:v>1167.07</c:v>
                </c:pt>
                <c:pt idx="14">
                  <c:v>1169.26</c:v>
                </c:pt>
                <c:pt idx="15">
                  <c:v>1171.4100000000001</c:v>
                </c:pt>
                <c:pt idx="16">
                  <c:v>1173.52</c:v>
                </c:pt>
                <c:pt idx="17">
                  <c:v>1175.6199999999999</c:v>
                </c:pt>
                <c:pt idx="18">
                  <c:v>1177.6600000000001</c:v>
                </c:pt>
                <c:pt idx="19">
                  <c:v>1177.67</c:v>
                </c:pt>
                <c:pt idx="20">
                  <c:v>1179.77</c:v>
                </c:pt>
                <c:pt idx="21">
                  <c:v>1181.75</c:v>
                </c:pt>
                <c:pt idx="22">
                  <c:v>1183.69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9-4AFF-9034-BC69D4D70137}"/>
            </c:ext>
          </c:extLst>
        </c:ser>
        <c:ser>
          <c:idx val="3"/>
          <c:order val="1"/>
          <c:tx>
            <c:strRef>
              <c:f>'Err. rel.'!$Y$75</c:f>
              <c:strCache>
                <c:ptCount val="1"/>
                <c:pt idx="0">
                  <c:v> T = 280 K (exp. data [6])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99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rel.'!$T$75:$T$103</c:f>
              <c:numCache>
                <c:formatCode>General</c:formatCode>
                <c:ptCount val="29"/>
                <c:pt idx="0">
                  <c:v>0.49940000000000001</c:v>
                </c:pt>
                <c:pt idx="1">
                  <c:v>0.49994</c:v>
                </c:pt>
                <c:pt idx="2">
                  <c:v>0.50056999999999996</c:v>
                </c:pt>
                <c:pt idx="3">
                  <c:v>1.0041500000000001</c:v>
                </c:pt>
                <c:pt idx="4">
                  <c:v>1.50162</c:v>
                </c:pt>
                <c:pt idx="5">
                  <c:v>2.0009700000000001</c:v>
                </c:pt>
                <c:pt idx="6">
                  <c:v>2.50027</c:v>
                </c:pt>
                <c:pt idx="7">
                  <c:v>2.5007999999999999</c:v>
                </c:pt>
                <c:pt idx="8">
                  <c:v>3.0004</c:v>
                </c:pt>
                <c:pt idx="9">
                  <c:v>3.5006599999999999</c:v>
                </c:pt>
                <c:pt idx="10">
                  <c:v>3.9981300000000002</c:v>
                </c:pt>
                <c:pt idx="11">
                  <c:v>3.9993099999999999</c:v>
                </c:pt>
                <c:pt idx="12">
                  <c:v>3.9999799999999999</c:v>
                </c:pt>
                <c:pt idx="13">
                  <c:v>4.0018399999999996</c:v>
                </c:pt>
                <c:pt idx="14">
                  <c:v>4.1201100000000004</c:v>
                </c:pt>
                <c:pt idx="15">
                  <c:v>4.1531200000000004</c:v>
                </c:pt>
                <c:pt idx="16">
                  <c:v>4.1759300000000001</c:v>
                </c:pt>
                <c:pt idx="17">
                  <c:v>4.1977799999999998</c:v>
                </c:pt>
                <c:pt idx="18">
                  <c:v>4.2676499999999997</c:v>
                </c:pt>
                <c:pt idx="19">
                  <c:v>4.50556</c:v>
                </c:pt>
                <c:pt idx="20">
                  <c:v>4.9974499999999997</c:v>
                </c:pt>
                <c:pt idx="21">
                  <c:v>4.9994100000000001</c:v>
                </c:pt>
                <c:pt idx="22">
                  <c:v>6.00474</c:v>
                </c:pt>
                <c:pt idx="23">
                  <c:v>6.9988200000000003</c:v>
                </c:pt>
                <c:pt idx="24">
                  <c:v>7.0045700000000002</c:v>
                </c:pt>
                <c:pt idx="25">
                  <c:v>8.0018799999999999</c:v>
                </c:pt>
                <c:pt idx="26">
                  <c:v>8.0040800000000001</c:v>
                </c:pt>
                <c:pt idx="27">
                  <c:v>9.0048899999999996</c:v>
                </c:pt>
                <c:pt idx="28">
                  <c:v>9.0044400000000007</c:v>
                </c:pt>
              </c:numCache>
            </c:numRef>
          </c:xVal>
          <c:yVal>
            <c:numRef>
              <c:f>'Err. rel.'!$V$75:$V$103</c:f>
              <c:numCache>
                <c:formatCode>General</c:formatCode>
                <c:ptCount val="29"/>
                <c:pt idx="0">
                  <c:v>9.7447999999999997</c:v>
                </c:pt>
                <c:pt idx="1">
                  <c:v>9.7555999999999994</c:v>
                </c:pt>
                <c:pt idx="2">
                  <c:v>9.7682000000000002</c:v>
                </c:pt>
                <c:pt idx="3">
                  <c:v>20.289100000000001</c:v>
                </c:pt>
                <c:pt idx="4">
                  <c:v>31.509399999999999</c:v>
                </c:pt>
                <c:pt idx="5">
                  <c:v>43.796399999999998</c:v>
                </c:pt>
                <c:pt idx="6">
                  <c:v>57.404000000000003</c:v>
                </c:pt>
                <c:pt idx="7">
                  <c:v>57.417299999999997</c:v>
                </c:pt>
                <c:pt idx="8">
                  <c:v>72.818799999999996</c:v>
                </c:pt>
                <c:pt idx="9">
                  <c:v>90.834000000000003</c:v>
                </c:pt>
                <c:pt idx="10">
                  <c:v>112.986</c:v>
                </c:pt>
                <c:pt idx="11">
                  <c:v>113.04300000000001</c:v>
                </c:pt>
                <c:pt idx="12">
                  <c:v>113.081</c:v>
                </c:pt>
                <c:pt idx="13">
                  <c:v>113.17400000000001</c:v>
                </c:pt>
                <c:pt idx="14">
                  <c:v>119.453</c:v>
                </c:pt>
                <c:pt idx="15">
                  <c:v>121.29900000000001</c:v>
                </c:pt>
                <c:pt idx="16">
                  <c:v>883.77599999999995</c:v>
                </c:pt>
                <c:pt idx="17">
                  <c:v>884.04</c:v>
                </c:pt>
                <c:pt idx="18">
                  <c:v>884.96299999999997</c:v>
                </c:pt>
                <c:pt idx="19">
                  <c:v>887.947</c:v>
                </c:pt>
                <c:pt idx="20">
                  <c:v>893.82399999999996</c:v>
                </c:pt>
                <c:pt idx="21">
                  <c:v>893.85</c:v>
                </c:pt>
                <c:pt idx="22">
                  <c:v>904.7</c:v>
                </c:pt>
                <c:pt idx="23">
                  <c:v>914.28800000000001</c:v>
                </c:pt>
                <c:pt idx="24">
                  <c:v>914.34199999999998</c:v>
                </c:pt>
                <c:pt idx="25">
                  <c:v>923.00300000000004</c:v>
                </c:pt>
                <c:pt idx="26">
                  <c:v>923.03300000000002</c:v>
                </c:pt>
                <c:pt idx="27">
                  <c:v>931.024</c:v>
                </c:pt>
                <c:pt idx="28">
                  <c:v>931.03599999999994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09-4AFF-9034-BC69D4D70137}"/>
            </c:ext>
          </c:extLst>
        </c:ser>
        <c:ser>
          <c:idx val="4"/>
          <c:order val="2"/>
          <c:tx>
            <c:strRef>
              <c:f>'Err. rel.'!$Y$114</c:f>
              <c:strCache>
                <c:ptCount val="1"/>
                <c:pt idx="0">
                  <c:v> T = 297 K (exp. data [6])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rel.'!$T$114:$T$128</c:f>
              <c:numCache>
                <c:formatCode>General</c:formatCode>
                <c:ptCount val="15"/>
                <c:pt idx="0">
                  <c:v>5.0016499999999997</c:v>
                </c:pt>
                <c:pt idx="1">
                  <c:v>5.5005800000000002</c:v>
                </c:pt>
                <c:pt idx="2">
                  <c:v>5.8011900000000001</c:v>
                </c:pt>
                <c:pt idx="3">
                  <c:v>6.0025300000000001</c:v>
                </c:pt>
                <c:pt idx="4">
                  <c:v>6.1017799999999998</c:v>
                </c:pt>
                <c:pt idx="5">
                  <c:v>6.19719</c:v>
                </c:pt>
                <c:pt idx="6">
                  <c:v>6.2017199999999999</c:v>
                </c:pt>
                <c:pt idx="7">
                  <c:v>6.2587000000000002</c:v>
                </c:pt>
                <c:pt idx="8">
                  <c:v>6.30105</c:v>
                </c:pt>
                <c:pt idx="9">
                  <c:v>6.5003900000000003</c:v>
                </c:pt>
                <c:pt idx="10">
                  <c:v>7.0000299999999998</c:v>
                </c:pt>
                <c:pt idx="11">
                  <c:v>7.0238100000000001</c:v>
                </c:pt>
                <c:pt idx="12">
                  <c:v>7.5056500000000002</c:v>
                </c:pt>
                <c:pt idx="13">
                  <c:v>8.0033700000000003</c:v>
                </c:pt>
                <c:pt idx="14">
                  <c:v>9.0080799999999996</c:v>
                </c:pt>
              </c:numCache>
            </c:numRef>
          </c:xVal>
          <c:yVal>
            <c:numRef>
              <c:f>'Err. rel.'!$V$114:$V$128</c:f>
              <c:numCache>
                <c:formatCode>General</c:formatCode>
                <c:ptCount val="15"/>
                <c:pt idx="0">
                  <c:v>133.28800000000001</c:v>
                </c:pt>
                <c:pt idx="1">
                  <c:v>159.61799999999999</c:v>
                </c:pt>
                <c:pt idx="2">
                  <c:v>180.018</c:v>
                </c:pt>
                <c:pt idx="3">
                  <c:v>197.238</c:v>
                </c:pt>
                <c:pt idx="4">
                  <c:v>207.53100000000001</c:v>
                </c:pt>
                <c:pt idx="5">
                  <c:v>219.262</c:v>
                </c:pt>
                <c:pt idx="6">
                  <c:v>219.89</c:v>
                </c:pt>
                <c:pt idx="7">
                  <c:v>228.34399999999999</c:v>
                </c:pt>
                <c:pt idx="8">
                  <c:v>729.43100000000004</c:v>
                </c:pt>
                <c:pt idx="9">
                  <c:v>740.39200000000005</c:v>
                </c:pt>
                <c:pt idx="10">
                  <c:v>761.22699999999998</c:v>
                </c:pt>
                <c:pt idx="11">
                  <c:v>762.05</c:v>
                </c:pt>
                <c:pt idx="12">
                  <c:v>777.11099999999999</c:v>
                </c:pt>
                <c:pt idx="13">
                  <c:v>789.90099999999995</c:v>
                </c:pt>
                <c:pt idx="14">
                  <c:v>810.66399999999999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09-4AFF-9034-BC69D4D70137}"/>
            </c:ext>
          </c:extLst>
        </c:ser>
        <c:ser>
          <c:idx val="6"/>
          <c:order val="3"/>
          <c:tx>
            <c:strRef>
              <c:f>'Err. rel.'!$Y$171</c:f>
              <c:strCache>
                <c:ptCount val="1"/>
                <c:pt idx="0">
                  <c:v> T = 303 K (exp. data [6])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rel.'!$T$171:$T$207</c:f>
              <c:numCache>
                <c:formatCode>General</c:formatCode>
                <c:ptCount val="37"/>
                <c:pt idx="0">
                  <c:v>4.9984900000000003</c:v>
                </c:pt>
                <c:pt idx="1">
                  <c:v>5.4996499999999999</c:v>
                </c:pt>
                <c:pt idx="2">
                  <c:v>6.0003799999999998</c:v>
                </c:pt>
                <c:pt idx="3">
                  <c:v>6.5007900000000003</c:v>
                </c:pt>
                <c:pt idx="4">
                  <c:v>6.6989099999999997</c:v>
                </c:pt>
                <c:pt idx="5">
                  <c:v>6.9020799999999998</c:v>
                </c:pt>
                <c:pt idx="6">
                  <c:v>7.0013699999999996</c:v>
                </c:pt>
                <c:pt idx="7">
                  <c:v>7.0517200000000004</c:v>
                </c:pt>
                <c:pt idx="8">
                  <c:v>7.09884</c:v>
                </c:pt>
                <c:pt idx="9">
                  <c:v>7.1426999999999996</c:v>
                </c:pt>
                <c:pt idx="10">
                  <c:v>7.1519399999999997</c:v>
                </c:pt>
                <c:pt idx="11">
                  <c:v>7.1685299999999996</c:v>
                </c:pt>
                <c:pt idx="12">
                  <c:v>7.1717599999999999</c:v>
                </c:pt>
                <c:pt idx="13">
                  <c:v>7.1790500000000002</c:v>
                </c:pt>
                <c:pt idx="14">
                  <c:v>7.18248</c:v>
                </c:pt>
                <c:pt idx="15">
                  <c:v>7.1886000000000001</c:v>
                </c:pt>
                <c:pt idx="16">
                  <c:v>7.1889500000000002</c:v>
                </c:pt>
                <c:pt idx="17">
                  <c:v>7.1907300000000003</c:v>
                </c:pt>
                <c:pt idx="18">
                  <c:v>7.20465</c:v>
                </c:pt>
                <c:pt idx="19">
                  <c:v>7.2130299999999998</c:v>
                </c:pt>
                <c:pt idx="20">
                  <c:v>7.2541500000000001</c:v>
                </c:pt>
                <c:pt idx="21">
                  <c:v>7.30091</c:v>
                </c:pt>
                <c:pt idx="22">
                  <c:v>7.3055300000000001</c:v>
                </c:pt>
                <c:pt idx="23">
                  <c:v>7.3101000000000003</c:v>
                </c:pt>
                <c:pt idx="24">
                  <c:v>7.3979299999999997</c:v>
                </c:pt>
                <c:pt idx="25">
                  <c:v>7.5026700000000002</c:v>
                </c:pt>
                <c:pt idx="26">
                  <c:v>7.6061800000000002</c:v>
                </c:pt>
                <c:pt idx="27">
                  <c:v>7.7992699999999999</c:v>
                </c:pt>
                <c:pt idx="28">
                  <c:v>8.0009899999999998</c:v>
                </c:pt>
                <c:pt idx="29">
                  <c:v>8.0007900000000003</c:v>
                </c:pt>
                <c:pt idx="30">
                  <c:v>8.2040799999999994</c:v>
                </c:pt>
                <c:pt idx="31">
                  <c:v>8.4004399999999997</c:v>
                </c:pt>
                <c:pt idx="32">
                  <c:v>8.4039000000000001</c:v>
                </c:pt>
                <c:pt idx="33">
                  <c:v>8.6020299999999992</c:v>
                </c:pt>
                <c:pt idx="34">
                  <c:v>8.7981499999999997</c:v>
                </c:pt>
                <c:pt idx="35">
                  <c:v>8.8032199999999996</c:v>
                </c:pt>
                <c:pt idx="36">
                  <c:v>9.0027899999999992</c:v>
                </c:pt>
              </c:numCache>
            </c:numRef>
          </c:xVal>
          <c:yVal>
            <c:numRef>
              <c:f>'Err. rel.'!$V$171:$V$207</c:f>
              <c:numCache>
                <c:formatCode>General</c:formatCode>
                <c:ptCount val="37"/>
                <c:pt idx="0">
                  <c:v>124.16200000000001</c:v>
                </c:pt>
                <c:pt idx="1">
                  <c:v>145.60599999999999</c:v>
                </c:pt>
                <c:pt idx="2">
                  <c:v>171.95400000000001</c:v>
                </c:pt>
                <c:pt idx="3">
                  <c:v>207.41200000000001</c:v>
                </c:pt>
                <c:pt idx="4">
                  <c:v>226.453</c:v>
                </c:pt>
                <c:pt idx="5">
                  <c:v>252.357</c:v>
                </c:pt>
                <c:pt idx="6">
                  <c:v>269.68799999999999</c:v>
                </c:pt>
                <c:pt idx="7">
                  <c:v>280.79700000000003</c:v>
                </c:pt>
                <c:pt idx="8">
                  <c:v>293.69400000000002</c:v>
                </c:pt>
                <c:pt idx="9">
                  <c:v>309.851</c:v>
                </c:pt>
                <c:pt idx="10">
                  <c:v>314.14100000000002</c:v>
                </c:pt>
                <c:pt idx="11">
                  <c:v>323.30900000000003</c:v>
                </c:pt>
                <c:pt idx="12">
                  <c:v>325.44600000000003</c:v>
                </c:pt>
                <c:pt idx="13">
                  <c:v>331.01400000000001</c:v>
                </c:pt>
                <c:pt idx="14">
                  <c:v>333.93799999999999</c:v>
                </c:pt>
                <c:pt idx="15">
                  <c:v>600.51900000000001</c:v>
                </c:pt>
                <c:pt idx="16">
                  <c:v>600.78099999999995</c:v>
                </c:pt>
                <c:pt idx="17">
                  <c:v>601.86800000000005</c:v>
                </c:pt>
                <c:pt idx="18">
                  <c:v>609.16800000000001</c:v>
                </c:pt>
                <c:pt idx="19">
                  <c:v>612.80899999999997</c:v>
                </c:pt>
                <c:pt idx="20">
                  <c:v>626.37900000000002</c:v>
                </c:pt>
                <c:pt idx="21">
                  <c:v>637.38599999999997</c:v>
                </c:pt>
                <c:pt idx="22">
                  <c:v>638.33799999999997</c:v>
                </c:pt>
                <c:pt idx="23">
                  <c:v>639.26</c:v>
                </c:pt>
                <c:pt idx="24">
                  <c:v>653.79399999999998</c:v>
                </c:pt>
                <c:pt idx="25">
                  <c:v>666.76900000000001</c:v>
                </c:pt>
                <c:pt idx="26">
                  <c:v>677.01499999999999</c:v>
                </c:pt>
                <c:pt idx="27">
                  <c:v>692.23900000000003</c:v>
                </c:pt>
                <c:pt idx="28">
                  <c:v>704.875</c:v>
                </c:pt>
                <c:pt idx="29">
                  <c:v>704.87900000000002</c:v>
                </c:pt>
                <c:pt idx="30">
                  <c:v>715.51800000000003</c:v>
                </c:pt>
                <c:pt idx="31">
                  <c:v>724.42399999999998</c:v>
                </c:pt>
                <c:pt idx="32">
                  <c:v>724.58799999999997</c:v>
                </c:pt>
                <c:pt idx="33">
                  <c:v>732.56200000000001</c:v>
                </c:pt>
                <c:pt idx="34">
                  <c:v>739.65800000000002</c:v>
                </c:pt>
                <c:pt idx="35">
                  <c:v>739.85500000000002</c:v>
                </c:pt>
                <c:pt idx="36">
                  <c:v>746.46199999999999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09-4AFF-9034-BC69D4D70137}"/>
            </c:ext>
          </c:extLst>
        </c:ser>
        <c:ser>
          <c:idx val="8"/>
          <c:order val="4"/>
          <c:tx>
            <c:strRef>
              <c:f>'Err. rel.'!$Y$221</c:f>
              <c:strCache>
                <c:ptCount val="1"/>
                <c:pt idx="0">
                  <c:v> T = 305 K (exp. data [6])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rel.'!$T$221:$T$242</c:f>
              <c:numCache>
                <c:formatCode>General</c:formatCode>
                <c:ptCount val="22"/>
                <c:pt idx="0">
                  <c:v>6.4944699999999997</c:v>
                </c:pt>
                <c:pt idx="1">
                  <c:v>6.8025599999999997</c:v>
                </c:pt>
                <c:pt idx="2">
                  <c:v>6.99838</c:v>
                </c:pt>
                <c:pt idx="3">
                  <c:v>7.1959600000000004</c:v>
                </c:pt>
                <c:pt idx="4">
                  <c:v>7.33643</c:v>
                </c:pt>
                <c:pt idx="5">
                  <c:v>7.4418699999999998</c:v>
                </c:pt>
                <c:pt idx="6">
                  <c:v>7.4917499999999997</c:v>
                </c:pt>
                <c:pt idx="7">
                  <c:v>7.5137900000000002</c:v>
                </c:pt>
                <c:pt idx="8">
                  <c:v>7.5218299999999996</c:v>
                </c:pt>
                <c:pt idx="9">
                  <c:v>7.5224000000000002</c:v>
                </c:pt>
                <c:pt idx="10">
                  <c:v>7.53233</c:v>
                </c:pt>
                <c:pt idx="11">
                  <c:v>7.5505100000000001</c:v>
                </c:pt>
                <c:pt idx="12">
                  <c:v>7.6048900000000001</c:v>
                </c:pt>
                <c:pt idx="13">
                  <c:v>7.7997199999999998</c:v>
                </c:pt>
                <c:pt idx="14">
                  <c:v>7.9000300000000001</c:v>
                </c:pt>
                <c:pt idx="15">
                  <c:v>8.0020799999999994</c:v>
                </c:pt>
                <c:pt idx="16">
                  <c:v>8.1999300000000002</c:v>
                </c:pt>
                <c:pt idx="17">
                  <c:v>8.40123</c:v>
                </c:pt>
                <c:pt idx="18">
                  <c:v>8.6050500000000003</c:v>
                </c:pt>
                <c:pt idx="19">
                  <c:v>8.8064599999999995</c:v>
                </c:pt>
                <c:pt idx="20">
                  <c:v>8.8078500000000002</c:v>
                </c:pt>
                <c:pt idx="21">
                  <c:v>9.0031499999999998</c:v>
                </c:pt>
              </c:numCache>
            </c:numRef>
          </c:xVal>
          <c:yVal>
            <c:numRef>
              <c:f>'Err. rel.'!$V$221:$V$242</c:f>
              <c:numCache>
                <c:formatCode>General</c:formatCode>
                <c:ptCount val="22"/>
                <c:pt idx="0">
                  <c:v>196.98099999999999</c:v>
                </c:pt>
                <c:pt idx="1">
                  <c:v>222.25399999999999</c:v>
                </c:pt>
                <c:pt idx="2">
                  <c:v>242.965</c:v>
                </c:pt>
                <c:pt idx="3">
                  <c:v>271.11700000000002</c:v>
                </c:pt>
                <c:pt idx="4">
                  <c:v>301.05599999999998</c:v>
                </c:pt>
                <c:pt idx="5">
                  <c:v>340.34</c:v>
                </c:pt>
                <c:pt idx="6">
                  <c:v>380.54899999999998</c:v>
                </c:pt>
                <c:pt idx="7">
                  <c:v>425.01499999999999</c:v>
                </c:pt>
                <c:pt idx="8">
                  <c:v>457.12099999999998</c:v>
                </c:pt>
                <c:pt idx="9">
                  <c:v>458.76900000000001</c:v>
                </c:pt>
                <c:pt idx="10">
                  <c:v>500.80799999999999</c:v>
                </c:pt>
                <c:pt idx="11">
                  <c:v>538.84799999999996</c:v>
                </c:pt>
                <c:pt idx="12">
                  <c:v>580.68200000000002</c:v>
                </c:pt>
                <c:pt idx="13">
                  <c:v>631.51599999999996</c:v>
                </c:pt>
                <c:pt idx="14">
                  <c:v>645.77</c:v>
                </c:pt>
                <c:pt idx="15">
                  <c:v>657.28300000000002</c:v>
                </c:pt>
                <c:pt idx="16">
                  <c:v>674.79399999999998</c:v>
                </c:pt>
                <c:pt idx="17">
                  <c:v>688.72500000000002</c:v>
                </c:pt>
                <c:pt idx="18">
                  <c:v>700.399</c:v>
                </c:pt>
                <c:pt idx="19">
                  <c:v>710.31600000000003</c:v>
                </c:pt>
                <c:pt idx="20">
                  <c:v>710.33100000000002</c:v>
                </c:pt>
                <c:pt idx="21">
                  <c:v>718.84900000000005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09-4AFF-9034-BC69D4D70137}"/>
            </c:ext>
          </c:extLst>
        </c:ser>
        <c:ser>
          <c:idx val="10"/>
          <c:order val="5"/>
          <c:tx>
            <c:strRef>
              <c:f>'Err. rel.'!$Y$266</c:f>
              <c:strCache>
                <c:ptCount val="1"/>
                <c:pt idx="0">
                  <c:v> T = 310 K (exp. data [6])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BB11A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rel.'!$T$266:$T$290</c:f>
              <c:numCache>
                <c:formatCode>General</c:formatCode>
                <c:ptCount val="25"/>
                <c:pt idx="0">
                  <c:v>6.0005100000000002</c:v>
                </c:pt>
                <c:pt idx="1">
                  <c:v>6.4935099999999997</c:v>
                </c:pt>
                <c:pt idx="2">
                  <c:v>6.9966400000000002</c:v>
                </c:pt>
                <c:pt idx="3">
                  <c:v>7.00047</c:v>
                </c:pt>
                <c:pt idx="4">
                  <c:v>7.2009299999999996</c:v>
                </c:pt>
                <c:pt idx="5">
                  <c:v>7.2012</c:v>
                </c:pt>
                <c:pt idx="6">
                  <c:v>7.4008500000000002</c:v>
                </c:pt>
                <c:pt idx="7">
                  <c:v>7.6009500000000001</c:v>
                </c:pt>
                <c:pt idx="8">
                  <c:v>7.70092</c:v>
                </c:pt>
                <c:pt idx="9">
                  <c:v>7.8007400000000002</c:v>
                </c:pt>
                <c:pt idx="10">
                  <c:v>7.90252</c:v>
                </c:pt>
                <c:pt idx="11">
                  <c:v>8.0007000000000001</c:v>
                </c:pt>
                <c:pt idx="12">
                  <c:v>8.0027500000000007</c:v>
                </c:pt>
                <c:pt idx="13">
                  <c:v>8.0033499999999993</c:v>
                </c:pt>
                <c:pt idx="14">
                  <c:v>8.1008999999999993</c:v>
                </c:pt>
                <c:pt idx="15">
                  <c:v>8.2007899999999996</c:v>
                </c:pt>
                <c:pt idx="16">
                  <c:v>8.3000299999999996</c:v>
                </c:pt>
                <c:pt idx="17">
                  <c:v>8.4004999999999992</c:v>
                </c:pt>
                <c:pt idx="18">
                  <c:v>8.4062400000000004</c:v>
                </c:pt>
                <c:pt idx="19">
                  <c:v>8.5017200000000006</c:v>
                </c:pt>
                <c:pt idx="20">
                  <c:v>8.6011699999999998</c:v>
                </c:pt>
                <c:pt idx="21">
                  <c:v>8.7017900000000008</c:v>
                </c:pt>
                <c:pt idx="22">
                  <c:v>8.8018000000000001</c:v>
                </c:pt>
                <c:pt idx="23">
                  <c:v>8.8026499999999999</c:v>
                </c:pt>
                <c:pt idx="24">
                  <c:v>8.9030799999999992</c:v>
                </c:pt>
              </c:numCache>
            </c:numRef>
          </c:xVal>
          <c:yVal>
            <c:numRef>
              <c:f>'Err. rel.'!$V$266:$V$290</c:f>
              <c:numCache>
                <c:formatCode>General</c:formatCode>
                <c:ptCount val="25"/>
                <c:pt idx="0">
                  <c:v>155.02000000000001</c:v>
                </c:pt>
                <c:pt idx="1">
                  <c:v>179.35599999999999</c:v>
                </c:pt>
                <c:pt idx="2">
                  <c:v>210.44399999999999</c:v>
                </c:pt>
                <c:pt idx="3">
                  <c:v>210.721</c:v>
                </c:pt>
                <c:pt idx="4">
                  <c:v>225.923</c:v>
                </c:pt>
                <c:pt idx="5">
                  <c:v>225.94399999999999</c:v>
                </c:pt>
                <c:pt idx="6">
                  <c:v>243.52500000000001</c:v>
                </c:pt>
                <c:pt idx="7">
                  <c:v>264.673</c:v>
                </c:pt>
                <c:pt idx="8">
                  <c:v>277.154</c:v>
                </c:pt>
                <c:pt idx="9">
                  <c:v>291.37099999999998</c:v>
                </c:pt>
                <c:pt idx="10">
                  <c:v>308.36399999999998</c:v>
                </c:pt>
                <c:pt idx="11">
                  <c:v>328.08499999999998</c:v>
                </c:pt>
                <c:pt idx="12">
                  <c:v>328.53199999999998</c:v>
                </c:pt>
                <c:pt idx="13">
                  <c:v>328.685</c:v>
                </c:pt>
                <c:pt idx="14">
                  <c:v>353.21100000000001</c:v>
                </c:pt>
                <c:pt idx="15">
                  <c:v>385.69400000000002</c:v>
                </c:pt>
                <c:pt idx="16">
                  <c:v>427.346</c:v>
                </c:pt>
                <c:pt idx="17">
                  <c:v>474.75599999999997</c:v>
                </c:pt>
                <c:pt idx="18">
                  <c:v>477.23899999999998</c:v>
                </c:pt>
                <c:pt idx="19">
                  <c:v>516.35400000000004</c:v>
                </c:pt>
                <c:pt idx="20">
                  <c:v>547.10400000000004</c:v>
                </c:pt>
                <c:pt idx="21">
                  <c:v>570.37400000000002</c:v>
                </c:pt>
                <c:pt idx="22">
                  <c:v>588.40700000000004</c:v>
                </c:pt>
                <c:pt idx="23">
                  <c:v>588.54999999999995</c:v>
                </c:pt>
                <c:pt idx="24">
                  <c:v>603.28899999999999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09-4AFF-9034-BC69D4D70137}"/>
            </c:ext>
          </c:extLst>
        </c:ser>
        <c:ser>
          <c:idx val="11"/>
          <c:order val="6"/>
          <c:tx>
            <c:strRef>
              <c:f>'Err. rel.'!$Y$291</c:f>
              <c:strCache>
                <c:ptCount val="1"/>
                <c:pt idx="0">
                  <c:v> T = 313 K (exp. data [6])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rel.'!$T$291:$T$310</c:f>
              <c:numCache>
                <c:formatCode>General</c:formatCode>
                <c:ptCount val="20"/>
                <c:pt idx="0">
                  <c:v>6.98123</c:v>
                </c:pt>
                <c:pt idx="1">
                  <c:v>6.9988999999999999</c:v>
                </c:pt>
                <c:pt idx="2">
                  <c:v>7.2000400000000004</c:v>
                </c:pt>
                <c:pt idx="3">
                  <c:v>7.20024</c:v>
                </c:pt>
                <c:pt idx="4">
                  <c:v>7.4008700000000003</c:v>
                </c:pt>
                <c:pt idx="5">
                  <c:v>7.59762</c:v>
                </c:pt>
                <c:pt idx="6">
                  <c:v>7.8003</c:v>
                </c:pt>
                <c:pt idx="7">
                  <c:v>7.9001599999999996</c:v>
                </c:pt>
                <c:pt idx="8">
                  <c:v>8.0030000000000001</c:v>
                </c:pt>
                <c:pt idx="9">
                  <c:v>8.1042000000000005</c:v>
                </c:pt>
                <c:pt idx="10">
                  <c:v>8.2015700000000002</c:v>
                </c:pt>
                <c:pt idx="11">
                  <c:v>8.3009299999999993</c:v>
                </c:pt>
                <c:pt idx="12">
                  <c:v>8.4026999999999994</c:v>
                </c:pt>
                <c:pt idx="13">
                  <c:v>8.5031099999999995</c:v>
                </c:pt>
                <c:pt idx="14">
                  <c:v>8.6012199999999996</c:v>
                </c:pt>
                <c:pt idx="15">
                  <c:v>8.7048799999999993</c:v>
                </c:pt>
                <c:pt idx="16">
                  <c:v>8.8010900000000003</c:v>
                </c:pt>
                <c:pt idx="17">
                  <c:v>8.8021799999999999</c:v>
                </c:pt>
                <c:pt idx="18">
                  <c:v>8.9050600000000006</c:v>
                </c:pt>
                <c:pt idx="19">
                  <c:v>9.0046300000000006</c:v>
                </c:pt>
              </c:numCache>
            </c:numRef>
          </c:xVal>
          <c:yVal>
            <c:numRef>
              <c:f>'Err. rel.'!$V$291:$V$310</c:f>
              <c:numCache>
                <c:formatCode>General</c:formatCode>
                <c:ptCount val="20"/>
                <c:pt idx="0">
                  <c:v>197.476</c:v>
                </c:pt>
                <c:pt idx="1">
                  <c:v>198.52699999999999</c:v>
                </c:pt>
                <c:pt idx="2">
                  <c:v>211.05799999999999</c:v>
                </c:pt>
                <c:pt idx="3">
                  <c:v>211.07400000000001</c:v>
                </c:pt>
                <c:pt idx="4">
                  <c:v>224.96100000000001</c:v>
                </c:pt>
                <c:pt idx="5">
                  <c:v>240.31200000000001</c:v>
                </c:pt>
                <c:pt idx="6">
                  <c:v>258.47300000000001</c:v>
                </c:pt>
                <c:pt idx="7">
                  <c:v>268.55599999999998</c:v>
                </c:pt>
                <c:pt idx="8">
                  <c:v>219.93700000000001</c:v>
                </c:pt>
                <c:pt idx="9">
                  <c:v>292.31700000000001</c:v>
                </c:pt>
                <c:pt idx="10">
                  <c:v>305.59300000000002</c:v>
                </c:pt>
                <c:pt idx="11">
                  <c:v>320.81799999999998</c:v>
                </c:pt>
                <c:pt idx="12">
                  <c:v>338.63</c:v>
                </c:pt>
                <c:pt idx="13">
                  <c:v>358.87200000000001</c:v>
                </c:pt>
                <c:pt idx="14">
                  <c:v>381.66</c:v>
                </c:pt>
                <c:pt idx="15">
                  <c:v>409.05900000000003</c:v>
                </c:pt>
                <c:pt idx="16">
                  <c:v>436.76600000000002</c:v>
                </c:pt>
                <c:pt idx="17">
                  <c:v>437.166</c:v>
                </c:pt>
                <c:pt idx="18">
                  <c:v>467.34899999999999</c:v>
                </c:pt>
                <c:pt idx="19">
                  <c:v>494.66699999999997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09-4AFF-9034-BC69D4D70137}"/>
            </c:ext>
          </c:extLst>
        </c:ser>
        <c:ser>
          <c:idx val="12"/>
          <c:order val="7"/>
          <c:tx>
            <c:strRef>
              <c:f>'Err. rel.'!$Y$311</c:f>
              <c:strCache>
                <c:ptCount val="1"/>
                <c:pt idx="0">
                  <c:v> T = 320 K (exp. data [6])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rel.'!$T$311:$T$333</c:f>
              <c:numCache>
                <c:formatCode>General</c:formatCode>
                <c:ptCount val="23"/>
                <c:pt idx="0">
                  <c:v>0.50090000000000001</c:v>
                </c:pt>
                <c:pt idx="1">
                  <c:v>0.50305999999999995</c:v>
                </c:pt>
                <c:pt idx="2">
                  <c:v>1.0013799999999999</c:v>
                </c:pt>
                <c:pt idx="3">
                  <c:v>1.5009699999999999</c:v>
                </c:pt>
                <c:pt idx="4">
                  <c:v>2.0005600000000001</c:v>
                </c:pt>
                <c:pt idx="5">
                  <c:v>2.5006599999999999</c:v>
                </c:pt>
                <c:pt idx="6">
                  <c:v>3.0009600000000001</c:v>
                </c:pt>
                <c:pt idx="7">
                  <c:v>3.4996100000000001</c:v>
                </c:pt>
                <c:pt idx="8">
                  <c:v>3.5009600000000001</c:v>
                </c:pt>
                <c:pt idx="9">
                  <c:v>4.0010700000000003</c:v>
                </c:pt>
                <c:pt idx="10">
                  <c:v>4.5001199999999999</c:v>
                </c:pt>
                <c:pt idx="11">
                  <c:v>5.0005199999999999</c:v>
                </c:pt>
                <c:pt idx="12">
                  <c:v>5.5005600000000001</c:v>
                </c:pt>
                <c:pt idx="13">
                  <c:v>6.0009600000000001</c:v>
                </c:pt>
                <c:pt idx="14">
                  <c:v>6.50054</c:v>
                </c:pt>
                <c:pt idx="15">
                  <c:v>7.0005600000000001</c:v>
                </c:pt>
                <c:pt idx="16">
                  <c:v>7.0008699999999999</c:v>
                </c:pt>
                <c:pt idx="17">
                  <c:v>7.5029899999999996</c:v>
                </c:pt>
                <c:pt idx="18">
                  <c:v>8.0013000000000005</c:v>
                </c:pt>
                <c:pt idx="19">
                  <c:v>8.0020100000000003</c:v>
                </c:pt>
                <c:pt idx="20">
                  <c:v>8.4014299999999995</c:v>
                </c:pt>
                <c:pt idx="21">
                  <c:v>8.6985299999999999</c:v>
                </c:pt>
                <c:pt idx="22">
                  <c:v>9.0018999999999991</c:v>
                </c:pt>
              </c:numCache>
            </c:numRef>
          </c:xVal>
          <c:yVal>
            <c:numRef>
              <c:f>'Err. rel.'!$V$311:$V$333</c:f>
              <c:numCache>
                <c:formatCode>General</c:formatCode>
                <c:ptCount val="23"/>
                <c:pt idx="0">
                  <c:v>8.4539000000000009</c:v>
                </c:pt>
                <c:pt idx="1">
                  <c:v>8.4909999999999997</c:v>
                </c:pt>
                <c:pt idx="2">
                  <c:v>17.259599999999999</c:v>
                </c:pt>
                <c:pt idx="3">
                  <c:v>26.446999999999999</c:v>
                </c:pt>
                <c:pt idx="4">
                  <c:v>36.074800000000003</c:v>
                </c:pt>
                <c:pt idx="5">
                  <c:v>46.210900000000002</c:v>
                </c:pt>
                <c:pt idx="6">
                  <c:v>56.915100000000002</c:v>
                </c:pt>
                <c:pt idx="7">
                  <c:v>68.222700000000003</c:v>
                </c:pt>
                <c:pt idx="8">
                  <c:v>68.254999999999995</c:v>
                </c:pt>
                <c:pt idx="9">
                  <c:v>80.337000000000003</c:v>
                </c:pt>
                <c:pt idx="10">
                  <c:v>93.258700000000005</c:v>
                </c:pt>
                <c:pt idx="11">
                  <c:v>107.238</c:v>
                </c:pt>
                <c:pt idx="12">
                  <c:v>122.435</c:v>
                </c:pt>
                <c:pt idx="13">
                  <c:v>139.15700000000001</c:v>
                </c:pt>
                <c:pt idx="14">
                  <c:v>157.74100000000001</c:v>
                </c:pt>
                <c:pt idx="15">
                  <c:v>178.78800000000001</c:v>
                </c:pt>
                <c:pt idx="16">
                  <c:v>178.8</c:v>
                </c:pt>
                <c:pt idx="17">
                  <c:v>203.232</c:v>
                </c:pt>
                <c:pt idx="18">
                  <c:v>232.03800000000001</c:v>
                </c:pt>
                <c:pt idx="19">
                  <c:v>232.1</c:v>
                </c:pt>
                <c:pt idx="20">
                  <c:v>259.88099999999997</c:v>
                </c:pt>
                <c:pt idx="21">
                  <c:v>284.322</c:v>
                </c:pt>
                <c:pt idx="22">
                  <c:v>313.69200000000001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09-4AFF-9034-BC69D4D70137}"/>
            </c:ext>
          </c:extLst>
        </c:ser>
        <c:ser>
          <c:idx val="2"/>
          <c:order val="8"/>
          <c:tx>
            <c:strRef>
              <c:f>'Err. rel.'!$Y$7</c:f>
              <c:strCache>
                <c:ptCount val="1"/>
                <c:pt idx="0">
                  <c:v> T = 220 K (model)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rel.'!$T$6:$T$28</c:f>
              <c:numCache>
                <c:formatCode>General</c:formatCode>
                <c:ptCount val="23"/>
                <c:pt idx="0">
                  <c:v>0.29731999999999997</c:v>
                </c:pt>
                <c:pt idx="1">
                  <c:v>0.30081999999999998</c:v>
                </c:pt>
                <c:pt idx="2">
                  <c:v>0.30081999999999998</c:v>
                </c:pt>
                <c:pt idx="3">
                  <c:v>0.40068999999999999</c:v>
                </c:pt>
                <c:pt idx="4">
                  <c:v>0.49489</c:v>
                </c:pt>
                <c:pt idx="5">
                  <c:v>0.50039999999999996</c:v>
                </c:pt>
                <c:pt idx="6">
                  <c:v>0.50117</c:v>
                </c:pt>
                <c:pt idx="7">
                  <c:v>0.52442999999999995</c:v>
                </c:pt>
                <c:pt idx="8">
                  <c:v>0.54998999999999998</c:v>
                </c:pt>
                <c:pt idx="9">
                  <c:v>0.55059999999999998</c:v>
                </c:pt>
                <c:pt idx="10">
                  <c:v>0.56023000000000001</c:v>
                </c:pt>
                <c:pt idx="11">
                  <c:v>0.57076000000000005</c:v>
                </c:pt>
                <c:pt idx="12">
                  <c:v>0.58069000000000004</c:v>
                </c:pt>
                <c:pt idx="13">
                  <c:v>1.00854</c:v>
                </c:pt>
                <c:pt idx="14">
                  <c:v>2.0145400000000002</c:v>
                </c:pt>
                <c:pt idx="15">
                  <c:v>2.9993500000000002</c:v>
                </c:pt>
                <c:pt idx="16">
                  <c:v>4.0028899999999998</c:v>
                </c:pt>
                <c:pt idx="17">
                  <c:v>5.0030999999999999</c:v>
                </c:pt>
                <c:pt idx="18">
                  <c:v>5.9994199999999998</c:v>
                </c:pt>
                <c:pt idx="19">
                  <c:v>6.0013699999999996</c:v>
                </c:pt>
                <c:pt idx="20">
                  <c:v>7.0210800000000004</c:v>
                </c:pt>
                <c:pt idx="21">
                  <c:v>8.0075400000000005</c:v>
                </c:pt>
                <c:pt idx="22">
                  <c:v>9.0009899999999998</c:v>
                </c:pt>
              </c:numCache>
            </c:numRef>
          </c:xVal>
          <c:yVal>
            <c:numRef>
              <c:f>'Err. rel.'!$W$6:$W$28</c:f>
              <c:numCache>
                <c:formatCode>General</c:formatCode>
                <c:ptCount val="23"/>
                <c:pt idx="0">
                  <c:v>7.4662800000000002</c:v>
                </c:pt>
                <c:pt idx="1">
                  <c:v>7.5582399999999996</c:v>
                </c:pt>
                <c:pt idx="2">
                  <c:v>7.5582399999999996</c:v>
                </c:pt>
                <c:pt idx="3">
                  <c:v>10.2272</c:v>
                </c:pt>
                <c:pt idx="4">
                  <c:v>12.83</c:v>
                </c:pt>
                <c:pt idx="5">
                  <c:v>12.984999999999999</c:v>
                </c:pt>
                <c:pt idx="6">
                  <c:v>13.006600000000001</c:v>
                </c:pt>
                <c:pt idx="7">
                  <c:v>13.6646</c:v>
                </c:pt>
                <c:pt idx="8">
                  <c:v>14.394299999999999</c:v>
                </c:pt>
                <c:pt idx="9">
                  <c:v>14.411799999999999</c:v>
                </c:pt>
                <c:pt idx="10">
                  <c:v>14.688599999999999</c:v>
                </c:pt>
                <c:pt idx="11">
                  <c:v>14.9925</c:v>
                </c:pt>
                <c:pt idx="12">
                  <c:v>15.280200000000001</c:v>
                </c:pt>
                <c:pt idx="13">
                  <c:v>1167.05</c:v>
                </c:pt>
                <c:pt idx="14">
                  <c:v>1169.27</c:v>
                </c:pt>
                <c:pt idx="15">
                  <c:v>1171.4000000000001</c:v>
                </c:pt>
                <c:pt idx="16">
                  <c:v>1173.53</c:v>
                </c:pt>
                <c:pt idx="17">
                  <c:v>1175.6300000000001</c:v>
                </c:pt>
                <c:pt idx="18">
                  <c:v>1177.69</c:v>
                </c:pt>
                <c:pt idx="19">
                  <c:v>1177.69</c:v>
                </c:pt>
                <c:pt idx="20">
                  <c:v>1179.76</c:v>
                </c:pt>
                <c:pt idx="21">
                  <c:v>1181.73</c:v>
                </c:pt>
                <c:pt idx="22">
                  <c:v>1183.69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E09-4AFF-9034-BC69D4D70137}"/>
            </c:ext>
          </c:extLst>
        </c:ser>
        <c:ser>
          <c:idx val="7"/>
          <c:order val="9"/>
          <c:tx>
            <c:strRef>
              <c:f>'Err. rel.'!$Y$76</c:f>
              <c:strCache>
                <c:ptCount val="1"/>
                <c:pt idx="0">
                  <c:v> T = 280 K (model)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99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rel.'!$T$75:$T$103</c:f>
              <c:numCache>
                <c:formatCode>General</c:formatCode>
                <c:ptCount val="29"/>
                <c:pt idx="0">
                  <c:v>0.49940000000000001</c:v>
                </c:pt>
                <c:pt idx="1">
                  <c:v>0.49994</c:v>
                </c:pt>
                <c:pt idx="2">
                  <c:v>0.50056999999999996</c:v>
                </c:pt>
                <c:pt idx="3">
                  <c:v>1.0041500000000001</c:v>
                </c:pt>
                <c:pt idx="4">
                  <c:v>1.50162</c:v>
                </c:pt>
                <c:pt idx="5">
                  <c:v>2.0009700000000001</c:v>
                </c:pt>
                <c:pt idx="6">
                  <c:v>2.50027</c:v>
                </c:pt>
                <c:pt idx="7">
                  <c:v>2.5007999999999999</c:v>
                </c:pt>
                <c:pt idx="8">
                  <c:v>3.0004</c:v>
                </c:pt>
                <c:pt idx="9">
                  <c:v>3.5006599999999999</c:v>
                </c:pt>
                <c:pt idx="10">
                  <c:v>3.9981300000000002</c:v>
                </c:pt>
                <c:pt idx="11">
                  <c:v>3.9993099999999999</c:v>
                </c:pt>
                <c:pt idx="12">
                  <c:v>3.9999799999999999</c:v>
                </c:pt>
                <c:pt idx="13">
                  <c:v>4.0018399999999996</c:v>
                </c:pt>
                <c:pt idx="14">
                  <c:v>4.1201100000000004</c:v>
                </c:pt>
                <c:pt idx="15">
                  <c:v>4.1531200000000004</c:v>
                </c:pt>
                <c:pt idx="16">
                  <c:v>4.1759300000000001</c:v>
                </c:pt>
                <c:pt idx="17">
                  <c:v>4.1977799999999998</c:v>
                </c:pt>
                <c:pt idx="18">
                  <c:v>4.2676499999999997</c:v>
                </c:pt>
                <c:pt idx="19">
                  <c:v>4.50556</c:v>
                </c:pt>
                <c:pt idx="20">
                  <c:v>4.9974499999999997</c:v>
                </c:pt>
                <c:pt idx="21">
                  <c:v>4.9994100000000001</c:v>
                </c:pt>
                <c:pt idx="22">
                  <c:v>6.00474</c:v>
                </c:pt>
                <c:pt idx="23">
                  <c:v>6.9988200000000003</c:v>
                </c:pt>
                <c:pt idx="24">
                  <c:v>7.0045700000000002</c:v>
                </c:pt>
                <c:pt idx="25">
                  <c:v>8.0018799999999999</c:v>
                </c:pt>
                <c:pt idx="26">
                  <c:v>8.0040800000000001</c:v>
                </c:pt>
                <c:pt idx="27">
                  <c:v>9.0048899999999996</c:v>
                </c:pt>
                <c:pt idx="28">
                  <c:v>9.0044400000000007</c:v>
                </c:pt>
              </c:numCache>
            </c:numRef>
          </c:xVal>
          <c:yVal>
            <c:numRef>
              <c:f>'Err. rel.'!$W$75:$W$103</c:f>
              <c:numCache>
                <c:formatCode>General</c:formatCode>
                <c:ptCount val="29"/>
                <c:pt idx="0">
                  <c:v>9.7447400000000002</c:v>
                </c:pt>
                <c:pt idx="1">
                  <c:v>9.75563</c:v>
                </c:pt>
                <c:pt idx="2">
                  <c:v>9.7683300000000006</c:v>
                </c:pt>
                <c:pt idx="3">
                  <c:v>20.289200000000001</c:v>
                </c:pt>
                <c:pt idx="4">
                  <c:v>31.509</c:v>
                </c:pt>
                <c:pt idx="5">
                  <c:v>43.796999999999997</c:v>
                </c:pt>
                <c:pt idx="6">
                  <c:v>57.403700000000001</c:v>
                </c:pt>
                <c:pt idx="7">
                  <c:v>57.418999999999997</c:v>
                </c:pt>
                <c:pt idx="8">
                  <c:v>72.818299999999994</c:v>
                </c:pt>
                <c:pt idx="9">
                  <c:v>90.832400000000007</c:v>
                </c:pt>
                <c:pt idx="10">
                  <c:v>112.983</c:v>
                </c:pt>
                <c:pt idx="11">
                  <c:v>113.04300000000001</c:v>
                </c:pt>
                <c:pt idx="12">
                  <c:v>113.077</c:v>
                </c:pt>
                <c:pt idx="13">
                  <c:v>113.172</c:v>
                </c:pt>
                <c:pt idx="14">
                  <c:v>119.456</c:v>
                </c:pt>
                <c:pt idx="15">
                  <c:v>121.307</c:v>
                </c:pt>
                <c:pt idx="16">
                  <c:v>883.80799999999999</c:v>
                </c:pt>
                <c:pt idx="17">
                  <c:v>884.09400000000005</c:v>
                </c:pt>
                <c:pt idx="18">
                  <c:v>885.00199999999995</c:v>
                </c:pt>
                <c:pt idx="19">
                  <c:v>888.01400000000001</c:v>
                </c:pt>
                <c:pt idx="20">
                  <c:v>893.89099999999996</c:v>
                </c:pt>
                <c:pt idx="21">
                  <c:v>893.91300000000001</c:v>
                </c:pt>
                <c:pt idx="22">
                  <c:v>904.73699999999997</c:v>
                </c:pt>
                <c:pt idx="23">
                  <c:v>914.24900000000002</c:v>
                </c:pt>
                <c:pt idx="24">
                  <c:v>914.30100000000004</c:v>
                </c:pt>
                <c:pt idx="25">
                  <c:v>922.93799999999999</c:v>
                </c:pt>
                <c:pt idx="26">
                  <c:v>922.95600000000002</c:v>
                </c:pt>
                <c:pt idx="27">
                  <c:v>930.90499999999997</c:v>
                </c:pt>
                <c:pt idx="28">
                  <c:v>930.90099999999995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E09-4AFF-9034-BC69D4D70137}"/>
            </c:ext>
          </c:extLst>
        </c:ser>
        <c:ser>
          <c:idx val="1"/>
          <c:order val="10"/>
          <c:tx>
            <c:strRef>
              <c:f>'Err. rel.'!$Y$115</c:f>
              <c:strCache>
                <c:ptCount val="1"/>
                <c:pt idx="0">
                  <c:v> T = 297 K (model)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rel.'!$T$114:$T$128</c:f>
              <c:numCache>
                <c:formatCode>General</c:formatCode>
                <c:ptCount val="15"/>
                <c:pt idx="0">
                  <c:v>5.0016499999999997</c:v>
                </c:pt>
                <c:pt idx="1">
                  <c:v>5.5005800000000002</c:v>
                </c:pt>
                <c:pt idx="2">
                  <c:v>5.8011900000000001</c:v>
                </c:pt>
                <c:pt idx="3">
                  <c:v>6.0025300000000001</c:v>
                </c:pt>
                <c:pt idx="4">
                  <c:v>6.1017799999999998</c:v>
                </c:pt>
                <c:pt idx="5">
                  <c:v>6.19719</c:v>
                </c:pt>
                <c:pt idx="6">
                  <c:v>6.2017199999999999</c:v>
                </c:pt>
                <c:pt idx="7">
                  <c:v>6.2587000000000002</c:v>
                </c:pt>
                <c:pt idx="8">
                  <c:v>6.30105</c:v>
                </c:pt>
                <c:pt idx="9">
                  <c:v>6.5003900000000003</c:v>
                </c:pt>
                <c:pt idx="10">
                  <c:v>7.0000299999999998</c:v>
                </c:pt>
                <c:pt idx="11">
                  <c:v>7.0238100000000001</c:v>
                </c:pt>
                <c:pt idx="12">
                  <c:v>7.5056500000000002</c:v>
                </c:pt>
                <c:pt idx="13">
                  <c:v>8.0033700000000003</c:v>
                </c:pt>
                <c:pt idx="14">
                  <c:v>9.0080799999999996</c:v>
                </c:pt>
              </c:numCache>
            </c:numRef>
          </c:xVal>
          <c:yVal>
            <c:numRef>
              <c:f>'Err. rel.'!$W$114:$W$128</c:f>
              <c:numCache>
                <c:formatCode>General</c:formatCode>
                <c:ptCount val="15"/>
                <c:pt idx="0">
                  <c:v>133.261</c:v>
                </c:pt>
                <c:pt idx="1">
                  <c:v>159.553</c:v>
                </c:pt>
                <c:pt idx="2">
                  <c:v>179.90899999999999</c:v>
                </c:pt>
                <c:pt idx="3">
                  <c:v>197.1</c:v>
                </c:pt>
                <c:pt idx="4">
                  <c:v>207.37899999999999</c:v>
                </c:pt>
                <c:pt idx="5">
                  <c:v>219.12700000000001</c:v>
                </c:pt>
                <c:pt idx="6">
                  <c:v>219.74799999999999</c:v>
                </c:pt>
                <c:pt idx="7">
                  <c:v>228.233</c:v>
                </c:pt>
                <c:pt idx="8">
                  <c:v>729.95699999999999</c:v>
                </c:pt>
                <c:pt idx="9">
                  <c:v>741.5</c:v>
                </c:pt>
                <c:pt idx="10">
                  <c:v>762.61199999999997</c:v>
                </c:pt>
                <c:pt idx="11">
                  <c:v>763.44799999999998</c:v>
                </c:pt>
                <c:pt idx="12">
                  <c:v>778.39499999999998</c:v>
                </c:pt>
                <c:pt idx="13">
                  <c:v>791.024</c:v>
                </c:pt>
                <c:pt idx="14">
                  <c:v>811.48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E09-4AFF-9034-BC69D4D70137}"/>
            </c:ext>
          </c:extLst>
        </c:ser>
        <c:ser>
          <c:idx val="5"/>
          <c:order val="11"/>
          <c:tx>
            <c:strRef>
              <c:f>'Err. rel.'!$Y$172</c:f>
              <c:strCache>
                <c:ptCount val="1"/>
                <c:pt idx="0">
                  <c:v> T = 303 K (model)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rel.'!$T$171:$T$207</c:f>
              <c:numCache>
                <c:formatCode>General</c:formatCode>
                <c:ptCount val="37"/>
                <c:pt idx="0">
                  <c:v>4.9984900000000003</c:v>
                </c:pt>
                <c:pt idx="1">
                  <c:v>5.4996499999999999</c:v>
                </c:pt>
                <c:pt idx="2">
                  <c:v>6.0003799999999998</c:v>
                </c:pt>
                <c:pt idx="3">
                  <c:v>6.5007900000000003</c:v>
                </c:pt>
                <c:pt idx="4">
                  <c:v>6.6989099999999997</c:v>
                </c:pt>
                <c:pt idx="5">
                  <c:v>6.9020799999999998</c:v>
                </c:pt>
                <c:pt idx="6">
                  <c:v>7.0013699999999996</c:v>
                </c:pt>
                <c:pt idx="7">
                  <c:v>7.0517200000000004</c:v>
                </c:pt>
                <c:pt idx="8">
                  <c:v>7.09884</c:v>
                </c:pt>
                <c:pt idx="9">
                  <c:v>7.1426999999999996</c:v>
                </c:pt>
                <c:pt idx="10">
                  <c:v>7.1519399999999997</c:v>
                </c:pt>
                <c:pt idx="11">
                  <c:v>7.1685299999999996</c:v>
                </c:pt>
                <c:pt idx="12">
                  <c:v>7.1717599999999999</c:v>
                </c:pt>
                <c:pt idx="13">
                  <c:v>7.1790500000000002</c:v>
                </c:pt>
                <c:pt idx="14">
                  <c:v>7.18248</c:v>
                </c:pt>
                <c:pt idx="15">
                  <c:v>7.1886000000000001</c:v>
                </c:pt>
                <c:pt idx="16">
                  <c:v>7.1889500000000002</c:v>
                </c:pt>
                <c:pt idx="17">
                  <c:v>7.1907300000000003</c:v>
                </c:pt>
                <c:pt idx="18">
                  <c:v>7.20465</c:v>
                </c:pt>
                <c:pt idx="19">
                  <c:v>7.2130299999999998</c:v>
                </c:pt>
                <c:pt idx="20">
                  <c:v>7.2541500000000001</c:v>
                </c:pt>
                <c:pt idx="21">
                  <c:v>7.30091</c:v>
                </c:pt>
                <c:pt idx="22">
                  <c:v>7.3055300000000001</c:v>
                </c:pt>
                <c:pt idx="23">
                  <c:v>7.3101000000000003</c:v>
                </c:pt>
                <c:pt idx="24">
                  <c:v>7.3979299999999997</c:v>
                </c:pt>
                <c:pt idx="25">
                  <c:v>7.5026700000000002</c:v>
                </c:pt>
                <c:pt idx="26">
                  <c:v>7.6061800000000002</c:v>
                </c:pt>
                <c:pt idx="27">
                  <c:v>7.7992699999999999</c:v>
                </c:pt>
                <c:pt idx="28">
                  <c:v>8.0009899999999998</c:v>
                </c:pt>
                <c:pt idx="29">
                  <c:v>8.0007900000000003</c:v>
                </c:pt>
                <c:pt idx="30">
                  <c:v>8.2040799999999994</c:v>
                </c:pt>
                <c:pt idx="31">
                  <c:v>8.4004399999999997</c:v>
                </c:pt>
                <c:pt idx="32">
                  <c:v>8.4039000000000001</c:v>
                </c:pt>
                <c:pt idx="33">
                  <c:v>8.6020299999999992</c:v>
                </c:pt>
                <c:pt idx="34">
                  <c:v>8.7981499999999997</c:v>
                </c:pt>
                <c:pt idx="35">
                  <c:v>8.8032199999999996</c:v>
                </c:pt>
                <c:pt idx="36">
                  <c:v>9.0027899999999992</c:v>
                </c:pt>
              </c:numCache>
            </c:numRef>
          </c:xVal>
          <c:yVal>
            <c:numRef>
              <c:f>'Err. rel.'!$W$171:$W$207</c:f>
              <c:numCache>
                <c:formatCode>General</c:formatCode>
                <c:ptCount val="37"/>
                <c:pt idx="0">
                  <c:v>124.142</c:v>
                </c:pt>
                <c:pt idx="1">
                  <c:v>145.56200000000001</c:v>
                </c:pt>
                <c:pt idx="2">
                  <c:v>171.84</c:v>
                </c:pt>
                <c:pt idx="3">
                  <c:v>207.19200000000001</c:v>
                </c:pt>
                <c:pt idx="4">
                  <c:v>226.20500000000001</c:v>
                </c:pt>
                <c:pt idx="5">
                  <c:v>252.24700000000001</c:v>
                </c:pt>
                <c:pt idx="6">
                  <c:v>269.88600000000002</c:v>
                </c:pt>
                <c:pt idx="7">
                  <c:v>281.327</c:v>
                </c:pt>
                <c:pt idx="8">
                  <c:v>294.81299999999999</c:v>
                </c:pt>
                <c:pt idx="9">
                  <c:v>312.00900000000001</c:v>
                </c:pt>
                <c:pt idx="10">
                  <c:v>316.68200000000002</c:v>
                </c:pt>
                <c:pt idx="11">
                  <c:v>326.75700000000001</c:v>
                </c:pt>
                <c:pt idx="12">
                  <c:v>329.07799999999997</c:v>
                </c:pt>
                <c:pt idx="13">
                  <c:v>334.96300000000002</c:v>
                </c:pt>
                <c:pt idx="14">
                  <c:v>338.14</c:v>
                </c:pt>
                <c:pt idx="15">
                  <c:v>344.78199999999998</c:v>
                </c:pt>
                <c:pt idx="16">
                  <c:v>345.21199999999999</c:v>
                </c:pt>
                <c:pt idx="17">
                  <c:v>580.75599999999997</c:v>
                </c:pt>
                <c:pt idx="18">
                  <c:v>589.47</c:v>
                </c:pt>
                <c:pt idx="19">
                  <c:v>593.76199999999994</c:v>
                </c:pt>
                <c:pt idx="20">
                  <c:v>609.84799999999996</c:v>
                </c:pt>
                <c:pt idx="21">
                  <c:v>623.19899999999996</c:v>
                </c:pt>
                <c:pt idx="22">
                  <c:v>624.35199999999998</c:v>
                </c:pt>
                <c:pt idx="23">
                  <c:v>625.46900000000005</c:v>
                </c:pt>
                <c:pt idx="24">
                  <c:v>643.58399999999995</c:v>
                </c:pt>
                <c:pt idx="25">
                  <c:v>659.79600000000005</c:v>
                </c:pt>
                <c:pt idx="26">
                  <c:v>672.37699999999995</c:v>
                </c:pt>
                <c:pt idx="27">
                  <c:v>690.37</c:v>
                </c:pt>
                <c:pt idx="28">
                  <c:v>704.61500000000001</c:v>
                </c:pt>
                <c:pt idx="29">
                  <c:v>704.60199999999998</c:v>
                </c:pt>
                <c:pt idx="30">
                  <c:v>716.15899999999999</c:v>
                </c:pt>
                <c:pt idx="31">
                  <c:v>725.57500000000005</c:v>
                </c:pt>
                <c:pt idx="32">
                  <c:v>725.72900000000004</c:v>
                </c:pt>
                <c:pt idx="33">
                  <c:v>733.98699999999997</c:v>
                </c:pt>
                <c:pt idx="34">
                  <c:v>741.26199999999994</c:v>
                </c:pt>
                <c:pt idx="35">
                  <c:v>741.44100000000003</c:v>
                </c:pt>
                <c:pt idx="36">
                  <c:v>748.11699999999996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E09-4AFF-9034-BC69D4D70137}"/>
            </c:ext>
          </c:extLst>
        </c:ser>
        <c:ser>
          <c:idx val="9"/>
          <c:order val="12"/>
          <c:tx>
            <c:strRef>
              <c:f>'Err. rel.'!$Y$222</c:f>
              <c:strCache>
                <c:ptCount val="1"/>
                <c:pt idx="0">
                  <c:v> T = 305 K (model)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rel.'!$T$221:$T$242</c:f>
              <c:numCache>
                <c:formatCode>General</c:formatCode>
                <c:ptCount val="22"/>
                <c:pt idx="0">
                  <c:v>6.4944699999999997</c:v>
                </c:pt>
                <c:pt idx="1">
                  <c:v>6.8025599999999997</c:v>
                </c:pt>
                <c:pt idx="2">
                  <c:v>6.99838</c:v>
                </c:pt>
                <c:pt idx="3">
                  <c:v>7.1959600000000004</c:v>
                </c:pt>
                <c:pt idx="4">
                  <c:v>7.33643</c:v>
                </c:pt>
                <c:pt idx="5">
                  <c:v>7.4418699999999998</c:v>
                </c:pt>
                <c:pt idx="6">
                  <c:v>7.4917499999999997</c:v>
                </c:pt>
                <c:pt idx="7">
                  <c:v>7.5137900000000002</c:v>
                </c:pt>
                <c:pt idx="8">
                  <c:v>7.5218299999999996</c:v>
                </c:pt>
                <c:pt idx="9">
                  <c:v>7.5224000000000002</c:v>
                </c:pt>
                <c:pt idx="10">
                  <c:v>7.53233</c:v>
                </c:pt>
                <c:pt idx="11">
                  <c:v>7.5505100000000001</c:v>
                </c:pt>
                <c:pt idx="12">
                  <c:v>7.6048900000000001</c:v>
                </c:pt>
                <c:pt idx="13">
                  <c:v>7.7997199999999998</c:v>
                </c:pt>
                <c:pt idx="14">
                  <c:v>7.9000300000000001</c:v>
                </c:pt>
                <c:pt idx="15">
                  <c:v>8.0020799999999994</c:v>
                </c:pt>
                <c:pt idx="16">
                  <c:v>8.1999300000000002</c:v>
                </c:pt>
                <c:pt idx="17">
                  <c:v>8.40123</c:v>
                </c:pt>
                <c:pt idx="18">
                  <c:v>8.6050500000000003</c:v>
                </c:pt>
                <c:pt idx="19">
                  <c:v>8.8064599999999995</c:v>
                </c:pt>
                <c:pt idx="20">
                  <c:v>8.8078500000000002</c:v>
                </c:pt>
                <c:pt idx="21">
                  <c:v>9.0031499999999998</c:v>
                </c:pt>
              </c:numCache>
            </c:numRef>
          </c:xVal>
          <c:yVal>
            <c:numRef>
              <c:f>'Err. rel.'!$W$221:$W$242</c:f>
              <c:numCache>
                <c:formatCode>General</c:formatCode>
                <c:ptCount val="22"/>
                <c:pt idx="0">
                  <c:v>196.80199999999999</c:v>
                </c:pt>
                <c:pt idx="1">
                  <c:v>222.001</c:v>
                </c:pt>
                <c:pt idx="2">
                  <c:v>242.73</c:v>
                </c:pt>
                <c:pt idx="3">
                  <c:v>271.178</c:v>
                </c:pt>
                <c:pt idx="4">
                  <c:v>302.02699999999999</c:v>
                </c:pt>
                <c:pt idx="5">
                  <c:v>343.03300000000002</c:v>
                </c:pt>
                <c:pt idx="6">
                  <c:v>382.721</c:v>
                </c:pt>
                <c:pt idx="7">
                  <c:v>420.91399999999999</c:v>
                </c:pt>
                <c:pt idx="8">
                  <c:v>448.10500000000002</c:v>
                </c:pt>
                <c:pt idx="9">
                  <c:v>450.50299999999999</c:v>
                </c:pt>
                <c:pt idx="10">
                  <c:v>493.12200000000001</c:v>
                </c:pt>
                <c:pt idx="11">
                  <c:v>530.65</c:v>
                </c:pt>
                <c:pt idx="12">
                  <c:v>568.79300000000001</c:v>
                </c:pt>
                <c:pt idx="13">
                  <c:v>621.22900000000004</c:v>
                </c:pt>
                <c:pt idx="14">
                  <c:v>637.6</c:v>
                </c:pt>
                <c:pt idx="15">
                  <c:v>651.12900000000002</c:v>
                </c:pt>
                <c:pt idx="16">
                  <c:v>671.61199999999997</c:v>
                </c:pt>
                <c:pt idx="17">
                  <c:v>687.49199999999996</c:v>
                </c:pt>
                <c:pt idx="18">
                  <c:v>700.39200000000005</c:v>
                </c:pt>
                <c:pt idx="19">
                  <c:v>711.04700000000003</c:v>
                </c:pt>
                <c:pt idx="20">
                  <c:v>711.11500000000001</c:v>
                </c:pt>
                <c:pt idx="21">
                  <c:v>720.03399999999999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E09-4AFF-9034-BC69D4D70137}"/>
            </c:ext>
          </c:extLst>
        </c:ser>
        <c:ser>
          <c:idx val="13"/>
          <c:order val="13"/>
          <c:tx>
            <c:strRef>
              <c:f>'Err. rel.'!$Y$267</c:f>
              <c:strCache>
                <c:ptCount val="1"/>
                <c:pt idx="0">
                  <c:v> T = 310 K (model)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BB11A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rel.'!$T$266:$T$290</c:f>
              <c:numCache>
                <c:formatCode>General</c:formatCode>
                <c:ptCount val="25"/>
                <c:pt idx="0">
                  <c:v>6.0005100000000002</c:v>
                </c:pt>
                <c:pt idx="1">
                  <c:v>6.4935099999999997</c:v>
                </c:pt>
                <c:pt idx="2">
                  <c:v>6.9966400000000002</c:v>
                </c:pt>
                <c:pt idx="3">
                  <c:v>7.00047</c:v>
                </c:pt>
                <c:pt idx="4">
                  <c:v>7.2009299999999996</c:v>
                </c:pt>
                <c:pt idx="5">
                  <c:v>7.2012</c:v>
                </c:pt>
                <c:pt idx="6">
                  <c:v>7.4008500000000002</c:v>
                </c:pt>
                <c:pt idx="7">
                  <c:v>7.6009500000000001</c:v>
                </c:pt>
                <c:pt idx="8">
                  <c:v>7.70092</c:v>
                </c:pt>
                <c:pt idx="9">
                  <c:v>7.8007400000000002</c:v>
                </c:pt>
                <c:pt idx="10">
                  <c:v>7.90252</c:v>
                </c:pt>
                <c:pt idx="11">
                  <c:v>8.0007000000000001</c:v>
                </c:pt>
                <c:pt idx="12">
                  <c:v>8.0027500000000007</c:v>
                </c:pt>
                <c:pt idx="13">
                  <c:v>8.0033499999999993</c:v>
                </c:pt>
                <c:pt idx="14">
                  <c:v>8.1008999999999993</c:v>
                </c:pt>
                <c:pt idx="15">
                  <c:v>8.2007899999999996</c:v>
                </c:pt>
                <c:pt idx="16">
                  <c:v>8.3000299999999996</c:v>
                </c:pt>
                <c:pt idx="17">
                  <c:v>8.4004999999999992</c:v>
                </c:pt>
                <c:pt idx="18">
                  <c:v>8.4062400000000004</c:v>
                </c:pt>
                <c:pt idx="19">
                  <c:v>8.5017200000000006</c:v>
                </c:pt>
                <c:pt idx="20">
                  <c:v>8.6011699999999998</c:v>
                </c:pt>
                <c:pt idx="21">
                  <c:v>8.7017900000000008</c:v>
                </c:pt>
                <c:pt idx="22">
                  <c:v>8.8018000000000001</c:v>
                </c:pt>
                <c:pt idx="23">
                  <c:v>8.8026499999999999</c:v>
                </c:pt>
                <c:pt idx="24">
                  <c:v>8.9030799999999992</c:v>
                </c:pt>
              </c:numCache>
            </c:numRef>
          </c:xVal>
          <c:yVal>
            <c:numRef>
              <c:f>'Err. rel.'!$W$266:$W$290</c:f>
              <c:numCache>
                <c:formatCode>General</c:formatCode>
                <c:ptCount val="25"/>
                <c:pt idx="0">
                  <c:v>154.96700000000001</c:v>
                </c:pt>
                <c:pt idx="1">
                  <c:v>179.238</c:v>
                </c:pt>
                <c:pt idx="2">
                  <c:v>210.202</c:v>
                </c:pt>
                <c:pt idx="3">
                  <c:v>210.47200000000001</c:v>
                </c:pt>
                <c:pt idx="4">
                  <c:v>225.60900000000001</c:v>
                </c:pt>
                <c:pt idx="5">
                  <c:v>225.631</c:v>
                </c:pt>
                <c:pt idx="6">
                  <c:v>243.15199999999999</c:v>
                </c:pt>
                <c:pt idx="7">
                  <c:v>264.291</c:v>
                </c:pt>
                <c:pt idx="8">
                  <c:v>276.791</c:v>
                </c:pt>
                <c:pt idx="9">
                  <c:v>291.08</c:v>
                </c:pt>
                <c:pt idx="10">
                  <c:v>308.13900000000001</c:v>
                </c:pt>
                <c:pt idx="11">
                  <c:v>327.84100000000001</c:v>
                </c:pt>
                <c:pt idx="12">
                  <c:v>328.29399999999998</c:v>
                </c:pt>
                <c:pt idx="13">
                  <c:v>328.42700000000002</c:v>
                </c:pt>
                <c:pt idx="14">
                  <c:v>352.46699999999998</c:v>
                </c:pt>
                <c:pt idx="15">
                  <c:v>383.28899999999999</c:v>
                </c:pt>
                <c:pt idx="16">
                  <c:v>422.57100000000003</c:v>
                </c:pt>
                <c:pt idx="17">
                  <c:v>471.83199999999999</c:v>
                </c:pt>
                <c:pt idx="18">
                  <c:v>474.71899999999999</c:v>
                </c:pt>
                <c:pt idx="19">
                  <c:v>516.05799999999999</c:v>
                </c:pt>
                <c:pt idx="20">
                  <c:v>545.96299999999997</c:v>
                </c:pt>
                <c:pt idx="21">
                  <c:v>567.98599999999999</c:v>
                </c:pt>
                <c:pt idx="22">
                  <c:v>585.24900000000002</c:v>
                </c:pt>
                <c:pt idx="23">
                  <c:v>585.38199999999995</c:v>
                </c:pt>
                <c:pt idx="24">
                  <c:v>599.80499999999995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E09-4AFF-9034-BC69D4D70137}"/>
            </c:ext>
          </c:extLst>
        </c:ser>
        <c:ser>
          <c:idx val="14"/>
          <c:order val="14"/>
          <c:tx>
            <c:strRef>
              <c:f>'Err. rel.'!$Y$292</c:f>
              <c:strCache>
                <c:ptCount val="1"/>
                <c:pt idx="0">
                  <c:v> T = 313 K (model)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rel.'!$T$291:$T$310</c:f>
              <c:numCache>
                <c:formatCode>General</c:formatCode>
                <c:ptCount val="20"/>
                <c:pt idx="0">
                  <c:v>6.98123</c:v>
                </c:pt>
                <c:pt idx="1">
                  <c:v>6.9988999999999999</c:v>
                </c:pt>
                <c:pt idx="2">
                  <c:v>7.2000400000000004</c:v>
                </c:pt>
                <c:pt idx="3">
                  <c:v>7.20024</c:v>
                </c:pt>
                <c:pt idx="4">
                  <c:v>7.4008700000000003</c:v>
                </c:pt>
                <c:pt idx="5">
                  <c:v>7.59762</c:v>
                </c:pt>
                <c:pt idx="6">
                  <c:v>7.8003</c:v>
                </c:pt>
                <c:pt idx="7">
                  <c:v>7.9001599999999996</c:v>
                </c:pt>
                <c:pt idx="8">
                  <c:v>8.0030000000000001</c:v>
                </c:pt>
                <c:pt idx="9">
                  <c:v>8.1042000000000005</c:v>
                </c:pt>
                <c:pt idx="10">
                  <c:v>8.2015700000000002</c:v>
                </c:pt>
                <c:pt idx="11">
                  <c:v>8.3009299999999993</c:v>
                </c:pt>
                <c:pt idx="12">
                  <c:v>8.4026999999999994</c:v>
                </c:pt>
                <c:pt idx="13">
                  <c:v>8.5031099999999995</c:v>
                </c:pt>
                <c:pt idx="14">
                  <c:v>8.6012199999999996</c:v>
                </c:pt>
                <c:pt idx="15">
                  <c:v>8.7048799999999993</c:v>
                </c:pt>
                <c:pt idx="16">
                  <c:v>8.8010900000000003</c:v>
                </c:pt>
                <c:pt idx="17">
                  <c:v>8.8021799999999999</c:v>
                </c:pt>
                <c:pt idx="18">
                  <c:v>8.9050600000000006</c:v>
                </c:pt>
                <c:pt idx="19">
                  <c:v>9.0046300000000006</c:v>
                </c:pt>
              </c:numCache>
            </c:numRef>
          </c:xVal>
          <c:yVal>
            <c:numRef>
              <c:f>'Err. rel.'!$W$291:$W$310</c:f>
              <c:numCache>
                <c:formatCode>General</c:formatCode>
                <c:ptCount val="20"/>
                <c:pt idx="0">
                  <c:v>197.30699999999999</c:v>
                </c:pt>
                <c:pt idx="1">
                  <c:v>198.34700000000001</c:v>
                </c:pt>
                <c:pt idx="2">
                  <c:v>210.82599999999999</c:v>
                </c:pt>
                <c:pt idx="3">
                  <c:v>210.839</c:v>
                </c:pt>
                <c:pt idx="4">
                  <c:v>224.66399999999999</c:v>
                </c:pt>
                <c:pt idx="5">
                  <c:v>239.93700000000001</c:v>
                </c:pt>
                <c:pt idx="6">
                  <c:v>258.02600000000001</c:v>
                </c:pt>
                <c:pt idx="7">
                  <c:v>268.07900000000001</c:v>
                </c:pt>
                <c:pt idx="8">
                  <c:v>279.42099999999999</c:v>
                </c:pt>
                <c:pt idx="9">
                  <c:v>291.75900000000001</c:v>
                </c:pt>
                <c:pt idx="10">
                  <c:v>304.95600000000002</c:v>
                </c:pt>
                <c:pt idx="11">
                  <c:v>320.02999999999997</c:v>
                </c:pt>
                <c:pt idx="12">
                  <c:v>337.46300000000002</c:v>
                </c:pt>
                <c:pt idx="13">
                  <c:v>356.96699999999998</c:v>
                </c:pt>
                <c:pt idx="14">
                  <c:v>378.55500000000001</c:v>
                </c:pt>
                <c:pt idx="15">
                  <c:v>404.44600000000003</c:v>
                </c:pt>
                <c:pt idx="16">
                  <c:v>431.55900000000003</c:v>
                </c:pt>
                <c:pt idx="17">
                  <c:v>431.88299999999998</c:v>
                </c:pt>
                <c:pt idx="18">
                  <c:v>463.72500000000002</c:v>
                </c:pt>
                <c:pt idx="19">
                  <c:v>494.04199999999997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E09-4AFF-9034-BC69D4D70137}"/>
            </c:ext>
          </c:extLst>
        </c:ser>
        <c:ser>
          <c:idx val="15"/>
          <c:order val="15"/>
          <c:tx>
            <c:strRef>
              <c:f>'Err. rel.'!$Y$312</c:f>
              <c:strCache>
                <c:ptCount val="1"/>
                <c:pt idx="0">
                  <c:v> T = 320 K (model)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rel.'!$T$311:$T$333</c:f>
              <c:numCache>
                <c:formatCode>General</c:formatCode>
                <c:ptCount val="23"/>
                <c:pt idx="0">
                  <c:v>0.50090000000000001</c:v>
                </c:pt>
                <c:pt idx="1">
                  <c:v>0.50305999999999995</c:v>
                </c:pt>
                <c:pt idx="2">
                  <c:v>1.0013799999999999</c:v>
                </c:pt>
                <c:pt idx="3">
                  <c:v>1.5009699999999999</c:v>
                </c:pt>
                <c:pt idx="4">
                  <c:v>2.0005600000000001</c:v>
                </c:pt>
                <c:pt idx="5">
                  <c:v>2.5006599999999999</c:v>
                </c:pt>
                <c:pt idx="6">
                  <c:v>3.0009600000000001</c:v>
                </c:pt>
                <c:pt idx="7">
                  <c:v>3.4996100000000001</c:v>
                </c:pt>
                <c:pt idx="8">
                  <c:v>3.5009600000000001</c:v>
                </c:pt>
                <c:pt idx="9">
                  <c:v>4.0010700000000003</c:v>
                </c:pt>
                <c:pt idx="10">
                  <c:v>4.5001199999999999</c:v>
                </c:pt>
                <c:pt idx="11">
                  <c:v>5.0005199999999999</c:v>
                </c:pt>
                <c:pt idx="12">
                  <c:v>5.5005600000000001</c:v>
                </c:pt>
                <c:pt idx="13">
                  <c:v>6.0009600000000001</c:v>
                </c:pt>
                <c:pt idx="14">
                  <c:v>6.50054</c:v>
                </c:pt>
                <c:pt idx="15">
                  <c:v>7.0005600000000001</c:v>
                </c:pt>
                <c:pt idx="16">
                  <c:v>7.0008699999999999</c:v>
                </c:pt>
                <c:pt idx="17">
                  <c:v>7.5029899999999996</c:v>
                </c:pt>
                <c:pt idx="18">
                  <c:v>8.0013000000000005</c:v>
                </c:pt>
                <c:pt idx="19">
                  <c:v>8.0020100000000003</c:v>
                </c:pt>
                <c:pt idx="20">
                  <c:v>8.4014299999999995</c:v>
                </c:pt>
                <c:pt idx="21">
                  <c:v>8.6985299999999999</c:v>
                </c:pt>
                <c:pt idx="22">
                  <c:v>9.0018999999999991</c:v>
                </c:pt>
              </c:numCache>
            </c:numRef>
          </c:xVal>
          <c:yVal>
            <c:numRef>
              <c:f>'Err. rel.'!$W$311:$W$333</c:f>
              <c:numCache>
                <c:formatCode>General</c:formatCode>
                <c:ptCount val="23"/>
                <c:pt idx="0">
                  <c:v>8.4536099999999994</c:v>
                </c:pt>
                <c:pt idx="1">
                  <c:v>8.4908199999999994</c:v>
                </c:pt>
                <c:pt idx="2">
                  <c:v>17.2591</c:v>
                </c:pt>
                <c:pt idx="3">
                  <c:v>26.445599999999999</c:v>
                </c:pt>
                <c:pt idx="4">
                  <c:v>36.073900000000002</c:v>
                </c:pt>
                <c:pt idx="5">
                  <c:v>46.209099999999999</c:v>
                </c:pt>
                <c:pt idx="6">
                  <c:v>56.9114</c:v>
                </c:pt>
                <c:pt idx="7">
                  <c:v>68.218500000000006</c:v>
                </c:pt>
                <c:pt idx="8">
                  <c:v>68.25</c:v>
                </c:pt>
                <c:pt idx="9">
                  <c:v>80.332400000000007</c:v>
                </c:pt>
                <c:pt idx="10">
                  <c:v>93.251400000000004</c:v>
                </c:pt>
                <c:pt idx="11">
                  <c:v>107.22799999999999</c:v>
                </c:pt>
                <c:pt idx="12">
                  <c:v>122.423</c:v>
                </c:pt>
                <c:pt idx="13">
                  <c:v>139.13499999999999</c:v>
                </c:pt>
                <c:pt idx="14">
                  <c:v>157.70099999999999</c:v>
                </c:pt>
                <c:pt idx="15">
                  <c:v>178.71</c:v>
                </c:pt>
                <c:pt idx="16">
                  <c:v>178.72399999999999</c:v>
                </c:pt>
                <c:pt idx="17">
                  <c:v>203.08600000000001</c:v>
                </c:pt>
                <c:pt idx="18">
                  <c:v>231.77799999999999</c:v>
                </c:pt>
                <c:pt idx="19">
                  <c:v>231.82300000000001</c:v>
                </c:pt>
                <c:pt idx="20">
                  <c:v>259.45299999999997</c:v>
                </c:pt>
                <c:pt idx="21">
                  <c:v>283.702</c:v>
                </c:pt>
                <c:pt idx="22">
                  <c:v>312.702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E09-4AFF-9034-BC69D4D70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9.1"/>
          <c:min val="0.1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P [MPa]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1"/>
      </c:valAx>
      <c:valAx>
        <c:axId val="68417792"/>
        <c:scaling>
          <c:orientation val="minMax"/>
          <c:max val="120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el-GR" sz="1050" b="1" i="0" u="none" strike="noStrike" baseline="0">
                    <a:effectLst/>
                  </a:rPr>
                  <a:t>ρ</a:t>
                </a:r>
                <a:r>
                  <a:rPr lang="it-IT" sz="1050" b="1" i="0" u="none" strike="noStrike" baseline="0">
                    <a:effectLst/>
                  </a:rPr>
                  <a:t> </a:t>
                </a:r>
                <a:r>
                  <a:rPr lang="it-IT" sz="1050"/>
                  <a:t>[kg/</a:t>
                </a:r>
                <a:r>
                  <a:rPr lang="it-IT" sz="1050" b="1" i="0" u="none" strike="noStrike" baseline="0">
                    <a:effectLst/>
                  </a:rPr>
                  <a:t>m</a:t>
                </a:r>
                <a:r>
                  <a:rPr lang="it-IT" sz="1050" b="1" i="0" u="none" strike="noStrike" baseline="30000">
                    <a:effectLst/>
                  </a:rPr>
                  <a:t>3</a:t>
                </a:r>
                <a:r>
                  <a:rPr lang="it-IT" sz="1050"/>
                  <a:t>]</a:t>
                </a:r>
              </a:p>
            </c:rich>
          </c:tx>
          <c:layout>
            <c:manualLayout>
              <c:xMode val="edge"/>
              <c:yMode val="edge"/>
              <c:x val="3.0428995405748401E-2"/>
              <c:y val="0.397807801139824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00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2635208734501407"/>
          <c:y val="0.31865133994910072"/>
          <c:w val="0.36371341918393818"/>
          <c:h val="0.3514662294111283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5"/>
          <c:order val="0"/>
          <c:tx>
            <c:strRef>
              <c:f>'Err. rel.'!$Q$2</c:f>
              <c:strCache>
                <c:ptCount val="1"/>
                <c:pt idx="0">
                  <c:v> exp. data [7]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0"/>
          </c:errBars>
          <c:errBars>
            <c:errDir val="x"/>
            <c:errBarType val="both"/>
            <c:errValType val="fixedVal"/>
            <c:noEndCap val="0"/>
            <c:val val="2.0000000000000007E-2"/>
          </c:errBars>
          <c:xVal>
            <c:numRef>
              <c:f>'Err. rel.'!$K$4:$K$11</c:f>
              <c:numCache>
                <c:formatCode>General</c:formatCode>
                <c:ptCount val="8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139</c:v>
                </c:pt>
              </c:numCache>
            </c:numRef>
          </c:xVal>
          <c:yVal>
            <c:numRef>
              <c:f>'Err. rel.'!$Q$4:$Q$10</c:f>
              <c:numCache>
                <c:formatCode>General</c:formatCode>
                <c:ptCount val="7"/>
                <c:pt idx="0">
                  <c:v>2.6240000000000001</c:v>
                </c:pt>
                <c:pt idx="1">
                  <c:v>2.6339999999999999</c:v>
                </c:pt>
                <c:pt idx="2">
                  <c:v>2.645</c:v>
                </c:pt>
                <c:pt idx="3">
                  <c:v>2.657</c:v>
                </c:pt>
                <c:pt idx="4">
                  <c:v>2.6709999999999998</c:v>
                </c:pt>
                <c:pt idx="5">
                  <c:v>2.6859999999999999</c:v>
                </c:pt>
                <c:pt idx="6">
                  <c:v>2.7010000000000001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6F-489F-9B62-0010F41CC69E}"/>
            </c:ext>
          </c:extLst>
        </c:ser>
        <c:ser>
          <c:idx val="0"/>
          <c:order val="1"/>
          <c:tx>
            <c:strRef>
              <c:f>'Err. rel.'!$H$90</c:f>
              <c:strCache>
                <c:ptCount val="1"/>
                <c:pt idx="0">
                  <c:v> exp. data [8]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99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'Err. rel.'!$B$92:$B$107</c:f>
              <c:numCache>
                <c:formatCode>General</c:formatCode>
                <c:ptCount val="16"/>
                <c:pt idx="0">
                  <c:v>90.149999999999977</c:v>
                </c:pt>
                <c:pt idx="1">
                  <c:v>90.149999999999977</c:v>
                </c:pt>
                <c:pt idx="2">
                  <c:v>137.94999999999999</c:v>
                </c:pt>
                <c:pt idx="3">
                  <c:v>144.34999999999997</c:v>
                </c:pt>
                <c:pt idx="4">
                  <c:v>147.94999999999999</c:v>
                </c:pt>
                <c:pt idx="5">
                  <c:v>157.94999999999999</c:v>
                </c:pt>
                <c:pt idx="6">
                  <c:v>158.24999999999997</c:v>
                </c:pt>
                <c:pt idx="7">
                  <c:v>167.95</c:v>
                </c:pt>
                <c:pt idx="8">
                  <c:v>168.04999999999998</c:v>
                </c:pt>
                <c:pt idx="9">
                  <c:v>177.84999999999997</c:v>
                </c:pt>
                <c:pt idx="10">
                  <c:v>178.04999999999998</c:v>
                </c:pt>
                <c:pt idx="11">
                  <c:v>185.24999999999997</c:v>
                </c:pt>
                <c:pt idx="12">
                  <c:v>187.64999999999998</c:v>
                </c:pt>
                <c:pt idx="13">
                  <c:v>189.54999999999998</c:v>
                </c:pt>
                <c:pt idx="14">
                  <c:v>191.64999999999998</c:v>
                </c:pt>
                <c:pt idx="15">
                  <c:v>193.54999999999998</c:v>
                </c:pt>
              </c:numCache>
            </c:numRef>
          </c:xVal>
          <c:yVal>
            <c:numRef>
              <c:f>'Err. rel.'!$E$109:$E$124</c:f>
              <c:numCache>
                <c:formatCode>0.00</c:formatCode>
                <c:ptCount val="16"/>
                <c:pt idx="0">
                  <c:v>2.6459999999999999</c:v>
                </c:pt>
                <c:pt idx="1">
                  <c:v>2.629</c:v>
                </c:pt>
                <c:pt idx="2">
                  <c:v>2.7</c:v>
                </c:pt>
                <c:pt idx="3">
                  <c:v>2.7149999999999999</c:v>
                </c:pt>
                <c:pt idx="4">
                  <c:v>2.7120000000000002</c:v>
                </c:pt>
                <c:pt idx="5">
                  <c:v>2.734</c:v>
                </c:pt>
                <c:pt idx="6">
                  <c:v>2.7320000000000002</c:v>
                </c:pt>
                <c:pt idx="7">
                  <c:v>2.7509999999999999</c:v>
                </c:pt>
                <c:pt idx="8">
                  <c:v>2.7469999999999999</c:v>
                </c:pt>
                <c:pt idx="9">
                  <c:v>2.77</c:v>
                </c:pt>
                <c:pt idx="10">
                  <c:v>2.7679999999999998</c:v>
                </c:pt>
                <c:pt idx="11">
                  <c:v>2.782</c:v>
                </c:pt>
                <c:pt idx="12">
                  <c:v>2.794</c:v>
                </c:pt>
                <c:pt idx="13">
                  <c:v>2.798</c:v>
                </c:pt>
                <c:pt idx="14">
                  <c:v>2.8119999999999998</c:v>
                </c:pt>
                <c:pt idx="15">
                  <c:v>2.8050000000000002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6F-489F-9B62-0010F41CC69E}"/>
            </c:ext>
          </c:extLst>
        </c:ser>
        <c:ser>
          <c:idx val="1"/>
          <c:order val="2"/>
          <c:tx>
            <c:strRef>
              <c:f>'Err. rel.'!$H$91</c:f>
              <c:strCache>
                <c:ptCount val="1"/>
                <c:pt idx="0">
                  <c:v> model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'Err. rel.'!$H$92:$H$114</c:f>
              <c:numCache>
                <c:formatCode>General</c:formatCode>
                <c:ptCount val="23"/>
                <c:pt idx="0">
                  <c:v>80</c:v>
                </c:pt>
                <c:pt idx="1">
                  <c:v>90</c:v>
                </c:pt>
                <c:pt idx="2">
                  <c:v>90.149999999999977</c:v>
                </c:pt>
                <c:pt idx="3">
                  <c:v>90.149999999999977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137.94999999999999</c:v>
                </c:pt>
                <c:pt idx="9">
                  <c:v>139</c:v>
                </c:pt>
                <c:pt idx="10">
                  <c:v>144.34999999999997</c:v>
                </c:pt>
                <c:pt idx="11">
                  <c:v>147.94999999999999</c:v>
                </c:pt>
                <c:pt idx="12">
                  <c:v>157.94999999999999</c:v>
                </c:pt>
                <c:pt idx="13">
                  <c:v>158.24999999999997</c:v>
                </c:pt>
                <c:pt idx="14">
                  <c:v>167.95</c:v>
                </c:pt>
                <c:pt idx="15">
                  <c:v>168.04999999999998</c:v>
                </c:pt>
                <c:pt idx="16">
                  <c:v>177.84999999999997</c:v>
                </c:pt>
                <c:pt idx="17">
                  <c:v>178.04999999999998</c:v>
                </c:pt>
                <c:pt idx="18">
                  <c:v>185.24999999999997</c:v>
                </c:pt>
                <c:pt idx="19">
                  <c:v>187.64999999999998</c:v>
                </c:pt>
                <c:pt idx="20">
                  <c:v>189.54999999999998</c:v>
                </c:pt>
                <c:pt idx="21">
                  <c:v>191.64999999999998</c:v>
                </c:pt>
                <c:pt idx="22">
                  <c:v>193.54999999999998</c:v>
                </c:pt>
              </c:numCache>
            </c:numRef>
          </c:xVal>
          <c:yVal>
            <c:numRef>
              <c:f>'Err. rel.'!$I$92:$I$114</c:f>
              <c:numCache>
                <c:formatCode>General</c:formatCode>
                <c:ptCount val="23"/>
                <c:pt idx="0">
                  <c:v>2.6269999999999998</c:v>
                </c:pt>
                <c:pt idx="1">
                  <c:v>2.6379999999999999</c:v>
                </c:pt>
                <c:pt idx="2">
                  <c:v>2.6379999999999999</c:v>
                </c:pt>
                <c:pt idx="3">
                  <c:v>2.6379999999999999</c:v>
                </c:pt>
                <c:pt idx="4">
                  <c:v>2.649</c:v>
                </c:pt>
                <c:pt idx="5">
                  <c:v>2.661</c:v>
                </c:pt>
                <c:pt idx="6">
                  <c:v>2.6739999999999999</c:v>
                </c:pt>
                <c:pt idx="7">
                  <c:v>2.6880000000000002</c:v>
                </c:pt>
                <c:pt idx="8">
                  <c:v>2.7</c:v>
                </c:pt>
                <c:pt idx="9">
                  <c:v>2.7010000000000001</c:v>
                </c:pt>
                <c:pt idx="10">
                  <c:v>2.71</c:v>
                </c:pt>
                <c:pt idx="11">
                  <c:v>2.7149999999999999</c:v>
                </c:pt>
                <c:pt idx="12">
                  <c:v>2.7320000000000002</c:v>
                </c:pt>
                <c:pt idx="13">
                  <c:v>2.7320000000000002</c:v>
                </c:pt>
                <c:pt idx="14">
                  <c:v>2.7492999999999999</c:v>
                </c:pt>
                <c:pt idx="15">
                  <c:v>2.7494999999999998</c:v>
                </c:pt>
                <c:pt idx="16">
                  <c:v>2.7679999999999998</c:v>
                </c:pt>
                <c:pt idx="17">
                  <c:v>2.7679999999999998</c:v>
                </c:pt>
                <c:pt idx="18">
                  <c:v>2.782</c:v>
                </c:pt>
                <c:pt idx="19">
                  <c:v>2.7869999999999999</c:v>
                </c:pt>
                <c:pt idx="20">
                  <c:v>2.79</c:v>
                </c:pt>
                <c:pt idx="21">
                  <c:v>2.7949999999999999</c:v>
                </c:pt>
                <c:pt idx="22">
                  <c:v>2.7989999999999999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6F-489F-9B62-0010F41CC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196"/>
          <c:min val="76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8"/>
      </c:valAx>
      <c:valAx>
        <c:axId val="68417792"/>
        <c:scaling>
          <c:orientation val="minMax"/>
          <c:max val="2.82"/>
          <c:min val="2.6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v [</a:t>
                </a:r>
                <a:r>
                  <a:rPr lang="it-IT" sz="1050" b="1" i="0" u="none" strike="noStrike" baseline="0">
                    <a:effectLst/>
                  </a:rPr>
                  <a:t>10</a:t>
                </a:r>
                <a:r>
                  <a:rPr lang="it-IT" sz="1050" b="1" i="0" u="none" strike="noStrike" baseline="30000">
                    <a:effectLst/>
                  </a:rPr>
                  <a:t>5</a:t>
                </a:r>
                <a:r>
                  <a:rPr lang="it-IT" sz="1050" b="1" i="0" u="none" strike="noStrike" baseline="0">
                    <a:effectLst/>
                  </a:rPr>
                  <a:t> m</a:t>
                </a:r>
                <a:r>
                  <a:rPr lang="it-IT" sz="1050" b="1" i="0" u="none" strike="noStrike" baseline="30000">
                    <a:effectLst/>
                  </a:rPr>
                  <a:t>3</a:t>
                </a:r>
                <a:r>
                  <a:rPr lang="it-IT" sz="1050" b="1" i="0" u="none" strike="noStrike" baseline="0">
                    <a:effectLst/>
                  </a:rPr>
                  <a:t>/mol</a:t>
                </a:r>
                <a:r>
                  <a:rPr lang="it-IT" sz="1050"/>
                  <a:t>]</a:t>
                </a:r>
              </a:p>
            </c:rich>
          </c:tx>
          <c:layout>
            <c:manualLayout>
              <c:xMode val="edge"/>
              <c:yMode val="edge"/>
              <c:x val="1.864046112082474E-2"/>
              <c:y val="0.3538212135247799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2.0000000000000004E-2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015661898677994"/>
          <c:y val="9.9866450517214767E-2"/>
          <c:w val="0.15976736743757189"/>
          <c:h val="0.1269561525397560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5"/>
          <c:order val="0"/>
          <c:tx>
            <c:strRef>
              <c:f>'Err. rel.'!$J$14</c:f>
              <c:strCache>
                <c:ptCount val="1"/>
                <c:pt idx="0">
                  <c:v> exp. data [3]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0"/>
          </c:errBars>
          <c:errBars>
            <c:errDir val="x"/>
            <c:errBarType val="both"/>
            <c:errValType val="fixedVal"/>
            <c:noEndCap val="0"/>
            <c:val val="2.0000000000000007E-2"/>
          </c:errBars>
          <c:xVal>
            <c:numRef>
              <c:f>Dati!$K$75:$K$185</c:f>
              <c:numCache>
                <c:formatCode>0.00</c:formatCode>
                <c:ptCount val="111"/>
                <c:pt idx="0">
                  <c:v>170.11099999999999</c:v>
                </c:pt>
                <c:pt idx="1">
                  <c:v>171.81100000000001</c:v>
                </c:pt>
                <c:pt idx="2">
                  <c:v>172.14099999999999</c:v>
                </c:pt>
                <c:pt idx="3">
                  <c:v>173.59099999999998</c:v>
                </c:pt>
                <c:pt idx="4">
                  <c:v>175.34099999999998</c:v>
                </c:pt>
                <c:pt idx="5">
                  <c:v>177.20099999999999</c:v>
                </c:pt>
                <c:pt idx="6">
                  <c:v>179.20099999999999</c:v>
                </c:pt>
                <c:pt idx="7">
                  <c:v>179.73099999999999</c:v>
                </c:pt>
                <c:pt idx="8">
                  <c:v>180.95099999999999</c:v>
                </c:pt>
                <c:pt idx="9">
                  <c:v>183.02099999999999</c:v>
                </c:pt>
                <c:pt idx="10">
                  <c:v>184.37099999999998</c:v>
                </c:pt>
                <c:pt idx="11">
                  <c:v>185.23099999999999</c:v>
                </c:pt>
                <c:pt idx="12">
                  <c:v>187.251</c:v>
                </c:pt>
                <c:pt idx="13">
                  <c:v>187.691</c:v>
                </c:pt>
                <c:pt idx="14">
                  <c:v>189.881</c:v>
                </c:pt>
                <c:pt idx="15">
                  <c:v>192.791</c:v>
                </c:pt>
                <c:pt idx="16">
                  <c:v>192.941</c:v>
                </c:pt>
                <c:pt idx="17">
                  <c:v>194.541</c:v>
                </c:pt>
                <c:pt idx="18">
                  <c:v>196.761</c:v>
                </c:pt>
                <c:pt idx="19">
                  <c:v>197.471</c:v>
                </c:pt>
                <c:pt idx="20">
                  <c:v>199.291</c:v>
                </c:pt>
                <c:pt idx="21">
                  <c:v>201.74099999999999</c:v>
                </c:pt>
                <c:pt idx="22">
                  <c:v>202.821</c:v>
                </c:pt>
                <c:pt idx="23">
                  <c:v>203.80099999999999</c:v>
                </c:pt>
                <c:pt idx="24">
                  <c:v>205.24099999999999</c:v>
                </c:pt>
                <c:pt idx="25">
                  <c:v>207.03100000000001</c:v>
                </c:pt>
                <c:pt idx="26">
                  <c:v>207.221</c:v>
                </c:pt>
                <c:pt idx="27">
                  <c:v>207.61099999999999</c:v>
                </c:pt>
                <c:pt idx="28">
                  <c:v>207.98099999999999</c:v>
                </c:pt>
                <c:pt idx="29">
                  <c:v>208.441</c:v>
                </c:pt>
                <c:pt idx="30">
                  <c:v>209.30099999999999</c:v>
                </c:pt>
                <c:pt idx="31">
                  <c:v>210.73099999999999</c:v>
                </c:pt>
                <c:pt idx="32">
                  <c:v>210.93099999999998</c:v>
                </c:pt>
                <c:pt idx="33">
                  <c:v>211.11099999999999</c:v>
                </c:pt>
                <c:pt idx="34">
                  <c:v>211.23099999999999</c:v>
                </c:pt>
                <c:pt idx="35">
                  <c:v>211.291</c:v>
                </c:pt>
                <c:pt idx="36">
                  <c:v>213.191</c:v>
                </c:pt>
                <c:pt idx="37">
                  <c:v>213.27099999999999</c:v>
                </c:pt>
                <c:pt idx="38">
                  <c:v>213.28100000000001</c:v>
                </c:pt>
                <c:pt idx="39">
                  <c:v>213.31100000000001</c:v>
                </c:pt>
                <c:pt idx="40">
                  <c:v>213.34099999999998</c:v>
                </c:pt>
                <c:pt idx="41">
                  <c:v>213.34099999999998</c:v>
                </c:pt>
                <c:pt idx="42">
                  <c:v>213.351</c:v>
                </c:pt>
                <c:pt idx="43">
                  <c:v>213.39099999999999</c:v>
                </c:pt>
                <c:pt idx="44">
                  <c:v>213.411</c:v>
                </c:pt>
                <c:pt idx="45">
                  <c:v>213.43099999999998</c:v>
                </c:pt>
                <c:pt idx="46">
                  <c:v>213.471</c:v>
                </c:pt>
                <c:pt idx="47">
                  <c:v>213.511</c:v>
                </c:pt>
                <c:pt idx="48">
                  <c:v>213.541</c:v>
                </c:pt>
                <c:pt idx="49">
                  <c:v>213.68099999999998</c:v>
                </c:pt>
                <c:pt idx="50">
                  <c:v>213.70099999999999</c:v>
                </c:pt>
                <c:pt idx="51">
                  <c:v>213.73099999999999</c:v>
                </c:pt>
                <c:pt idx="52">
                  <c:v>213.80099999999999</c:v>
                </c:pt>
                <c:pt idx="53">
                  <c:v>213.851</c:v>
                </c:pt>
                <c:pt idx="54">
                  <c:v>213.92099999999999</c:v>
                </c:pt>
                <c:pt idx="55">
                  <c:v>214.17099999999999</c:v>
                </c:pt>
                <c:pt idx="56">
                  <c:v>214.23099999999999</c:v>
                </c:pt>
                <c:pt idx="57">
                  <c:v>214.34099999999998</c:v>
                </c:pt>
                <c:pt idx="58">
                  <c:v>214.37099999999998</c:v>
                </c:pt>
                <c:pt idx="59">
                  <c:v>214.39099999999999</c:v>
                </c:pt>
                <c:pt idx="60">
                  <c:v>214.39099999999999</c:v>
                </c:pt>
                <c:pt idx="61">
                  <c:v>214.40099999999998</c:v>
                </c:pt>
                <c:pt idx="62">
                  <c:v>214.46099999999998</c:v>
                </c:pt>
                <c:pt idx="63">
                  <c:v>214.52099999999999</c:v>
                </c:pt>
                <c:pt idx="64">
                  <c:v>214.56100000000001</c:v>
                </c:pt>
                <c:pt idx="65">
                  <c:v>214.62099999999998</c:v>
                </c:pt>
                <c:pt idx="66">
                  <c:v>214.74099999999999</c:v>
                </c:pt>
                <c:pt idx="67">
                  <c:v>214.851</c:v>
                </c:pt>
                <c:pt idx="68">
                  <c:v>214.911</c:v>
                </c:pt>
                <c:pt idx="69">
                  <c:v>215.011</c:v>
                </c:pt>
                <c:pt idx="70">
                  <c:v>215.31100000000001</c:v>
                </c:pt>
                <c:pt idx="71">
                  <c:v>215.601</c:v>
                </c:pt>
                <c:pt idx="72">
                  <c:v>216.191</c:v>
                </c:pt>
                <c:pt idx="73">
                  <c:v>216.33099999999999</c:v>
                </c:pt>
                <c:pt idx="74">
                  <c:v>216.381</c:v>
                </c:pt>
                <c:pt idx="75">
                  <c:v>216.45099999999999</c:v>
                </c:pt>
                <c:pt idx="76">
                  <c:v>216.48099999999999</c:v>
                </c:pt>
                <c:pt idx="77">
                  <c:v>216.49099999999999</c:v>
                </c:pt>
                <c:pt idx="78">
                  <c:v>216.53100000000001</c:v>
                </c:pt>
                <c:pt idx="79">
                  <c:v>216.58099999999999</c:v>
                </c:pt>
                <c:pt idx="80">
                  <c:v>216.58099999999999</c:v>
                </c:pt>
                <c:pt idx="81">
                  <c:v>216.59099999999998</c:v>
                </c:pt>
                <c:pt idx="82">
                  <c:v>216.59099999999998</c:v>
                </c:pt>
                <c:pt idx="83">
                  <c:v>216.59099999999998</c:v>
                </c:pt>
                <c:pt idx="84">
                  <c:v>216.601</c:v>
                </c:pt>
                <c:pt idx="85">
                  <c:v>216.61099999999999</c:v>
                </c:pt>
                <c:pt idx="86">
                  <c:v>216.61099999999999</c:v>
                </c:pt>
                <c:pt idx="87">
                  <c:v>216.62099999999998</c:v>
                </c:pt>
                <c:pt idx="88">
                  <c:v>216.631</c:v>
                </c:pt>
                <c:pt idx="89">
                  <c:v>216.631</c:v>
                </c:pt>
                <c:pt idx="90">
                  <c:v>216.64099999999999</c:v>
                </c:pt>
                <c:pt idx="91">
                  <c:v>216.65099999999998</c:v>
                </c:pt>
                <c:pt idx="92">
                  <c:v>216.661</c:v>
                </c:pt>
                <c:pt idx="93">
                  <c:v>216.67099999999999</c:v>
                </c:pt>
                <c:pt idx="94">
                  <c:v>216.67099999999999</c:v>
                </c:pt>
                <c:pt idx="95">
                  <c:v>216.68099999999998</c:v>
                </c:pt>
                <c:pt idx="96">
                  <c:v>216.68099999999998</c:v>
                </c:pt>
                <c:pt idx="97">
                  <c:v>216.68099999999998</c:v>
                </c:pt>
                <c:pt idx="98">
                  <c:v>216.68099999999998</c:v>
                </c:pt>
                <c:pt idx="99">
                  <c:v>216.691</c:v>
                </c:pt>
                <c:pt idx="100">
                  <c:v>216.70099999999999</c:v>
                </c:pt>
                <c:pt idx="101">
                  <c:v>216.70099999999999</c:v>
                </c:pt>
                <c:pt idx="102">
                  <c:v>216.71099999999998</c:v>
                </c:pt>
                <c:pt idx="103">
                  <c:v>216.721</c:v>
                </c:pt>
                <c:pt idx="104">
                  <c:v>216.73099999999999</c:v>
                </c:pt>
                <c:pt idx="105">
                  <c:v>216.74099999999999</c:v>
                </c:pt>
                <c:pt idx="106">
                  <c:v>216.751</c:v>
                </c:pt>
                <c:pt idx="107">
                  <c:v>216.761</c:v>
                </c:pt>
                <c:pt idx="108">
                  <c:v>216.78100000000001</c:v>
                </c:pt>
                <c:pt idx="109">
                  <c:v>216.81100000000001</c:v>
                </c:pt>
                <c:pt idx="110">
                  <c:v>216.911</c:v>
                </c:pt>
              </c:numCache>
            </c:numRef>
          </c:xVal>
          <c:yVal>
            <c:numRef>
              <c:f>Dati!$M$75:$M$185</c:f>
              <c:numCache>
                <c:formatCode>General</c:formatCode>
                <c:ptCount val="111"/>
                <c:pt idx="0">
                  <c:v>1.009514184E-2</c:v>
                </c:pt>
                <c:pt idx="1">
                  <c:v>1.2089638960000001E-2</c:v>
                </c:pt>
                <c:pt idx="2">
                  <c:v>1.2506936820000002E-2</c:v>
                </c:pt>
                <c:pt idx="3">
                  <c:v>1.4546763420000001E-2</c:v>
                </c:pt>
                <c:pt idx="4">
                  <c:v>1.7442517260000002E-2</c:v>
                </c:pt>
                <c:pt idx="5">
                  <c:v>2.0996881780000004E-2</c:v>
                </c:pt>
                <c:pt idx="6">
                  <c:v>2.556049384E-2</c:v>
                </c:pt>
                <c:pt idx="7">
                  <c:v>2.689504706E-2</c:v>
                </c:pt>
                <c:pt idx="8">
                  <c:v>3.0240096040000001E-2</c:v>
                </c:pt>
                <c:pt idx="9">
                  <c:v>3.6755542180000003E-2</c:v>
                </c:pt>
                <c:pt idx="10">
                  <c:v>4.1631127720000001E-2</c:v>
                </c:pt>
                <c:pt idx="11">
                  <c:v>4.5013506860000004E-2</c:v>
                </c:pt>
                <c:pt idx="12">
                  <c:v>5.3966079159999999E-2</c:v>
                </c:pt>
                <c:pt idx="13">
                  <c:v>5.5956576620000004E-2</c:v>
                </c:pt>
                <c:pt idx="14">
                  <c:v>6.7902227820000008E-2</c:v>
                </c:pt>
                <c:pt idx="15">
                  <c:v>8.6909945360000004E-2</c:v>
                </c:pt>
                <c:pt idx="16">
                  <c:v>8.7612552300000007E-2</c:v>
                </c:pt>
                <c:pt idx="17">
                  <c:v>0.10039546566</c:v>
                </c:pt>
                <c:pt idx="18">
                  <c:v>0.12012045556000001</c:v>
                </c:pt>
                <c:pt idx="19">
                  <c:v>0.12721585240000002</c:v>
                </c:pt>
                <c:pt idx="20">
                  <c:v>0.14699283788</c:v>
                </c:pt>
                <c:pt idx="21">
                  <c:v>0.17774755684000001</c:v>
                </c:pt>
                <c:pt idx="22">
                  <c:v>0.19300359330000003</c:v>
                </c:pt>
                <c:pt idx="23">
                  <c:v>0.20787832884000002</c:v>
                </c:pt>
                <c:pt idx="24">
                  <c:v>0.23150432046000002</c:v>
                </c:pt>
                <c:pt idx="25">
                  <c:v>0.26410554912</c:v>
                </c:pt>
                <c:pt idx="26">
                  <c:v>0.26780390140000004</c:v>
                </c:pt>
                <c:pt idx="27">
                  <c:v>0.27547924894000003</c:v>
                </c:pt>
                <c:pt idx="28">
                  <c:v>0.28304660566000006</c:v>
                </c:pt>
                <c:pt idx="29">
                  <c:v>0.29263779033999998</c:v>
                </c:pt>
                <c:pt idx="30">
                  <c:v>0.31126820662000004</c:v>
                </c:pt>
                <c:pt idx="31">
                  <c:v>0.34496534212000002</c:v>
                </c:pt>
                <c:pt idx="32">
                  <c:v>0.34976093446000001</c:v>
                </c:pt>
                <c:pt idx="33">
                  <c:v>0.35419389095999998</c:v>
                </c:pt>
                <c:pt idx="34">
                  <c:v>0.35732962439999999</c:v>
                </c:pt>
                <c:pt idx="35">
                  <c:v>0.35886416062000004</c:v>
                </c:pt>
                <c:pt idx="36">
                  <c:v>0.40993315272000008</c:v>
                </c:pt>
                <c:pt idx="37">
                  <c:v>0.41224228975999999</c:v>
                </c:pt>
                <c:pt idx="38">
                  <c:v>0.41276091234000001</c:v>
                </c:pt>
                <c:pt idx="39">
                  <c:v>0.41361417313999999</c:v>
                </c:pt>
                <c:pt idx="40">
                  <c:v>0.41433144550000001</c:v>
                </c:pt>
                <c:pt idx="41">
                  <c:v>0.41447410004000007</c:v>
                </c:pt>
                <c:pt idx="42">
                  <c:v>0.41475807590000002</c:v>
                </c:pt>
                <c:pt idx="43">
                  <c:v>0.41575532446000002</c:v>
                </c:pt>
                <c:pt idx="44">
                  <c:v>0.41649792800000002</c:v>
                </c:pt>
                <c:pt idx="45">
                  <c:v>0.41710454310000006</c:v>
                </c:pt>
                <c:pt idx="46">
                  <c:v>0.41826044484000002</c:v>
                </c:pt>
                <c:pt idx="47">
                  <c:v>0.41934568592000004</c:v>
                </c:pt>
                <c:pt idx="48">
                  <c:v>0.42020561282000002</c:v>
                </c:pt>
                <c:pt idx="49">
                  <c:v>0.42426393450000005</c:v>
                </c:pt>
                <c:pt idx="50">
                  <c:v>0.42499453906000001</c:v>
                </c:pt>
                <c:pt idx="51">
                  <c:v>0.42572247718000006</c:v>
                </c:pt>
                <c:pt idx="52">
                  <c:v>0.42776630344000005</c:v>
                </c:pt>
                <c:pt idx="53">
                  <c:v>0.42923817832</c:v>
                </c:pt>
                <c:pt idx="54">
                  <c:v>0.43144732386000006</c:v>
                </c:pt>
                <c:pt idx="55">
                  <c:v>0.43881736401999999</c:v>
                </c:pt>
                <c:pt idx="56">
                  <c:v>0.44087452248000003</c:v>
                </c:pt>
                <c:pt idx="57">
                  <c:v>0.44429156534000003</c:v>
                </c:pt>
                <c:pt idx="58">
                  <c:v>0.44503550210000004</c:v>
                </c:pt>
                <c:pt idx="59">
                  <c:v>0.44568344702000001</c:v>
                </c:pt>
                <c:pt idx="60">
                  <c:v>0.44583810054000006</c:v>
                </c:pt>
                <c:pt idx="61">
                  <c:v>0.44599008762000003</c:v>
                </c:pt>
                <c:pt idx="62">
                  <c:v>0.44793125594000005</c:v>
                </c:pt>
                <c:pt idx="63">
                  <c:v>0.44980842970000001</c:v>
                </c:pt>
                <c:pt idx="64">
                  <c:v>0.45086967282000001</c:v>
                </c:pt>
                <c:pt idx="65">
                  <c:v>0.45288816790000003</c:v>
                </c:pt>
                <c:pt idx="66">
                  <c:v>0.45660385204000004</c:v>
                </c:pt>
                <c:pt idx="67">
                  <c:v>0.46003556032000004</c:v>
                </c:pt>
                <c:pt idx="68">
                  <c:v>0.46211405030000002</c:v>
                </c:pt>
                <c:pt idx="69">
                  <c:v>0.46521645324000005</c:v>
                </c:pt>
                <c:pt idx="70">
                  <c:v>0.47479030606000006</c:v>
                </c:pt>
                <c:pt idx="71">
                  <c:v>0.48436682532000003</c:v>
                </c:pt>
                <c:pt idx="72">
                  <c:v>0.50437045820000004</c:v>
                </c:pt>
                <c:pt idx="73">
                  <c:v>0.50916205087999999</c:v>
                </c:pt>
                <c:pt idx="74">
                  <c:v>0.51094989889999998</c:v>
                </c:pt>
                <c:pt idx="75">
                  <c:v>0.51354301180000006</c:v>
                </c:pt>
                <c:pt idx="76">
                  <c:v>0.51444426852000003</c:v>
                </c:pt>
                <c:pt idx="77">
                  <c:v>0.51471091252000001</c:v>
                </c:pt>
                <c:pt idx="78">
                  <c:v>0.51616145588000006</c:v>
                </c:pt>
                <c:pt idx="79">
                  <c:v>0.51796930220000004</c:v>
                </c:pt>
                <c:pt idx="80">
                  <c:v>0.51867857524000005</c:v>
                </c:pt>
                <c:pt idx="81">
                  <c:v>0.5187985650400001</c:v>
                </c:pt>
                <c:pt idx="82">
                  <c:v>0.51894655245999999</c:v>
                </c:pt>
                <c:pt idx="83">
                  <c:v>0.51897988295999997</c:v>
                </c:pt>
                <c:pt idx="84">
                  <c:v>0.5191372029200001</c:v>
                </c:pt>
                <c:pt idx="85">
                  <c:v>0.51921719612000006</c:v>
                </c:pt>
                <c:pt idx="86">
                  <c:v>0.51928785678</c:v>
                </c:pt>
                <c:pt idx="87">
                  <c:v>0.51957983196000002</c:v>
                </c:pt>
                <c:pt idx="88">
                  <c:v>0.51972648616000006</c:v>
                </c:pt>
                <c:pt idx="89">
                  <c:v>0.51985847494000004</c:v>
                </c:pt>
                <c:pt idx="90">
                  <c:v>0.52002779387999998</c:v>
                </c:pt>
                <c:pt idx="91">
                  <c:v>0.52019444638000001</c:v>
                </c:pt>
                <c:pt idx="92">
                  <c:v>0.52044242530000007</c:v>
                </c:pt>
                <c:pt idx="93">
                  <c:v>0.52057308086000009</c:v>
                </c:pt>
                <c:pt idx="94">
                  <c:v>0.52075306556000001</c:v>
                </c:pt>
                <c:pt idx="95">
                  <c:v>0.52080506114000003</c:v>
                </c:pt>
                <c:pt idx="96">
                  <c:v>0.52085439028000002</c:v>
                </c:pt>
                <c:pt idx="97">
                  <c:v>0.52095438177999998</c:v>
                </c:pt>
                <c:pt idx="98">
                  <c:v>0.52097438007999997</c:v>
                </c:pt>
                <c:pt idx="99">
                  <c:v>0.52123169154000004</c:v>
                </c:pt>
                <c:pt idx="100">
                  <c:v>0.52131168474</c:v>
                </c:pt>
                <c:pt idx="101">
                  <c:v>0.52136767998</c:v>
                </c:pt>
                <c:pt idx="102">
                  <c:v>0.52149966875999998</c:v>
                </c:pt>
                <c:pt idx="103">
                  <c:v>0.52174631445999997</c:v>
                </c:pt>
                <c:pt idx="104">
                  <c:v>0.52210761707999997</c:v>
                </c:pt>
                <c:pt idx="105">
                  <c:v>0.52232626516000003</c:v>
                </c:pt>
                <c:pt idx="106">
                  <c:v>0.52254224680000005</c:v>
                </c:pt>
                <c:pt idx="107">
                  <c:v>0.52272223150000008</c:v>
                </c:pt>
                <c:pt idx="108">
                  <c:v>0.52321152324000009</c:v>
                </c:pt>
                <c:pt idx="109">
                  <c:v>0.52377547530000002</c:v>
                </c:pt>
                <c:pt idx="110">
                  <c:v>0.52613394148000003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8-4C93-8220-DC3B8220CD62}"/>
            </c:ext>
          </c:extLst>
        </c:ser>
        <c:ser>
          <c:idx val="4"/>
          <c:order val="1"/>
          <c:tx>
            <c:strRef>
              <c:f>'Err. rel.'!$M$13</c:f>
              <c:strCache>
                <c:ptCount val="1"/>
                <c:pt idx="0">
                  <c:v> Sublimation line (Corr. Eq. [1])</c:v>
                </c:pt>
              </c:strCache>
            </c:strRef>
          </c:tx>
          <c:spPr>
            <a:ln w="19050">
              <a:solidFill>
                <a:srgbClr val="0070C0"/>
              </a:solidFill>
              <a:prstDash val="dashDot"/>
            </a:ln>
          </c:spPr>
          <c:marker>
            <c:symbol val="none"/>
          </c:marker>
          <c:xVal>
            <c:numRef>
              <c:f>'Calcoli eqilib.'!$R$42:$R$58</c:f>
              <c:numCache>
                <c:formatCode>0.00</c:formatCode>
                <c:ptCount val="17"/>
                <c:pt idx="0">
                  <c:v>73.150000000000006</c:v>
                </c:pt>
                <c:pt idx="1">
                  <c:v>90</c:v>
                </c:pt>
                <c:pt idx="2">
                  <c:v>110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185</c:v>
                </c:pt>
                <c:pt idx="10">
                  <c:v>190</c:v>
                </c:pt>
                <c:pt idx="11">
                  <c:v>195</c:v>
                </c:pt>
                <c:pt idx="12">
                  <c:v>200</c:v>
                </c:pt>
                <c:pt idx="13">
                  <c:v>205</c:v>
                </c:pt>
                <c:pt idx="14">
                  <c:v>210</c:v>
                </c:pt>
                <c:pt idx="15">
                  <c:v>213</c:v>
                </c:pt>
                <c:pt idx="16" formatCode="#,##0.00">
                  <c:v>216.59200000000001</c:v>
                </c:pt>
              </c:numCache>
            </c:numRef>
          </c:xVal>
          <c:yVal>
            <c:numRef>
              <c:f>'Calcoli eqilib.'!$Q$42:$Q$58</c:f>
              <c:numCache>
                <c:formatCode>General</c:formatCode>
                <c:ptCount val="17"/>
                <c:pt idx="0">
                  <c:v>3.3504163561910871E-14</c:v>
                </c:pt>
                <c:pt idx="1">
                  <c:v>2.8686214242532602E-10</c:v>
                </c:pt>
                <c:pt idx="2">
                  <c:v>2.9583157345645998E-7</c:v>
                </c:pt>
                <c:pt idx="3">
                  <c:v>3.0868506801518974E-5</c:v>
                </c:pt>
                <c:pt idx="4">
                  <c:v>1.835603343918938E-4</c:v>
                </c:pt>
                <c:pt idx="5">
                  <c:v>8.4264625414091161E-4</c:v>
                </c:pt>
                <c:pt idx="6">
                  <c:v>3.1475480353589866E-3</c:v>
                </c:pt>
                <c:pt idx="7">
                  <c:v>9.9604210984476308E-3</c:v>
                </c:pt>
                <c:pt idx="8">
                  <c:v>2.7557046263219243E-2</c:v>
                </c:pt>
                <c:pt idx="9">
                  <c:v>4.3934831875995596E-2</c:v>
                </c:pt>
                <c:pt idx="10">
                  <c:v>6.8342439412995865E-2</c:v>
                </c:pt>
                <c:pt idx="11">
                  <c:v>0.10397129999588997</c:v>
                </c:pt>
                <c:pt idx="12">
                  <c:v>0.15503130551946942</c:v>
                </c:pt>
                <c:pt idx="13">
                  <c:v>0.2270232433053459</c:v>
                </c:pt>
                <c:pt idx="14">
                  <c:v>0.32708932074315211</c:v>
                </c:pt>
                <c:pt idx="15">
                  <c:v>0.40434938870192988</c:v>
                </c:pt>
                <c:pt idx="16">
                  <c:v>0.51795000000000002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28-4C93-8220-DC3B8220CD62}"/>
            </c:ext>
          </c:extLst>
        </c:ser>
        <c:ser>
          <c:idx val="9"/>
          <c:order val="2"/>
          <c:tx>
            <c:strRef>
              <c:f>'Err. rel.'!$J$12</c:f>
              <c:strCache>
                <c:ptCount val="1"/>
                <c:pt idx="0">
                  <c:v> Sublimation line (EoS model)</c:v>
                </c:pt>
              </c:strCache>
            </c:strRef>
          </c:tx>
          <c:spPr>
            <a:ln w="15875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'Calcoli eqilib.'!$B$95:$B$176</c:f>
              <c:numCache>
                <c:formatCode>0.00</c:formatCode>
                <c:ptCount val="82"/>
                <c:pt idx="0">
                  <c:v>73.64</c:v>
                </c:pt>
                <c:pt idx="1">
                  <c:v>90</c:v>
                </c:pt>
                <c:pt idx="2">
                  <c:v>110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 formatCode="General">
                  <c:v>170.11</c:v>
                </c:pt>
                <c:pt idx="8" formatCode="General">
                  <c:v>171.81</c:v>
                </c:pt>
                <c:pt idx="9" formatCode="General">
                  <c:v>172.14</c:v>
                </c:pt>
                <c:pt idx="10" formatCode="General">
                  <c:v>173.59</c:v>
                </c:pt>
                <c:pt idx="11" formatCode="General">
                  <c:v>175.34</c:v>
                </c:pt>
                <c:pt idx="12" formatCode="General">
                  <c:v>177.2</c:v>
                </c:pt>
                <c:pt idx="13" formatCode="General">
                  <c:v>179.2</c:v>
                </c:pt>
                <c:pt idx="14" formatCode="General">
                  <c:v>179.73</c:v>
                </c:pt>
                <c:pt idx="15" formatCode="General">
                  <c:v>180.95</c:v>
                </c:pt>
                <c:pt idx="16" formatCode="General">
                  <c:v>183.02</c:v>
                </c:pt>
                <c:pt idx="17" formatCode="General">
                  <c:v>184.37</c:v>
                </c:pt>
                <c:pt idx="18" formatCode="General">
                  <c:v>185.23</c:v>
                </c:pt>
                <c:pt idx="19" formatCode="General">
                  <c:v>187.25</c:v>
                </c:pt>
                <c:pt idx="20" formatCode="General">
                  <c:v>189.88</c:v>
                </c:pt>
                <c:pt idx="21" formatCode="General">
                  <c:v>192.79</c:v>
                </c:pt>
                <c:pt idx="22" formatCode="General">
                  <c:v>194.54</c:v>
                </c:pt>
                <c:pt idx="23" formatCode="General">
                  <c:v>197.47</c:v>
                </c:pt>
                <c:pt idx="24" formatCode="General">
                  <c:v>199.29</c:v>
                </c:pt>
                <c:pt idx="25" formatCode="General">
                  <c:v>201.74</c:v>
                </c:pt>
                <c:pt idx="26" formatCode="General">
                  <c:v>202.82</c:v>
                </c:pt>
                <c:pt idx="27" formatCode="General">
                  <c:v>203.8</c:v>
                </c:pt>
                <c:pt idx="28" formatCode="General">
                  <c:v>205.24</c:v>
                </c:pt>
                <c:pt idx="29" formatCode="General">
                  <c:v>207.03</c:v>
                </c:pt>
                <c:pt idx="30" formatCode="General">
                  <c:v>207.22</c:v>
                </c:pt>
                <c:pt idx="31" formatCode="General">
                  <c:v>207.61</c:v>
                </c:pt>
                <c:pt idx="32" formatCode="General">
                  <c:v>207.98</c:v>
                </c:pt>
                <c:pt idx="33" formatCode="General">
                  <c:v>208.44</c:v>
                </c:pt>
                <c:pt idx="34" formatCode="General">
                  <c:v>209.3</c:v>
                </c:pt>
                <c:pt idx="35" formatCode="General">
                  <c:v>210.73</c:v>
                </c:pt>
                <c:pt idx="36" formatCode="General">
                  <c:v>210.93</c:v>
                </c:pt>
                <c:pt idx="37" formatCode="General">
                  <c:v>211.11</c:v>
                </c:pt>
                <c:pt idx="38" formatCode="General">
                  <c:v>211.23</c:v>
                </c:pt>
                <c:pt idx="39" formatCode="General">
                  <c:v>211.29</c:v>
                </c:pt>
                <c:pt idx="40" formatCode="General">
                  <c:v>213.19</c:v>
                </c:pt>
                <c:pt idx="41" formatCode="General">
                  <c:v>213.27</c:v>
                </c:pt>
                <c:pt idx="42" formatCode="General">
                  <c:v>213.28</c:v>
                </c:pt>
                <c:pt idx="43" formatCode="General">
                  <c:v>213.35</c:v>
                </c:pt>
                <c:pt idx="44" formatCode="General">
                  <c:v>213.39</c:v>
                </c:pt>
                <c:pt idx="45" formatCode="General">
                  <c:v>213.41</c:v>
                </c:pt>
                <c:pt idx="46" formatCode="General">
                  <c:v>213.43</c:v>
                </c:pt>
                <c:pt idx="47" formatCode="General">
                  <c:v>213.47</c:v>
                </c:pt>
                <c:pt idx="48" formatCode="General">
                  <c:v>213.51</c:v>
                </c:pt>
                <c:pt idx="49" formatCode="General">
                  <c:v>213.54</c:v>
                </c:pt>
                <c:pt idx="50" formatCode="General">
                  <c:v>213.68</c:v>
                </c:pt>
                <c:pt idx="51" formatCode="General">
                  <c:v>213.7</c:v>
                </c:pt>
                <c:pt idx="52" formatCode="General">
                  <c:v>213.73</c:v>
                </c:pt>
                <c:pt idx="53" formatCode="General">
                  <c:v>213.8</c:v>
                </c:pt>
                <c:pt idx="54" formatCode="General">
                  <c:v>213.85</c:v>
                </c:pt>
                <c:pt idx="55" formatCode="General">
                  <c:v>213.92</c:v>
                </c:pt>
                <c:pt idx="56" formatCode="General">
                  <c:v>214.17</c:v>
                </c:pt>
                <c:pt idx="57" formatCode="General">
                  <c:v>214.23</c:v>
                </c:pt>
                <c:pt idx="58" formatCode="General">
                  <c:v>214.34</c:v>
                </c:pt>
                <c:pt idx="59" formatCode="General">
                  <c:v>214.37</c:v>
                </c:pt>
                <c:pt idx="60" formatCode="General">
                  <c:v>214.39</c:v>
                </c:pt>
                <c:pt idx="61" formatCode="General">
                  <c:v>214.4</c:v>
                </c:pt>
                <c:pt idx="62" formatCode="General">
                  <c:v>214.46</c:v>
                </c:pt>
                <c:pt idx="63" formatCode="General">
                  <c:v>214.52</c:v>
                </c:pt>
                <c:pt idx="64" formatCode="General">
                  <c:v>214.56</c:v>
                </c:pt>
                <c:pt idx="65" formatCode="General">
                  <c:v>214.62</c:v>
                </c:pt>
                <c:pt idx="66" formatCode="General">
                  <c:v>214.74</c:v>
                </c:pt>
                <c:pt idx="67" formatCode="General">
                  <c:v>214.85</c:v>
                </c:pt>
                <c:pt idx="68" formatCode="General">
                  <c:v>214.91</c:v>
                </c:pt>
                <c:pt idx="69" formatCode="General">
                  <c:v>215.01</c:v>
                </c:pt>
                <c:pt idx="70" formatCode="General">
                  <c:v>215.31</c:v>
                </c:pt>
                <c:pt idx="71" formatCode="General">
                  <c:v>215.6</c:v>
                </c:pt>
                <c:pt idx="72" formatCode="General">
                  <c:v>216.19</c:v>
                </c:pt>
                <c:pt idx="73" formatCode="General">
                  <c:v>216.33</c:v>
                </c:pt>
                <c:pt idx="74" formatCode="General">
                  <c:v>216.38</c:v>
                </c:pt>
                <c:pt idx="75" formatCode="General">
                  <c:v>216.45</c:v>
                </c:pt>
                <c:pt idx="76" formatCode="General">
                  <c:v>216.48</c:v>
                </c:pt>
                <c:pt idx="77" formatCode="General">
                  <c:v>216.49</c:v>
                </c:pt>
                <c:pt idx="78" formatCode="General">
                  <c:v>216.53</c:v>
                </c:pt>
                <c:pt idx="79" formatCode="General">
                  <c:v>216.58</c:v>
                </c:pt>
                <c:pt idx="80" formatCode="General">
                  <c:v>216.59</c:v>
                </c:pt>
                <c:pt idx="81" formatCode="General">
                  <c:v>216.5932799</c:v>
                </c:pt>
              </c:numCache>
            </c:numRef>
          </c:xVal>
          <c:yVal>
            <c:numRef>
              <c:f>'Calcoli eqilib.'!$C$95:$C$176</c:f>
              <c:numCache>
                <c:formatCode>0.00E+00</c:formatCode>
                <c:ptCount val="82"/>
                <c:pt idx="0">
                  <c:v>3.2199999999999998E-14</c:v>
                </c:pt>
                <c:pt idx="1">
                  <c:v>4.5900000000000002E-10</c:v>
                </c:pt>
                <c:pt idx="2">
                  <c:v>3.5880000000000001E-7</c:v>
                </c:pt>
                <c:pt idx="3">
                  <c:v>3.2703500000000003E-5</c:v>
                </c:pt>
                <c:pt idx="4" formatCode="General">
                  <c:v>1.9000000000000001E-4</c:v>
                </c:pt>
                <c:pt idx="5" formatCode="General">
                  <c:v>8.4999999999999995E-4</c:v>
                </c:pt>
                <c:pt idx="6" formatCode="General">
                  <c:v>3.1700000000000001E-3</c:v>
                </c:pt>
                <c:pt idx="7" formatCode="General">
                  <c:v>1.0120000000000001E-2</c:v>
                </c:pt>
                <c:pt idx="8" formatCode="General">
                  <c:v>1.214E-2</c:v>
                </c:pt>
                <c:pt idx="9" formatCode="General">
                  <c:v>1.2565E-2</c:v>
                </c:pt>
                <c:pt idx="10" formatCode="General">
                  <c:v>1.4619999999999999E-2</c:v>
                </c:pt>
                <c:pt idx="11" formatCode="General">
                  <c:v>1.7479999999999999E-2</c:v>
                </c:pt>
                <c:pt idx="12" formatCode="General">
                  <c:v>2.1059999999999999E-2</c:v>
                </c:pt>
                <c:pt idx="13" formatCode="General">
                  <c:v>2.5610000000000001E-2</c:v>
                </c:pt>
                <c:pt idx="14" formatCode="General">
                  <c:v>2.6960000000000001E-2</c:v>
                </c:pt>
                <c:pt idx="15" formatCode="General">
                  <c:v>3.0290000000000001E-2</c:v>
                </c:pt>
                <c:pt idx="16" formatCode="General">
                  <c:v>3.678E-2</c:v>
                </c:pt>
                <c:pt idx="17" formatCode="General">
                  <c:v>4.1640000000000003E-2</c:v>
                </c:pt>
                <c:pt idx="18" formatCode="General">
                  <c:v>4.5019999999999998E-2</c:v>
                </c:pt>
                <c:pt idx="19" formatCode="General">
                  <c:v>5.3940000000000002E-2</c:v>
                </c:pt>
                <c:pt idx="20" formatCode="General">
                  <c:v>6.7849999999999994E-2</c:v>
                </c:pt>
                <c:pt idx="21" formatCode="General">
                  <c:v>8.6819999999999994E-2</c:v>
                </c:pt>
                <c:pt idx="22" formatCode="General">
                  <c:v>0.10034</c:v>
                </c:pt>
                <c:pt idx="23" formatCode="General">
                  <c:v>0.12716</c:v>
                </c:pt>
                <c:pt idx="24" formatCode="General">
                  <c:v>0.14682999999999999</c:v>
                </c:pt>
                <c:pt idx="25" formatCode="General">
                  <c:v>0.17751</c:v>
                </c:pt>
                <c:pt idx="26" formatCode="General">
                  <c:v>0.19273000000000001</c:v>
                </c:pt>
                <c:pt idx="27" formatCode="General">
                  <c:v>0.20754</c:v>
                </c:pt>
                <c:pt idx="28" formatCode="General">
                  <c:v>0.23111999999999999</c:v>
                </c:pt>
                <c:pt idx="29" formatCode="General">
                  <c:v>0.26371</c:v>
                </c:pt>
                <c:pt idx="30" formatCode="General">
                  <c:v>0.26740000000000003</c:v>
                </c:pt>
                <c:pt idx="31" formatCode="General">
                  <c:v>0.27511999999999998</c:v>
                </c:pt>
                <c:pt idx="32" formatCode="General">
                  <c:v>0.28261999999999998</c:v>
                </c:pt>
                <c:pt idx="33" formatCode="General">
                  <c:v>0.29220000000000002</c:v>
                </c:pt>
                <c:pt idx="34" formatCode="General">
                  <c:v>0.31089</c:v>
                </c:pt>
                <c:pt idx="35" formatCode="General">
                  <c:v>0.34433999999999998</c:v>
                </c:pt>
                <c:pt idx="36" formatCode="General">
                  <c:v>0.34927000000000002</c:v>
                </c:pt>
                <c:pt idx="37" formatCode="General">
                  <c:v>0.35376000000000002</c:v>
                </c:pt>
                <c:pt idx="38" formatCode="General">
                  <c:v>0.35677999999999999</c:v>
                </c:pt>
                <c:pt idx="39" formatCode="General">
                  <c:v>0.35830000000000001</c:v>
                </c:pt>
                <c:pt idx="40" formatCode="General">
                  <c:v>0.40949999999999998</c:v>
                </c:pt>
                <c:pt idx="41" formatCode="General">
                  <c:v>0.4118</c:v>
                </c:pt>
                <c:pt idx="42" formatCode="General">
                  <c:v>0.41208</c:v>
                </c:pt>
                <c:pt idx="43" formatCode="General">
                  <c:v>0.41410000000000002</c:v>
                </c:pt>
                <c:pt idx="44" formatCode="General">
                  <c:v>0.41526000000000002</c:v>
                </c:pt>
                <c:pt idx="45" formatCode="General">
                  <c:v>0.41583999999999999</c:v>
                </c:pt>
                <c:pt idx="46" formatCode="General">
                  <c:v>0.41642000000000001</c:v>
                </c:pt>
                <c:pt idx="47" formatCode="General">
                  <c:v>0.41758000000000001</c:v>
                </c:pt>
                <c:pt idx="48" formatCode="General">
                  <c:v>0.41875000000000001</c:v>
                </c:pt>
                <c:pt idx="49" formatCode="General">
                  <c:v>0.41961999999999999</c:v>
                </c:pt>
                <c:pt idx="50" formatCode="General">
                  <c:v>0.42373</c:v>
                </c:pt>
                <c:pt idx="51" formatCode="General">
                  <c:v>0.42431999999999997</c:v>
                </c:pt>
                <c:pt idx="52" formatCode="General">
                  <c:v>0.42520999999999998</c:v>
                </c:pt>
                <c:pt idx="53" formatCode="General">
                  <c:v>0.42729</c:v>
                </c:pt>
                <c:pt idx="54" formatCode="General">
                  <c:v>0.42876999999999998</c:v>
                </c:pt>
                <c:pt idx="55" formatCode="General">
                  <c:v>0.43086999999999998</c:v>
                </c:pt>
                <c:pt idx="56" formatCode="General">
                  <c:v>0.43841000000000002</c:v>
                </c:pt>
                <c:pt idx="57" formatCode="General">
                  <c:v>0.44024000000000002</c:v>
                </c:pt>
                <c:pt idx="58" formatCode="General">
                  <c:v>0.44361</c:v>
                </c:pt>
                <c:pt idx="59" formatCode="General">
                  <c:v>0.44452999999999998</c:v>
                </c:pt>
                <c:pt idx="60" formatCode="General">
                  <c:v>0.44514999999999999</c:v>
                </c:pt>
                <c:pt idx="61" formatCode="General">
                  <c:v>0.44546000000000002</c:v>
                </c:pt>
                <c:pt idx="62" formatCode="General">
                  <c:v>0.44730999999999999</c:v>
                </c:pt>
                <c:pt idx="63" formatCode="General">
                  <c:v>0.44917000000000001</c:v>
                </c:pt>
                <c:pt idx="64" formatCode="General">
                  <c:v>0.45041999999999999</c:v>
                </c:pt>
                <c:pt idx="65" formatCode="General">
                  <c:v>0.45229000000000003</c:v>
                </c:pt>
                <c:pt idx="66" formatCode="General">
                  <c:v>0.45606000000000002</c:v>
                </c:pt>
                <c:pt idx="67" formatCode="General">
                  <c:v>0.45954</c:v>
                </c:pt>
                <c:pt idx="68" formatCode="General">
                  <c:v>0.46145000000000003</c:v>
                </c:pt>
                <c:pt idx="69" formatCode="General">
                  <c:v>0.46464</c:v>
                </c:pt>
                <c:pt idx="70" formatCode="General">
                  <c:v>0.47434999999999999</c:v>
                </c:pt>
                <c:pt idx="71" formatCode="General">
                  <c:v>0.48391000000000001</c:v>
                </c:pt>
                <c:pt idx="72" formatCode="General">
                  <c:v>0.50390000000000001</c:v>
                </c:pt>
                <c:pt idx="73" formatCode="General">
                  <c:v>0.50875000000000004</c:v>
                </c:pt>
                <c:pt idx="74" formatCode="General">
                  <c:v>0.51049999999999995</c:v>
                </c:pt>
                <c:pt idx="75" formatCode="General">
                  <c:v>0.51295000000000002</c:v>
                </c:pt>
                <c:pt idx="76" formatCode="General">
                  <c:v>0.51400000000000001</c:v>
                </c:pt>
                <c:pt idx="77" formatCode="General">
                  <c:v>0.51434999999999997</c:v>
                </c:pt>
                <c:pt idx="78" formatCode="General">
                  <c:v>0.51576</c:v>
                </c:pt>
                <c:pt idx="79" formatCode="General">
                  <c:v>0.51751999999999998</c:v>
                </c:pt>
                <c:pt idx="80" formatCode="General">
                  <c:v>0.51788000000000001</c:v>
                </c:pt>
                <c:pt idx="81" formatCode="General">
                  <c:v>0.51798999999999995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28-4C93-8220-DC3B8220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218"/>
          <c:min val="74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9"/>
      </c:valAx>
      <c:valAx>
        <c:axId val="68417792"/>
        <c:scaling>
          <c:orientation val="minMax"/>
          <c:max val="0.60000000000000009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P [MPa]</a:t>
                </a:r>
              </a:p>
            </c:rich>
          </c:tx>
          <c:layout>
            <c:manualLayout>
              <c:xMode val="edge"/>
              <c:yMode val="edge"/>
              <c:x val="2.8372839876817831E-2"/>
              <c:y val="0.40937689418656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2611941285117137"/>
          <c:y val="9.4106907965175679E-2"/>
          <c:w val="0.30238903643731008"/>
          <c:h val="0.16466029158942544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'Err. rel.'!$Q$44</c:f>
              <c:strCache>
                <c:ptCount val="1"/>
                <c:pt idx="0">
                  <c:v> exp. data [5]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0000000000000014E-3"/>
          </c:errBars>
          <c:errBars>
            <c:errDir val="y"/>
            <c:errBarType val="both"/>
            <c:errValType val="percentage"/>
            <c:noEndCap val="0"/>
            <c:val val="5.0000000000000018E-3"/>
          </c:errBars>
          <c:xVal>
            <c:numRef>
              <c:f>Dati!$C$103:$C$201</c:f>
              <c:numCache>
                <c:formatCode>General</c:formatCode>
                <c:ptCount val="99"/>
                <c:pt idx="0">
                  <c:v>216.58</c:v>
                </c:pt>
                <c:pt idx="1">
                  <c:v>216.58</c:v>
                </c:pt>
                <c:pt idx="2">
                  <c:v>217</c:v>
                </c:pt>
                <c:pt idx="3">
                  <c:v>217</c:v>
                </c:pt>
                <c:pt idx="4">
                  <c:v>217</c:v>
                </c:pt>
                <c:pt idx="5">
                  <c:v>217</c:v>
                </c:pt>
                <c:pt idx="6">
                  <c:v>217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225</c:v>
                </c:pt>
                <c:pt idx="17">
                  <c:v>225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235</c:v>
                </c:pt>
                <c:pt idx="22">
                  <c:v>235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245</c:v>
                </c:pt>
                <c:pt idx="29">
                  <c:v>245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255</c:v>
                </c:pt>
                <c:pt idx="34">
                  <c:v>255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260</c:v>
                </c:pt>
                <c:pt idx="42">
                  <c:v>260</c:v>
                </c:pt>
                <c:pt idx="43">
                  <c:v>265</c:v>
                </c:pt>
                <c:pt idx="44">
                  <c:v>265</c:v>
                </c:pt>
                <c:pt idx="45">
                  <c:v>270</c:v>
                </c:pt>
                <c:pt idx="46">
                  <c:v>270</c:v>
                </c:pt>
                <c:pt idx="47">
                  <c:v>275</c:v>
                </c:pt>
                <c:pt idx="48">
                  <c:v>280</c:v>
                </c:pt>
                <c:pt idx="49">
                  <c:v>280</c:v>
                </c:pt>
                <c:pt idx="50">
                  <c:v>280</c:v>
                </c:pt>
                <c:pt idx="51">
                  <c:v>280</c:v>
                </c:pt>
                <c:pt idx="52">
                  <c:v>280</c:v>
                </c:pt>
                <c:pt idx="53">
                  <c:v>280</c:v>
                </c:pt>
                <c:pt idx="54">
                  <c:v>280</c:v>
                </c:pt>
                <c:pt idx="55">
                  <c:v>280</c:v>
                </c:pt>
                <c:pt idx="56">
                  <c:v>280</c:v>
                </c:pt>
                <c:pt idx="57">
                  <c:v>285</c:v>
                </c:pt>
                <c:pt idx="58">
                  <c:v>285</c:v>
                </c:pt>
                <c:pt idx="59">
                  <c:v>290</c:v>
                </c:pt>
                <c:pt idx="60">
                  <c:v>290</c:v>
                </c:pt>
                <c:pt idx="61">
                  <c:v>290</c:v>
                </c:pt>
                <c:pt idx="62">
                  <c:v>290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295</c:v>
                </c:pt>
                <c:pt idx="67">
                  <c:v>295</c:v>
                </c:pt>
                <c:pt idx="68">
                  <c:v>297</c:v>
                </c:pt>
                <c:pt idx="69">
                  <c:v>297</c:v>
                </c:pt>
                <c:pt idx="70">
                  <c:v>299</c:v>
                </c:pt>
                <c:pt idx="71">
                  <c:v>299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301</c:v>
                </c:pt>
                <c:pt idx="78">
                  <c:v>301</c:v>
                </c:pt>
                <c:pt idx="79">
                  <c:v>302</c:v>
                </c:pt>
                <c:pt idx="80">
                  <c:v>302</c:v>
                </c:pt>
                <c:pt idx="81">
                  <c:v>302</c:v>
                </c:pt>
                <c:pt idx="82">
                  <c:v>302.5</c:v>
                </c:pt>
                <c:pt idx="83">
                  <c:v>302.5</c:v>
                </c:pt>
                <c:pt idx="84">
                  <c:v>302.5</c:v>
                </c:pt>
                <c:pt idx="85">
                  <c:v>303</c:v>
                </c:pt>
                <c:pt idx="86">
                  <c:v>303</c:v>
                </c:pt>
                <c:pt idx="87">
                  <c:v>303</c:v>
                </c:pt>
                <c:pt idx="88">
                  <c:v>303.39999999999998</c:v>
                </c:pt>
                <c:pt idx="89">
                  <c:v>303.39999999999998</c:v>
                </c:pt>
                <c:pt idx="90">
                  <c:v>303.39999999999998</c:v>
                </c:pt>
                <c:pt idx="91">
                  <c:v>303.60000000000002</c:v>
                </c:pt>
                <c:pt idx="92">
                  <c:v>303.60000000000002</c:v>
                </c:pt>
                <c:pt idx="93">
                  <c:v>303.8</c:v>
                </c:pt>
                <c:pt idx="94">
                  <c:v>303.8</c:v>
                </c:pt>
                <c:pt idx="95">
                  <c:v>303.89999999999998</c:v>
                </c:pt>
                <c:pt idx="96">
                  <c:v>304</c:v>
                </c:pt>
                <c:pt idx="97">
                  <c:v>304</c:v>
                </c:pt>
                <c:pt idx="98">
                  <c:v>304.10000000000002</c:v>
                </c:pt>
              </c:numCache>
            </c:numRef>
          </c:xVal>
          <c:yVal>
            <c:numRef>
              <c:f>Dati!$D$103:$D$201</c:f>
              <c:numCache>
                <c:formatCode>General</c:formatCode>
                <c:ptCount val="99"/>
                <c:pt idx="0">
                  <c:v>0.51793999999999996</c:v>
                </c:pt>
                <c:pt idx="1">
                  <c:v>0.51795999999999998</c:v>
                </c:pt>
                <c:pt idx="2">
                  <c:v>0.52746999999999999</c:v>
                </c:pt>
                <c:pt idx="3">
                  <c:v>0.52746000000000004</c:v>
                </c:pt>
                <c:pt idx="4">
                  <c:v>0.52744000000000002</c:v>
                </c:pt>
                <c:pt idx="5">
                  <c:v>0.52746999999999999</c:v>
                </c:pt>
                <c:pt idx="6">
                  <c:v>0.52742999999999995</c:v>
                </c:pt>
                <c:pt idx="7">
                  <c:v>0.59936999999999996</c:v>
                </c:pt>
                <c:pt idx="8">
                  <c:v>0.59938000000000002</c:v>
                </c:pt>
                <c:pt idx="9">
                  <c:v>0.59936</c:v>
                </c:pt>
                <c:pt idx="10">
                  <c:v>0.59938000000000002</c:v>
                </c:pt>
                <c:pt idx="11">
                  <c:v>0.59941</c:v>
                </c:pt>
                <c:pt idx="12">
                  <c:v>0.59936999999999996</c:v>
                </c:pt>
                <c:pt idx="13">
                  <c:v>0.59936</c:v>
                </c:pt>
                <c:pt idx="14">
                  <c:v>0.59940000000000004</c:v>
                </c:pt>
                <c:pt idx="15">
                  <c:v>0.59941999999999995</c:v>
                </c:pt>
                <c:pt idx="16">
                  <c:v>0.73533999999999999</c:v>
                </c:pt>
                <c:pt idx="17">
                  <c:v>0.73536000000000001</c:v>
                </c:pt>
                <c:pt idx="18">
                  <c:v>0.89324000000000003</c:v>
                </c:pt>
                <c:pt idx="19">
                  <c:v>0.89319999999999999</c:v>
                </c:pt>
                <c:pt idx="20">
                  <c:v>0.89324000000000003</c:v>
                </c:pt>
                <c:pt idx="21">
                  <c:v>1.07498</c:v>
                </c:pt>
                <c:pt idx="22">
                  <c:v>1.0749599999999999</c:v>
                </c:pt>
                <c:pt idx="23">
                  <c:v>1.2827500000000001</c:v>
                </c:pt>
                <c:pt idx="24">
                  <c:v>1.2827999999999999</c:v>
                </c:pt>
                <c:pt idx="25">
                  <c:v>1.28284</c:v>
                </c:pt>
                <c:pt idx="26">
                  <c:v>1.28285</c:v>
                </c:pt>
                <c:pt idx="27">
                  <c:v>1.2827900000000001</c:v>
                </c:pt>
                <c:pt idx="28">
                  <c:v>1.5188699999999999</c:v>
                </c:pt>
                <c:pt idx="29">
                  <c:v>1.51884</c:v>
                </c:pt>
                <c:pt idx="30">
                  <c:v>1.7853399999999999</c:v>
                </c:pt>
                <c:pt idx="31">
                  <c:v>1.7852600000000001</c:v>
                </c:pt>
                <c:pt idx="32">
                  <c:v>1.78532</c:v>
                </c:pt>
                <c:pt idx="33">
                  <c:v>2.0845600000000002</c:v>
                </c:pt>
                <c:pt idx="34">
                  <c:v>2.0844800000000001</c:v>
                </c:pt>
                <c:pt idx="35">
                  <c:v>2.41893</c:v>
                </c:pt>
                <c:pt idx="36">
                  <c:v>2.4189400000000001</c:v>
                </c:pt>
                <c:pt idx="37">
                  <c:v>2.4189600000000002</c:v>
                </c:pt>
                <c:pt idx="38">
                  <c:v>2.4188999999999998</c:v>
                </c:pt>
                <c:pt idx="39">
                  <c:v>2.4188499999999999</c:v>
                </c:pt>
                <c:pt idx="40">
                  <c:v>2.4188900000000002</c:v>
                </c:pt>
                <c:pt idx="41">
                  <c:v>2.4188800000000001</c:v>
                </c:pt>
                <c:pt idx="42">
                  <c:v>2.41892</c:v>
                </c:pt>
                <c:pt idx="43">
                  <c:v>2.7909799999999998</c:v>
                </c:pt>
                <c:pt idx="44">
                  <c:v>2.79095</c:v>
                </c:pt>
                <c:pt idx="45">
                  <c:v>3.2033200000000002</c:v>
                </c:pt>
                <c:pt idx="46">
                  <c:v>3.20329</c:v>
                </c:pt>
                <c:pt idx="47">
                  <c:v>3.6588099999999999</c:v>
                </c:pt>
                <c:pt idx="48">
                  <c:v>4.1606199999999998</c:v>
                </c:pt>
                <c:pt idx="49">
                  <c:v>4.1604700000000001</c:v>
                </c:pt>
                <c:pt idx="50">
                  <c:v>4.1605999999999996</c:v>
                </c:pt>
                <c:pt idx="51">
                  <c:v>4.1605800000000004</c:v>
                </c:pt>
                <c:pt idx="52">
                  <c:v>4.1605600000000003</c:v>
                </c:pt>
                <c:pt idx="53">
                  <c:v>4.1605100000000004</c:v>
                </c:pt>
                <c:pt idx="54">
                  <c:v>4.1605499999999997</c:v>
                </c:pt>
                <c:pt idx="55">
                  <c:v>4.1604999999999999</c:v>
                </c:pt>
                <c:pt idx="56">
                  <c:v>4.1606300000000003</c:v>
                </c:pt>
                <c:pt idx="57">
                  <c:v>4.7118399999999996</c:v>
                </c:pt>
                <c:pt idx="58">
                  <c:v>4.7119299999999997</c:v>
                </c:pt>
                <c:pt idx="59">
                  <c:v>5.3172100000000002</c:v>
                </c:pt>
                <c:pt idx="60">
                  <c:v>5.3173599999999999</c:v>
                </c:pt>
                <c:pt idx="61">
                  <c:v>5.3171900000000001</c:v>
                </c:pt>
                <c:pt idx="62">
                  <c:v>5.3171799999999996</c:v>
                </c:pt>
                <c:pt idx="63">
                  <c:v>5.9813999999999998</c:v>
                </c:pt>
                <c:pt idx="64">
                  <c:v>5.9815699999999996</c:v>
                </c:pt>
                <c:pt idx="65">
                  <c:v>5.9815100000000001</c:v>
                </c:pt>
                <c:pt idx="66">
                  <c:v>5.9814499999999997</c:v>
                </c:pt>
                <c:pt idx="67">
                  <c:v>5.9814800000000004</c:v>
                </c:pt>
                <c:pt idx="68">
                  <c:v>6.2650699999999997</c:v>
                </c:pt>
                <c:pt idx="69">
                  <c:v>6.2653600000000003</c:v>
                </c:pt>
                <c:pt idx="70">
                  <c:v>6.5598000000000001</c:v>
                </c:pt>
                <c:pt idx="71">
                  <c:v>6.5603400000000001</c:v>
                </c:pt>
                <c:pt idx="72">
                  <c:v>6.7117599999999999</c:v>
                </c:pt>
                <c:pt idx="73">
                  <c:v>6.7123400000000002</c:v>
                </c:pt>
                <c:pt idx="74">
                  <c:v>6.7122599999999997</c:v>
                </c:pt>
                <c:pt idx="75">
                  <c:v>6.71225</c:v>
                </c:pt>
                <c:pt idx="76">
                  <c:v>6.7121199999999996</c:v>
                </c:pt>
                <c:pt idx="77">
                  <c:v>6.867</c:v>
                </c:pt>
                <c:pt idx="78">
                  <c:v>6.8673700000000002</c:v>
                </c:pt>
                <c:pt idx="79">
                  <c:v>7.0254700000000003</c:v>
                </c:pt>
                <c:pt idx="80">
                  <c:v>7.0258500000000002</c:v>
                </c:pt>
                <c:pt idx="81">
                  <c:v>7.0258000000000003</c:v>
                </c:pt>
                <c:pt idx="82">
                  <c:v>7.1058599999999998</c:v>
                </c:pt>
                <c:pt idx="83">
                  <c:v>7.1063099999999997</c:v>
                </c:pt>
                <c:pt idx="84">
                  <c:v>7.1058199999999996</c:v>
                </c:pt>
                <c:pt idx="85">
                  <c:v>7.1873399999999998</c:v>
                </c:pt>
                <c:pt idx="86">
                  <c:v>7.1879299999999997</c:v>
                </c:pt>
                <c:pt idx="87">
                  <c:v>7.1878099999999998</c:v>
                </c:pt>
                <c:pt idx="88">
                  <c:v>7.2535999999999996</c:v>
                </c:pt>
                <c:pt idx="89">
                  <c:v>7.2538799999999997</c:v>
                </c:pt>
                <c:pt idx="90">
                  <c:v>7.2539999999999996</c:v>
                </c:pt>
                <c:pt idx="91">
                  <c:v>7.2868399999999998</c:v>
                </c:pt>
                <c:pt idx="92">
                  <c:v>7.2870799999999996</c:v>
                </c:pt>
                <c:pt idx="93">
                  <c:v>7.32029</c:v>
                </c:pt>
                <c:pt idx="94">
                  <c:v>7.3204399999999996</c:v>
                </c:pt>
                <c:pt idx="95">
                  <c:v>7.3372900000000003</c:v>
                </c:pt>
                <c:pt idx="96">
                  <c:v>7.3540299999999998</c:v>
                </c:pt>
                <c:pt idx="97">
                  <c:v>7.3541499999999997</c:v>
                </c:pt>
                <c:pt idx="98">
                  <c:v>7.3709899999999999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4B-49AF-B879-BD819E6F3FE7}"/>
            </c:ext>
          </c:extLst>
        </c:ser>
        <c:ser>
          <c:idx val="3"/>
          <c:order val="1"/>
          <c:tx>
            <c:strRef>
              <c:f>'Err. rel.'!$K$44</c:f>
              <c:strCache>
                <c:ptCount val="1"/>
                <c:pt idx="0">
                  <c:v> Saturation line (Corr. Eq. [1])</c:v>
                </c:pt>
              </c:strCache>
            </c:strRef>
          </c:tx>
          <c:spPr>
            <a:ln>
              <a:solidFill>
                <a:srgbClr val="FF0000"/>
              </a:solidFill>
              <a:prstDash val="dashDot"/>
            </a:ln>
          </c:spPr>
          <c:marker>
            <c:symbol val="none"/>
          </c:marker>
          <c:xVal>
            <c:numRef>
              <c:f>Dati!$P$39:$P$70</c:f>
              <c:numCache>
                <c:formatCode>0</c:formatCode>
                <c:ptCount val="32"/>
                <c:pt idx="0" formatCode="0.00">
                  <c:v>216.59200000000001</c:v>
                </c:pt>
                <c:pt idx="1">
                  <c:v>217</c:v>
                </c:pt>
                <c:pt idx="2">
                  <c:v>220</c:v>
                </c:pt>
                <c:pt idx="3" formatCode="General">
                  <c:v>225</c:v>
                </c:pt>
                <c:pt idx="4" formatCode="General">
                  <c:v>230</c:v>
                </c:pt>
                <c:pt idx="5" formatCode="General">
                  <c:v>235</c:v>
                </c:pt>
                <c:pt idx="6" formatCode="General">
                  <c:v>240</c:v>
                </c:pt>
                <c:pt idx="7" formatCode="General">
                  <c:v>245</c:v>
                </c:pt>
                <c:pt idx="8" formatCode="General">
                  <c:v>250</c:v>
                </c:pt>
                <c:pt idx="9" formatCode="General">
                  <c:v>255</c:v>
                </c:pt>
                <c:pt idx="10" formatCode="General">
                  <c:v>260</c:v>
                </c:pt>
                <c:pt idx="11" formatCode="General">
                  <c:v>265</c:v>
                </c:pt>
                <c:pt idx="12" formatCode="General">
                  <c:v>270</c:v>
                </c:pt>
                <c:pt idx="13" formatCode="General">
                  <c:v>275</c:v>
                </c:pt>
                <c:pt idx="14" formatCode="General">
                  <c:v>280</c:v>
                </c:pt>
                <c:pt idx="15" formatCode="General">
                  <c:v>285</c:v>
                </c:pt>
                <c:pt idx="16" formatCode="General">
                  <c:v>290</c:v>
                </c:pt>
                <c:pt idx="17" formatCode="General">
                  <c:v>295</c:v>
                </c:pt>
                <c:pt idx="18" formatCode="General">
                  <c:v>297</c:v>
                </c:pt>
                <c:pt idx="19" formatCode="General">
                  <c:v>299</c:v>
                </c:pt>
                <c:pt idx="20" formatCode="General">
                  <c:v>300</c:v>
                </c:pt>
                <c:pt idx="21" formatCode="General">
                  <c:v>301</c:v>
                </c:pt>
                <c:pt idx="22" formatCode="General">
                  <c:v>302</c:v>
                </c:pt>
                <c:pt idx="23" formatCode="General">
                  <c:v>302.5</c:v>
                </c:pt>
                <c:pt idx="24" formatCode="General">
                  <c:v>303</c:v>
                </c:pt>
                <c:pt idx="25" formatCode="General">
                  <c:v>303.39999999999998</c:v>
                </c:pt>
                <c:pt idx="26" formatCode="General">
                  <c:v>303.60000000000002</c:v>
                </c:pt>
                <c:pt idx="27" formatCode="General">
                  <c:v>303.8</c:v>
                </c:pt>
                <c:pt idx="28" formatCode="General">
                  <c:v>303.89999999999998</c:v>
                </c:pt>
                <c:pt idx="29" formatCode="General">
                  <c:v>304</c:v>
                </c:pt>
                <c:pt idx="30" formatCode="General">
                  <c:v>304.10000000000002</c:v>
                </c:pt>
                <c:pt idx="31" formatCode="0.00">
                  <c:v>304.12819999999999</c:v>
                </c:pt>
              </c:numCache>
            </c:numRef>
          </c:xVal>
          <c:yVal>
            <c:numRef>
              <c:f>Dati!$Q$39:$Q$70</c:f>
              <c:numCache>
                <c:formatCode>General</c:formatCode>
                <c:ptCount val="32"/>
                <c:pt idx="0">
                  <c:v>0.51795000000000002</c:v>
                </c:pt>
                <c:pt idx="1">
                  <c:v>0.52721322780292745</c:v>
                </c:pt>
                <c:pt idx="2">
                  <c:v>0.59912789711238545</c:v>
                </c:pt>
                <c:pt idx="3">
                  <c:v>0.73508900227401175</c:v>
                </c:pt>
                <c:pt idx="4">
                  <c:v>0.89292261912453497</c:v>
                </c:pt>
                <c:pt idx="5">
                  <c:v>1.0746892282713261</c:v>
                </c:pt>
                <c:pt idx="6">
                  <c:v>1.2825037568404196</c:v>
                </c:pt>
                <c:pt idx="7">
                  <c:v>1.5185384414622787</c:v>
                </c:pt>
                <c:pt idx="8">
                  <c:v>1.7850290653665548</c:v>
                </c:pt>
                <c:pt idx="9">
                  <c:v>2.0842852342942773</c:v>
                </c:pt>
                <c:pt idx="10">
                  <c:v>2.4187057550446407</c:v>
                </c:pt>
                <c:pt idx="11">
                  <c:v>2.7908008757345892</c:v>
                </c:pt>
                <c:pt idx="12">
                  <c:v>3.2032243859797105</c:v>
                </c:pt>
                <c:pt idx="13">
                  <c:v>3.6588208974763661</c:v>
                </c:pt>
                <c:pt idx="14">
                  <c:v>4.1606983126636461</c:v>
                </c:pt>
                <c:pt idx="15">
                  <c:v>4.712345960460719</c:v>
                </c:pt>
                <c:pt idx="16">
                  <c:v>5.3178458116826866</c:v>
                </c:pt>
                <c:pt idx="17">
                  <c:v>5.9823096345263096</c:v>
                </c:pt>
                <c:pt idx="18">
                  <c:v>6.2661109089253992</c:v>
                </c:pt>
                <c:pt idx="19">
                  <c:v>6.5611059009308415</c:v>
                </c:pt>
                <c:pt idx="20">
                  <c:v>6.7130657327416188</c:v>
                </c:pt>
                <c:pt idx="21">
                  <c:v>6.8681926026531919</c:v>
                </c:pt>
                <c:pt idx="22">
                  <c:v>7.0266931453300883</c:v>
                </c:pt>
                <c:pt idx="23">
                  <c:v>7.1073007410630078</c:v>
                </c:pt>
                <c:pt idx="24">
                  <c:v>7.1888881766182164</c:v>
                </c:pt>
                <c:pt idx="25">
                  <c:v>7.2549251098506318</c:v>
                </c:pt>
                <c:pt idx="26">
                  <c:v>7.288225234906184</c:v>
                </c:pt>
                <c:pt idx="27">
                  <c:v>7.32173527580753</c:v>
                </c:pt>
                <c:pt idx="28">
                  <c:v>7.3385782941944697</c:v>
                </c:pt>
                <c:pt idx="29">
                  <c:v>7.3554890970538933</c:v>
                </c:pt>
                <c:pt idx="30">
                  <c:v>7.3724842361861835</c:v>
                </c:pt>
                <c:pt idx="31">
                  <c:v>7.3773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4B-49AF-B879-BD819E6F3FE7}"/>
            </c:ext>
          </c:extLst>
        </c:ser>
        <c:ser>
          <c:idx val="7"/>
          <c:order val="2"/>
          <c:tx>
            <c:strRef>
              <c:f>'Err. rel.'!$N$44</c:f>
              <c:strCache>
                <c:ptCount val="1"/>
                <c:pt idx="0">
                  <c:v> Saturation line (EoS model)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'Calcoli eqilib.'!$D$95:$D$127</c:f>
              <c:numCache>
                <c:formatCode>General</c:formatCode>
                <c:ptCount val="33"/>
                <c:pt idx="0">
                  <c:v>216.5932799</c:v>
                </c:pt>
                <c:pt idx="1">
                  <c:v>217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  <c:pt idx="5">
                  <c:v>235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255</c:v>
                </c:pt>
                <c:pt idx="10">
                  <c:v>260</c:v>
                </c:pt>
                <c:pt idx="11">
                  <c:v>265</c:v>
                </c:pt>
                <c:pt idx="12">
                  <c:v>270</c:v>
                </c:pt>
                <c:pt idx="13">
                  <c:v>275</c:v>
                </c:pt>
                <c:pt idx="14">
                  <c:v>280</c:v>
                </c:pt>
                <c:pt idx="15">
                  <c:v>285</c:v>
                </c:pt>
                <c:pt idx="16">
                  <c:v>290</c:v>
                </c:pt>
                <c:pt idx="17">
                  <c:v>295</c:v>
                </c:pt>
                <c:pt idx="18">
                  <c:v>297</c:v>
                </c:pt>
                <c:pt idx="19">
                  <c:v>299</c:v>
                </c:pt>
                <c:pt idx="20">
                  <c:v>300</c:v>
                </c:pt>
                <c:pt idx="21">
                  <c:v>301</c:v>
                </c:pt>
                <c:pt idx="22">
                  <c:v>302</c:v>
                </c:pt>
                <c:pt idx="23">
                  <c:v>302.5</c:v>
                </c:pt>
                <c:pt idx="24">
                  <c:v>303</c:v>
                </c:pt>
                <c:pt idx="25">
                  <c:v>303.39999999999998</c:v>
                </c:pt>
                <c:pt idx="26">
                  <c:v>303.60000000000002</c:v>
                </c:pt>
                <c:pt idx="27">
                  <c:v>303.8</c:v>
                </c:pt>
                <c:pt idx="28">
                  <c:v>303.89999999999998</c:v>
                </c:pt>
                <c:pt idx="29">
                  <c:v>304</c:v>
                </c:pt>
                <c:pt idx="30">
                  <c:v>304.10000000000002</c:v>
                </c:pt>
                <c:pt idx="31">
                  <c:v>304.12</c:v>
                </c:pt>
                <c:pt idx="32">
                  <c:v>304.12700000000001</c:v>
                </c:pt>
              </c:numCache>
            </c:numRef>
          </c:xVal>
          <c:yVal>
            <c:numRef>
              <c:f>'Calcoli eqilib.'!$E$95:$E$127</c:f>
              <c:numCache>
                <c:formatCode>General</c:formatCode>
                <c:ptCount val="33"/>
                <c:pt idx="0">
                  <c:v>0.51798999999999995</c:v>
                </c:pt>
                <c:pt idx="1">
                  <c:v>0.52722000000000002</c:v>
                </c:pt>
                <c:pt idx="2">
                  <c:v>0.59913000000000005</c:v>
                </c:pt>
                <c:pt idx="3">
                  <c:v>0.73509000000000002</c:v>
                </c:pt>
                <c:pt idx="4">
                  <c:v>0.89290999999999998</c:v>
                </c:pt>
                <c:pt idx="5">
                  <c:v>1.07467</c:v>
                </c:pt>
                <c:pt idx="6">
                  <c:v>1.2824800000000001</c:v>
                </c:pt>
                <c:pt idx="7">
                  <c:v>1.5185299999999999</c:v>
                </c:pt>
                <c:pt idx="8">
                  <c:v>1.78505</c:v>
                </c:pt>
                <c:pt idx="9">
                  <c:v>2.0843400000000001</c:v>
                </c:pt>
                <c:pt idx="10">
                  <c:v>2.4188000000000001</c:v>
                </c:pt>
                <c:pt idx="11">
                  <c:v>2.7909199999999998</c:v>
                </c:pt>
                <c:pt idx="12">
                  <c:v>3.2033499999999999</c:v>
                </c:pt>
                <c:pt idx="13">
                  <c:v>3.6589200000000002</c:v>
                </c:pt>
                <c:pt idx="14">
                  <c:v>4.1607399999999997</c:v>
                </c:pt>
                <c:pt idx="15">
                  <c:v>4.7123499999999998</c:v>
                </c:pt>
                <c:pt idx="16">
                  <c:v>5.3180399999999999</c:v>
                </c:pt>
                <c:pt idx="17">
                  <c:v>5.9835700000000003</c:v>
                </c:pt>
                <c:pt idx="18">
                  <c:v>6.2681500000000003</c:v>
                </c:pt>
                <c:pt idx="19">
                  <c:v>6.5638500000000004</c:v>
                </c:pt>
                <c:pt idx="20">
                  <c:v>6.7158499999999997</c:v>
                </c:pt>
                <c:pt idx="21">
                  <c:v>6.8705800000000004</c:v>
                </c:pt>
                <c:pt idx="22">
                  <c:v>7.0282</c:v>
                </c:pt>
                <c:pt idx="23">
                  <c:v>7.1082799999999997</c:v>
                </c:pt>
                <c:pt idx="24">
                  <c:v>7.1894099999999996</c:v>
                </c:pt>
                <c:pt idx="25">
                  <c:v>7.2551800000000002</c:v>
                </c:pt>
                <c:pt idx="26">
                  <c:v>7.2883899999999997</c:v>
                </c:pt>
                <c:pt idx="27">
                  <c:v>7.3218399999999999</c:v>
                </c:pt>
                <c:pt idx="28">
                  <c:v>7.3386500000000003</c:v>
                </c:pt>
                <c:pt idx="29">
                  <c:v>7.3555400000000004</c:v>
                </c:pt>
                <c:pt idx="30">
                  <c:v>7.3724999999999996</c:v>
                </c:pt>
                <c:pt idx="31">
                  <c:v>7.3759100000000002</c:v>
                </c:pt>
                <c:pt idx="32">
                  <c:v>7.3807900000000002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D4B-49AF-B879-BD819E6F3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306"/>
          <c:min val="216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10"/>
      </c:valAx>
      <c:valAx>
        <c:axId val="68417792"/>
        <c:scaling>
          <c:orientation val="minMax"/>
          <c:max val="8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P [MPa]</a:t>
                </a:r>
              </a:p>
            </c:rich>
          </c:tx>
          <c:layout>
            <c:manualLayout>
              <c:xMode val="edge"/>
              <c:yMode val="edge"/>
              <c:x val="2.8372839876817831E-2"/>
              <c:y val="0.40937689418656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599594502357334"/>
          <c:y val="9.1227246702153597E-2"/>
          <c:w val="0.31527252275283774"/>
          <c:h val="0.1502323325808454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6"/>
          <c:order val="0"/>
          <c:tx>
            <c:strRef>
              <c:f>'Err. rel.'!$Q$15</c:f>
              <c:strCache>
                <c:ptCount val="1"/>
                <c:pt idx="0">
                  <c:v> exp. data [4]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Dati!$D$74:$D$98</c:f>
              <c:numCache>
                <c:formatCode>0.00</c:formatCode>
                <c:ptCount val="25"/>
                <c:pt idx="0">
                  <c:v>216.64000000000001</c:v>
                </c:pt>
                <c:pt idx="1">
                  <c:v>216.97</c:v>
                </c:pt>
                <c:pt idx="2">
                  <c:v>216.99</c:v>
                </c:pt>
                <c:pt idx="3">
                  <c:v>217.1</c:v>
                </c:pt>
                <c:pt idx="4">
                  <c:v>217.29000000000002</c:v>
                </c:pt>
                <c:pt idx="5">
                  <c:v>217.31</c:v>
                </c:pt>
                <c:pt idx="6">
                  <c:v>217.52</c:v>
                </c:pt>
                <c:pt idx="7">
                  <c:v>217.66</c:v>
                </c:pt>
                <c:pt idx="8" formatCode="General">
                  <c:v>218.81</c:v>
                </c:pt>
                <c:pt idx="9" formatCode="General">
                  <c:v>218.95000000000002</c:v>
                </c:pt>
                <c:pt idx="10" formatCode="General">
                  <c:v>219.98000000000002</c:v>
                </c:pt>
                <c:pt idx="11" formatCode="General">
                  <c:v>219.99</c:v>
                </c:pt>
                <c:pt idx="12" formatCode="General">
                  <c:v>221.94</c:v>
                </c:pt>
                <c:pt idx="13" formatCode="General">
                  <c:v>222.03</c:v>
                </c:pt>
                <c:pt idx="14" formatCode="General">
                  <c:v>226.25</c:v>
                </c:pt>
                <c:pt idx="15" formatCode="General">
                  <c:v>235.25</c:v>
                </c:pt>
                <c:pt idx="16" formatCode="General">
                  <c:v>242.65</c:v>
                </c:pt>
                <c:pt idx="17">
                  <c:v>242.66</c:v>
                </c:pt>
                <c:pt idx="18">
                  <c:v>252.25</c:v>
                </c:pt>
                <c:pt idx="19">
                  <c:v>259.08999999999997</c:v>
                </c:pt>
                <c:pt idx="20">
                  <c:v>259.2</c:v>
                </c:pt>
                <c:pt idx="21">
                  <c:v>261.62</c:v>
                </c:pt>
                <c:pt idx="22">
                  <c:v>261.62</c:v>
                </c:pt>
                <c:pt idx="23">
                  <c:v>265.66999999999996</c:v>
                </c:pt>
                <c:pt idx="24">
                  <c:v>266</c:v>
                </c:pt>
              </c:numCache>
            </c:numRef>
          </c:xVal>
          <c:yVal>
            <c:numRef>
              <c:f>Dati!$F$74:$F$98</c:f>
              <c:numCache>
                <c:formatCode>General</c:formatCode>
                <c:ptCount val="25"/>
                <c:pt idx="0">
                  <c:v>0.93218999999999996</c:v>
                </c:pt>
                <c:pt idx="1">
                  <c:v>2.6243174999999996</c:v>
                </c:pt>
                <c:pt idx="2">
                  <c:v>2.573655</c:v>
                </c:pt>
                <c:pt idx="3">
                  <c:v>3.1714725000000001</c:v>
                </c:pt>
                <c:pt idx="4">
                  <c:v>4.1036624999999995</c:v>
                </c:pt>
                <c:pt idx="5">
                  <c:v>4.1036624999999995</c:v>
                </c:pt>
                <c:pt idx="6">
                  <c:v>5.0459849999999999</c:v>
                </c:pt>
                <c:pt idx="7">
                  <c:v>5.7856575000000001</c:v>
                </c:pt>
                <c:pt idx="8">
                  <c:v>11.1356175</c:v>
                </c:pt>
                <c:pt idx="9">
                  <c:v>11.7537</c:v>
                </c:pt>
                <c:pt idx="10">
                  <c:v>16.799685</c:v>
                </c:pt>
                <c:pt idx="11">
                  <c:v>16.799685</c:v>
                </c:pt>
                <c:pt idx="12">
                  <c:v>26.192512499999999</c:v>
                </c:pt>
                <c:pt idx="13">
                  <c:v>26.699137499999999</c:v>
                </c:pt>
                <c:pt idx="14">
                  <c:v>47.936857500000002</c:v>
                </c:pt>
                <c:pt idx="15">
                  <c:v>95.863582500000007</c:v>
                </c:pt>
                <c:pt idx="16">
                  <c:v>138.06544499999998</c:v>
                </c:pt>
                <c:pt idx="17">
                  <c:v>138.06544499999998</c:v>
                </c:pt>
                <c:pt idx="18">
                  <c:v>195.96254999999999</c:v>
                </c:pt>
                <c:pt idx="19">
                  <c:v>240.24157499999998</c:v>
                </c:pt>
                <c:pt idx="20">
                  <c:v>241.13323500000001</c:v>
                </c:pt>
                <c:pt idx="21">
                  <c:v>257.04126000000002</c:v>
                </c:pt>
                <c:pt idx="22">
                  <c:v>257.04126000000002</c:v>
                </c:pt>
                <c:pt idx="23">
                  <c:v>284.27742000000001</c:v>
                </c:pt>
                <c:pt idx="24">
                  <c:v>286.770015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3D-4609-9C51-9E34C813781C}"/>
            </c:ext>
          </c:extLst>
        </c:ser>
        <c:ser>
          <c:idx val="2"/>
          <c:order val="1"/>
          <c:tx>
            <c:strRef>
              <c:f>'Err. rel.'!$N$15</c:f>
              <c:strCache>
                <c:ptCount val="1"/>
                <c:pt idx="0">
                  <c:v> Melting line (Corr. Eq. [1])</c:v>
                </c:pt>
              </c:strCache>
            </c:strRef>
          </c:tx>
          <c:spPr>
            <a:ln w="19050">
              <a:solidFill>
                <a:schemeClr val="tx1"/>
              </a:solidFill>
              <a:prstDash val="dashDot"/>
            </a:ln>
          </c:spPr>
          <c:marker>
            <c:symbol val="none"/>
          </c:marker>
          <c:xVal>
            <c:numRef>
              <c:f>'Calcoli eqilib.'!$B$64:$B$89</c:f>
              <c:numCache>
                <c:formatCode>0.00</c:formatCode>
                <c:ptCount val="26"/>
                <c:pt idx="0" formatCode="#,##0.00">
                  <c:v>216.59200000000001</c:v>
                </c:pt>
                <c:pt idx="1">
                  <c:v>216.8</c:v>
                </c:pt>
                <c:pt idx="2">
                  <c:v>217</c:v>
                </c:pt>
                <c:pt idx="3">
                  <c:v>217.3</c:v>
                </c:pt>
                <c:pt idx="4">
                  <c:v>217.7</c:v>
                </c:pt>
                <c:pt idx="5">
                  <c:v>217.9</c:v>
                </c:pt>
                <c:pt idx="6">
                  <c:v>218</c:v>
                </c:pt>
                <c:pt idx="7">
                  <c:v>218.2</c:v>
                </c:pt>
                <c:pt idx="8">
                  <c:v>218.5</c:v>
                </c:pt>
                <c:pt idx="9">
                  <c:v>218.60006999999999</c:v>
                </c:pt>
                <c:pt idx="10" formatCode="General">
                  <c:v>218.81</c:v>
                </c:pt>
                <c:pt idx="11" formatCode="General">
                  <c:v>218.95</c:v>
                </c:pt>
                <c:pt idx="12" formatCode="General">
                  <c:v>219.98</c:v>
                </c:pt>
                <c:pt idx="13" formatCode="General">
                  <c:v>219.99</c:v>
                </c:pt>
                <c:pt idx="14" formatCode="General">
                  <c:v>221.94</c:v>
                </c:pt>
                <c:pt idx="15" formatCode="General">
                  <c:v>222.03</c:v>
                </c:pt>
                <c:pt idx="16" formatCode="General">
                  <c:v>226.25</c:v>
                </c:pt>
                <c:pt idx="17" formatCode="General">
                  <c:v>235.25</c:v>
                </c:pt>
                <c:pt idx="18" formatCode="General">
                  <c:v>242.65</c:v>
                </c:pt>
                <c:pt idx="19" formatCode="General">
                  <c:v>242.66</c:v>
                </c:pt>
                <c:pt idx="20" formatCode="General">
                  <c:v>252.25</c:v>
                </c:pt>
                <c:pt idx="21" formatCode="General">
                  <c:v>259.08999999999997</c:v>
                </c:pt>
                <c:pt idx="22" formatCode="General">
                  <c:v>259.2</c:v>
                </c:pt>
                <c:pt idx="23" formatCode="General">
                  <c:v>261.62</c:v>
                </c:pt>
                <c:pt idx="24" formatCode="General">
                  <c:v>265.67</c:v>
                </c:pt>
                <c:pt idx="25" formatCode="General">
                  <c:v>266</c:v>
                </c:pt>
              </c:numCache>
            </c:numRef>
          </c:xVal>
          <c:yVal>
            <c:numRef>
              <c:f>'Calcoli eqilib.'!$L$64:$L$89</c:f>
              <c:numCache>
                <c:formatCode>General</c:formatCode>
                <c:ptCount val="26"/>
                <c:pt idx="0">
                  <c:v>0.51795000000000002</c:v>
                </c:pt>
                <c:pt idx="1">
                  <c:v>1.491623607724752</c:v>
                </c:pt>
                <c:pt idx="2">
                  <c:v>2.4297000645423315</c:v>
                </c:pt>
                <c:pt idx="3">
                  <c:v>3.8402188563961106</c:v>
                </c:pt>
                <c:pt idx="4">
                  <c:v>5.7272649112383904</c:v>
                </c:pt>
                <c:pt idx="5">
                  <c:v>6.6735112239614818</c:v>
                </c:pt>
                <c:pt idx="6">
                  <c:v>7.1473152016486008</c:v>
                </c:pt>
                <c:pt idx="7">
                  <c:v>8.0962847996735281</c:v>
                </c:pt>
                <c:pt idx="8">
                  <c:v>9.5231433033381023</c:v>
                </c:pt>
                <c:pt idx="9">
                  <c:v>10.000004294380487</c:v>
                </c:pt>
                <c:pt idx="10">
                  <c:v>11.001855200879723</c:v>
                </c:pt>
                <c:pt idx="11">
                  <c:v>11.671090298746494</c:v>
                </c:pt>
                <c:pt idx="12">
                  <c:v>16.622097111410177</c:v>
                </c:pt>
                <c:pt idx="13">
                  <c:v>16.670401156777167</c:v>
                </c:pt>
                <c:pt idx="14">
                  <c:v>26.176426640187337</c:v>
                </c:pt>
                <c:pt idx="15">
                  <c:v>26.619332904395044</c:v>
                </c:pt>
                <c:pt idx="16">
                  <c:v>47.799479329411767</c:v>
                </c:pt>
                <c:pt idx="17">
                  <c:v>95.670545100769004</c:v>
                </c:pt>
                <c:pt idx="18">
                  <c:v>137.78534838136468</c:v>
                </c:pt>
                <c:pt idx="19">
                  <c:v>137.8439419063638</c:v>
                </c:pt>
                <c:pt idx="20">
                  <c:v>196.12443686398731</c:v>
                </c:pt>
                <c:pt idx="21">
                  <c:v>240.24297359850127</c:v>
                </c:pt>
                <c:pt idx="22">
                  <c:v>240.96983182697372</c:v>
                </c:pt>
                <c:pt idx="23">
                  <c:v>257.09965940827811</c:v>
                </c:pt>
                <c:pt idx="24">
                  <c:v>284.68845573065386</c:v>
                </c:pt>
                <c:pt idx="25">
                  <c:v>286.9692336987523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3D-4609-9C51-9E34C813781C}"/>
            </c:ext>
          </c:extLst>
        </c:ser>
        <c:ser>
          <c:idx val="8"/>
          <c:order val="2"/>
          <c:tx>
            <c:strRef>
              <c:f>'Err. rel.'!$L$15</c:f>
              <c:strCache>
                <c:ptCount val="1"/>
                <c:pt idx="0">
                  <c:v> Melting line (EoS model)</c:v>
                </c:pt>
              </c:strCache>
            </c:strRef>
          </c:tx>
          <c:spPr>
            <a:ln w="15875" cmpd="sng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'Calcoli eqilib.'!$F$95:$F$143</c:f>
              <c:numCache>
                <c:formatCode>General</c:formatCode>
                <c:ptCount val="49"/>
                <c:pt idx="0">
                  <c:v>216.5932799</c:v>
                </c:pt>
                <c:pt idx="1">
                  <c:v>216.6</c:v>
                </c:pt>
                <c:pt idx="2">
                  <c:v>216.61</c:v>
                </c:pt>
                <c:pt idx="3">
                  <c:v>216.61</c:v>
                </c:pt>
                <c:pt idx="4">
                  <c:v>216.62</c:v>
                </c:pt>
                <c:pt idx="5">
                  <c:v>216.63</c:v>
                </c:pt>
                <c:pt idx="6">
                  <c:v>216.64</c:v>
                </c:pt>
                <c:pt idx="7">
                  <c:v>216.65</c:v>
                </c:pt>
                <c:pt idx="8">
                  <c:v>216.66</c:v>
                </c:pt>
                <c:pt idx="9">
                  <c:v>216.67</c:v>
                </c:pt>
                <c:pt idx="10">
                  <c:v>216.68</c:v>
                </c:pt>
                <c:pt idx="11">
                  <c:v>216.69</c:v>
                </c:pt>
                <c:pt idx="12">
                  <c:v>216.7</c:v>
                </c:pt>
                <c:pt idx="13">
                  <c:v>216.71</c:v>
                </c:pt>
                <c:pt idx="14">
                  <c:v>216.72</c:v>
                </c:pt>
                <c:pt idx="15">
                  <c:v>216.73</c:v>
                </c:pt>
                <c:pt idx="16">
                  <c:v>216.74</c:v>
                </c:pt>
                <c:pt idx="17">
                  <c:v>216.75</c:v>
                </c:pt>
                <c:pt idx="18">
                  <c:v>216.76</c:v>
                </c:pt>
                <c:pt idx="19">
                  <c:v>216.78</c:v>
                </c:pt>
                <c:pt idx="20">
                  <c:v>216.81</c:v>
                </c:pt>
                <c:pt idx="21">
                  <c:v>216.91</c:v>
                </c:pt>
                <c:pt idx="22">
                  <c:v>216.97</c:v>
                </c:pt>
                <c:pt idx="23">
                  <c:v>216.99</c:v>
                </c:pt>
                <c:pt idx="24">
                  <c:v>217.1</c:v>
                </c:pt>
                <c:pt idx="25">
                  <c:v>217.29</c:v>
                </c:pt>
                <c:pt idx="26">
                  <c:v>217.31</c:v>
                </c:pt>
                <c:pt idx="27">
                  <c:v>217.52</c:v>
                </c:pt>
                <c:pt idx="28">
                  <c:v>217.66</c:v>
                </c:pt>
                <c:pt idx="29">
                  <c:v>217.9</c:v>
                </c:pt>
                <c:pt idx="30">
                  <c:v>218</c:v>
                </c:pt>
                <c:pt idx="31">
                  <c:v>218.5</c:v>
                </c:pt>
                <c:pt idx="32">
                  <c:v>218.61799999999999</c:v>
                </c:pt>
                <c:pt idx="33">
                  <c:v>218.81</c:v>
                </c:pt>
                <c:pt idx="34">
                  <c:v>218.95</c:v>
                </c:pt>
                <c:pt idx="35">
                  <c:v>219.98</c:v>
                </c:pt>
                <c:pt idx="36">
                  <c:v>219.99</c:v>
                </c:pt>
                <c:pt idx="37">
                  <c:v>221.94</c:v>
                </c:pt>
                <c:pt idx="38">
                  <c:v>222.03</c:v>
                </c:pt>
                <c:pt idx="39">
                  <c:v>226.25</c:v>
                </c:pt>
                <c:pt idx="40">
                  <c:v>235.25</c:v>
                </c:pt>
                <c:pt idx="41">
                  <c:v>242.65</c:v>
                </c:pt>
                <c:pt idx="42">
                  <c:v>242.66</c:v>
                </c:pt>
                <c:pt idx="43">
                  <c:v>252.25</c:v>
                </c:pt>
                <c:pt idx="44">
                  <c:v>259.08999999999997</c:v>
                </c:pt>
                <c:pt idx="45">
                  <c:v>259.2</c:v>
                </c:pt>
                <c:pt idx="46">
                  <c:v>261.62</c:v>
                </c:pt>
                <c:pt idx="47">
                  <c:v>265.67</c:v>
                </c:pt>
                <c:pt idx="48">
                  <c:v>266</c:v>
                </c:pt>
              </c:numCache>
            </c:numRef>
          </c:xVal>
          <c:yVal>
            <c:numRef>
              <c:f>'Calcoli eqilib.'!$G$95:$G$143</c:f>
              <c:numCache>
                <c:formatCode>General</c:formatCode>
                <c:ptCount val="49"/>
                <c:pt idx="0">
                  <c:v>0.51798999999999995</c:v>
                </c:pt>
                <c:pt idx="1">
                  <c:v>0.54908999999999997</c:v>
                </c:pt>
                <c:pt idx="2">
                  <c:v>0.59535000000000005</c:v>
                </c:pt>
                <c:pt idx="3">
                  <c:v>0.59535000000000005</c:v>
                </c:pt>
                <c:pt idx="4">
                  <c:v>0.64161999999999997</c:v>
                </c:pt>
                <c:pt idx="5">
                  <c:v>0.68789</c:v>
                </c:pt>
                <c:pt idx="6">
                  <c:v>0.73416999999999999</c:v>
                </c:pt>
                <c:pt idx="7">
                  <c:v>0.78044999999999998</c:v>
                </c:pt>
                <c:pt idx="8">
                  <c:v>0.82674000000000003</c:v>
                </c:pt>
                <c:pt idx="9">
                  <c:v>0.87302999999999997</c:v>
                </c:pt>
                <c:pt idx="10">
                  <c:v>0.91934000000000005</c:v>
                </c:pt>
                <c:pt idx="11">
                  <c:v>0.96564000000000005</c:v>
                </c:pt>
                <c:pt idx="12">
                  <c:v>1.01196</c:v>
                </c:pt>
                <c:pt idx="13">
                  <c:v>1.0582800000000001</c:v>
                </c:pt>
                <c:pt idx="14">
                  <c:v>1.1046</c:v>
                </c:pt>
                <c:pt idx="15">
                  <c:v>1.15093</c:v>
                </c:pt>
                <c:pt idx="16">
                  <c:v>1.1972700000000001</c:v>
                </c:pt>
                <c:pt idx="17">
                  <c:v>1.2436100000000001</c:v>
                </c:pt>
                <c:pt idx="18">
                  <c:v>1.28996</c:v>
                </c:pt>
                <c:pt idx="19">
                  <c:v>1.3826799999999999</c:v>
                </c:pt>
                <c:pt idx="20">
                  <c:v>1.5218</c:v>
                </c:pt>
                <c:pt idx="21">
                  <c:v>1.9859100000000001</c:v>
                </c:pt>
                <c:pt idx="22">
                  <c:v>2.2646600000000001</c:v>
                </c:pt>
                <c:pt idx="23">
                  <c:v>2.3576299999999999</c:v>
                </c:pt>
                <c:pt idx="24">
                  <c:v>2.8693599999999999</c:v>
                </c:pt>
                <c:pt idx="25">
                  <c:v>3.7549199999999998</c:v>
                </c:pt>
                <c:pt idx="26">
                  <c:v>3.8482699999999999</c:v>
                </c:pt>
                <c:pt idx="27">
                  <c:v>4.8297600000000003</c:v>
                </c:pt>
                <c:pt idx="28">
                  <c:v>5.4855099999999997</c:v>
                </c:pt>
                <c:pt idx="29">
                  <c:v>6.6123099999999999</c:v>
                </c:pt>
                <c:pt idx="30">
                  <c:v>7.0827900000000001</c:v>
                </c:pt>
                <c:pt idx="31">
                  <c:v>9.4438099999999991</c:v>
                </c:pt>
                <c:pt idx="32">
                  <c:v>10.002649999999999</c:v>
                </c:pt>
                <c:pt idx="33">
                  <c:v>10.9148</c:v>
                </c:pt>
                <c:pt idx="34">
                  <c:v>11.5809</c:v>
                </c:pt>
                <c:pt idx="35">
                  <c:v>16.515250000000002</c:v>
                </c:pt>
                <c:pt idx="36">
                  <c:v>16.56344</c:v>
                </c:pt>
                <c:pt idx="37">
                  <c:v>26.065539999999999</c:v>
                </c:pt>
                <c:pt idx="38">
                  <c:v>26.509029999999999</c:v>
                </c:pt>
                <c:pt idx="39">
                  <c:v>47.774900000000002</c:v>
                </c:pt>
                <c:pt idx="40">
                  <c:v>96.021569999999997</c:v>
                </c:pt>
                <c:pt idx="41">
                  <c:v>138.42627999999999</c:v>
                </c:pt>
                <c:pt idx="42">
                  <c:v>138.48518000000001</c:v>
                </c:pt>
                <c:pt idx="43">
                  <c:v>196.88381000000001</c:v>
                </c:pt>
                <c:pt idx="44">
                  <c:v>240.81712999999999</c:v>
                </c:pt>
                <c:pt idx="45">
                  <c:v>241.53886</c:v>
                </c:pt>
                <c:pt idx="46">
                  <c:v>257.53726999999998</c:v>
                </c:pt>
                <c:pt idx="47">
                  <c:v>284.82368000000002</c:v>
                </c:pt>
                <c:pt idx="48">
                  <c:v>287.07508000000001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3D-4609-9C51-9E34C8137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270"/>
          <c:min val="215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5"/>
      </c:valAx>
      <c:valAx>
        <c:axId val="68417792"/>
        <c:scaling>
          <c:orientation val="minMax"/>
          <c:max val="29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P [MPa]</a:t>
                </a:r>
              </a:p>
            </c:rich>
          </c:tx>
          <c:layout>
            <c:manualLayout>
              <c:xMode val="edge"/>
              <c:yMode val="edge"/>
              <c:x val="2.8372839876817831E-2"/>
              <c:y val="0.40937689418656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29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009621782512751"/>
          <c:y val="8.5221225608575257E-2"/>
          <c:w val="0.27600581051172429"/>
          <c:h val="0.1354231716968555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6"/>
          <c:order val="0"/>
          <c:tx>
            <c:strRef>
              <c:f>'Err. rel.'!$Q$15</c:f>
              <c:strCache>
                <c:ptCount val="1"/>
                <c:pt idx="0">
                  <c:v> exp. data [4]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Dati!$D$74:$D$98</c:f>
              <c:numCache>
                <c:formatCode>0.00</c:formatCode>
                <c:ptCount val="25"/>
                <c:pt idx="0">
                  <c:v>216.64000000000001</c:v>
                </c:pt>
                <c:pt idx="1">
                  <c:v>216.97</c:v>
                </c:pt>
                <c:pt idx="2">
                  <c:v>216.99</c:v>
                </c:pt>
                <c:pt idx="3">
                  <c:v>217.1</c:v>
                </c:pt>
                <c:pt idx="4">
                  <c:v>217.29000000000002</c:v>
                </c:pt>
                <c:pt idx="5">
                  <c:v>217.31</c:v>
                </c:pt>
                <c:pt idx="6">
                  <c:v>217.52</c:v>
                </c:pt>
                <c:pt idx="7">
                  <c:v>217.66</c:v>
                </c:pt>
                <c:pt idx="8" formatCode="General">
                  <c:v>218.81</c:v>
                </c:pt>
                <c:pt idx="9" formatCode="General">
                  <c:v>218.95000000000002</c:v>
                </c:pt>
                <c:pt idx="10" formatCode="General">
                  <c:v>219.98000000000002</c:v>
                </c:pt>
                <c:pt idx="11" formatCode="General">
                  <c:v>219.99</c:v>
                </c:pt>
                <c:pt idx="12" formatCode="General">
                  <c:v>221.94</c:v>
                </c:pt>
                <c:pt idx="13" formatCode="General">
                  <c:v>222.03</c:v>
                </c:pt>
                <c:pt idx="14" formatCode="General">
                  <c:v>226.25</c:v>
                </c:pt>
                <c:pt idx="15" formatCode="General">
                  <c:v>235.25</c:v>
                </c:pt>
                <c:pt idx="16" formatCode="General">
                  <c:v>242.65</c:v>
                </c:pt>
                <c:pt idx="17">
                  <c:v>242.66</c:v>
                </c:pt>
                <c:pt idx="18">
                  <c:v>252.25</c:v>
                </c:pt>
                <c:pt idx="19">
                  <c:v>259.08999999999997</c:v>
                </c:pt>
                <c:pt idx="20">
                  <c:v>259.2</c:v>
                </c:pt>
                <c:pt idx="21">
                  <c:v>261.62</c:v>
                </c:pt>
                <c:pt idx="22">
                  <c:v>261.62</c:v>
                </c:pt>
                <c:pt idx="23">
                  <c:v>265.66999999999996</c:v>
                </c:pt>
                <c:pt idx="24">
                  <c:v>266</c:v>
                </c:pt>
              </c:numCache>
            </c:numRef>
          </c:xVal>
          <c:yVal>
            <c:numRef>
              <c:f>Dati!$F$74:$F$98</c:f>
              <c:numCache>
                <c:formatCode>General</c:formatCode>
                <c:ptCount val="25"/>
                <c:pt idx="0">
                  <c:v>0.93218999999999996</c:v>
                </c:pt>
                <c:pt idx="1">
                  <c:v>2.6243174999999996</c:v>
                </c:pt>
                <c:pt idx="2">
                  <c:v>2.573655</c:v>
                </c:pt>
                <c:pt idx="3">
                  <c:v>3.1714725000000001</c:v>
                </c:pt>
                <c:pt idx="4">
                  <c:v>4.1036624999999995</c:v>
                </c:pt>
                <c:pt idx="5">
                  <c:v>4.1036624999999995</c:v>
                </c:pt>
                <c:pt idx="6">
                  <c:v>5.0459849999999999</c:v>
                </c:pt>
                <c:pt idx="7">
                  <c:v>5.7856575000000001</c:v>
                </c:pt>
                <c:pt idx="8">
                  <c:v>11.1356175</c:v>
                </c:pt>
                <c:pt idx="9">
                  <c:v>11.7537</c:v>
                </c:pt>
                <c:pt idx="10">
                  <c:v>16.799685</c:v>
                </c:pt>
                <c:pt idx="11">
                  <c:v>16.799685</c:v>
                </c:pt>
                <c:pt idx="12">
                  <c:v>26.192512499999999</c:v>
                </c:pt>
                <c:pt idx="13">
                  <c:v>26.699137499999999</c:v>
                </c:pt>
                <c:pt idx="14">
                  <c:v>47.936857500000002</c:v>
                </c:pt>
                <c:pt idx="15">
                  <c:v>95.863582500000007</c:v>
                </c:pt>
                <c:pt idx="16">
                  <c:v>138.06544499999998</c:v>
                </c:pt>
                <c:pt idx="17">
                  <c:v>138.06544499999998</c:v>
                </c:pt>
                <c:pt idx="18">
                  <c:v>195.96254999999999</c:v>
                </c:pt>
                <c:pt idx="19">
                  <c:v>240.24157499999998</c:v>
                </c:pt>
                <c:pt idx="20">
                  <c:v>241.13323500000001</c:v>
                </c:pt>
                <c:pt idx="21">
                  <c:v>257.04126000000002</c:v>
                </c:pt>
                <c:pt idx="22">
                  <c:v>257.04126000000002</c:v>
                </c:pt>
                <c:pt idx="23">
                  <c:v>284.27742000000001</c:v>
                </c:pt>
                <c:pt idx="24">
                  <c:v>286.770015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A-4FE6-B5A1-72A007BE047D}"/>
            </c:ext>
          </c:extLst>
        </c:ser>
        <c:ser>
          <c:idx val="2"/>
          <c:order val="1"/>
          <c:tx>
            <c:strRef>
              <c:f>'Err. rel.'!$N$15</c:f>
              <c:strCache>
                <c:ptCount val="1"/>
                <c:pt idx="0">
                  <c:v> Melting line (Corr. Eq. [1])</c:v>
                </c:pt>
              </c:strCache>
            </c:strRef>
          </c:tx>
          <c:spPr>
            <a:ln w="19050">
              <a:solidFill>
                <a:schemeClr val="tx1"/>
              </a:solidFill>
              <a:prstDash val="dashDot"/>
            </a:ln>
          </c:spPr>
          <c:marker>
            <c:symbol val="none"/>
          </c:marker>
          <c:xVal>
            <c:numRef>
              <c:f>'Calcoli eqilib.'!$B$64:$B$89</c:f>
              <c:numCache>
                <c:formatCode>0.00</c:formatCode>
                <c:ptCount val="26"/>
                <c:pt idx="0" formatCode="#,##0.00">
                  <c:v>216.59200000000001</c:v>
                </c:pt>
                <c:pt idx="1">
                  <c:v>216.8</c:v>
                </c:pt>
                <c:pt idx="2">
                  <c:v>217</c:v>
                </c:pt>
                <c:pt idx="3">
                  <c:v>217.3</c:v>
                </c:pt>
                <c:pt idx="4">
                  <c:v>217.7</c:v>
                </c:pt>
                <c:pt idx="5">
                  <c:v>217.9</c:v>
                </c:pt>
                <c:pt idx="6">
                  <c:v>218</c:v>
                </c:pt>
                <c:pt idx="7">
                  <c:v>218.2</c:v>
                </c:pt>
                <c:pt idx="8">
                  <c:v>218.5</c:v>
                </c:pt>
                <c:pt idx="9">
                  <c:v>218.60006999999999</c:v>
                </c:pt>
                <c:pt idx="10" formatCode="General">
                  <c:v>218.81</c:v>
                </c:pt>
                <c:pt idx="11" formatCode="General">
                  <c:v>218.95</c:v>
                </c:pt>
                <c:pt idx="12" formatCode="General">
                  <c:v>219.98</c:v>
                </c:pt>
                <c:pt idx="13" formatCode="General">
                  <c:v>219.99</c:v>
                </c:pt>
                <c:pt idx="14" formatCode="General">
                  <c:v>221.94</c:v>
                </c:pt>
                <c:pt idx="15" formatCode="General">
                  <c:v>222.03</c:v>
                </c:pt>
                <c:pt idx="16" formatCode="General">
                  <c:v>226.25</c:v>
                </c:pt>
                <c:pt idx="17" formatCode="General">
                  <c:v>235.25</c:v>
                </c:pt>
                <c:pt idx="18" formatCode="General">
                  <c:v>242.65</c:v>
                </c:pt>
                <c:pt idx="19" formatCode="General">
                  <c:v>242.66</c:v>
                </c:pt>
                <c:pt idx="20" formatCode="General">
                  <c:v>252.25</c:v>
                </c:pt>
                <c:pt idx="21" formatCode="General">
                  <c:v>259.08999999999997</c:v>
                </c:pt>
                <c:pt idx="22" formatCode="General">
                  <c:v>259.2</c:v>
                </c:pt>
                <c:pt idx="23" formatCode="General">
                  <c:v>261.62</c:v>
                </c:pt>
                <c:pt idx="24" formatCode="General">
                  <c:v>265.67</c:v>
                </c:pt>
                <c:pt idx="25" formatCode="General">
                  <c:v>266</c:v>
                </c:pt>
              </c:numCache>
            </c:numRef>
          </c:xVal>
          <c:yVal>
            <c:numRef>
              <c:f>'Calcoli eqilib.'!$L$64:$L$89</c:f>
              <c:numCache>
                <c:formatCode>General</c:formatCode>
                <c:ptCount val="26"/>
                <c:pt idx="0">
                  <c:v>0.51795000000000002</c:v>
                </c:pt>
                <c:pt idx="1">
                  <c:v>1.491623607724752</c:v>
                </c:pt>
                <c:pt idx="2">
                  <c:v>2.4297000645423315</c:v>
                </c:pt>
                <c:pt idx="3">
                  <c:v>3.8402188563961106</c:v>
                </c:pt>
                <c:pt idx="4">
                  <c:v>5.7272649112383904</c:v>
                </c:pt>
                <c:pt idx="5">
                  <c:v>6.6735112239614818</c:v>
                </c:pt>
                <c:pt idx="6">
                  <c:v>7.1473152016486008</c:v>
                </c:pt>
                <c:pt idx="7">
                  <c:v>8.0962847996735281</c:v>
                </c:pt>
                <c:pt idx="8">
                  <c:v>9.5231433033381023</c:v>
                </c:pt>
                <c:pt idx="9">
                  <c:v>10.000004294380487</c:v>
                </c:pt>
                <c:pt idx="10">
                  <c:v>11.001855200879723</c:v>
                </c:pt>
                <c:pt idx="11">
                  <c:v>11.671090298746494</c:v>
                </c:pt>
                <c:pt idx="12">
                  <c:v>16.622097111410177</c:v>
                </c:pt>
                <c:pt idx="13">
                  <c:v>16.670401156777167</c:v>
                </c:pt>
                <c:pt idx="14">
                  <c:v>26.176426640187337</c:v>
                </c:pt>
                <c:pt idx="15">
                  <c:v>26.619332904395044</c:v>
                </c:pt>
                <c:pt idx="16">
                  <c:v>47.799479329411767</c:v>
                </c:pt>
                <c:pt idx="17">
                  <c:v>95.670545100769004</c:v>
                </c:pt>
                <c:pt idx="18">
                  <c:v>137.78534838136468</c:v>
                </c:pt>
                <c:pt idx="19">
                  <c:v>137.8439419063638</c:v>
                </c:pt>
                <c:pt idx="20">
                  <c:v>196.12443686398731</c:v>
                </c:pt>
                <c:pt idx="21">
                  <c:v>240.24297359850127</c:v>
                </c:pt>
                <c:pt idx="22">
                  <c:v>240.96983182697372</c:v>
                </c:pt>
                <c:pt idx="23">
                  <c:v>257.09965940827811</c:v>
                </c:pt>
                <c:pt idx="24">
                  <c:v>284.68845573065386</c:v>
                </c:pt>
                <c:pt idx="25">
                  <c:v>286.9692336987523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A-4FE6-B5A1-72A007BE047D}"/>
            </c:ext>
          </c:extLst>
        </c:ser>
        <c:ser>
          <c:idx val="8"/>
          <c:order val="2"/>
          <c:tx>
            <c:strRef>
              <c:f>'Err. rel.'!$L$15</c:f>
              <c:strCache>
                <c:ptCount val="1"/>
                <c:pt idx="0">
                  <c:v> Melting line (EoS model)</c:v>
                </c:pt>
              </c:strCache>
            </c:strRef>
          </c:tx>
          <c:spPr>
            <a:ln w="15875" cmpd="sng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'Calcoli eqilib.'!$F$95:$F$143</c:f>
              <c:numCache>
                <c:formatCode>General</c:formatCode>
                <c:ptCount val="49"/>
                <c:pt idx="0">
                  <c:v>216.5932799</c:v>
                </c:pt>
                <c:pt idx="1">
                  <c:v>216.6</c:v>
                </c:pt>
                <c:pt idx="2">
                  <c:v>216.61</c:v>
                </c:pt>
                <c:pt idx="3">
                  <c:v>216.61</c:v>
                </c:pt>
                <c:pt idx="4">
                  <c:v>216.62</c:v>
                </c:pt>
                <c:pt idx="5">
                  <c:v>216.63</c:v>
                </c:pt>
                <c:pt idx="6">
                  <c:v>216.64</c:v>
                </c:pt>
                <c:pt idx="7">
                  <c:v>216.65</c:v>
                </c:pt>
                <c:pt idx="8">
                  <c:v>216.66</c:v>
                </c:pt>
                <c:pt idx="9">
                  <c:v>216.67</c:v>
                </c:pt>
                <c:pt idx="10">
                  <c:v>216.68</c:v>
                </c:pt>
                <c:pt idx="11">
                  <c:v>216.69</c:v>
                </c:pt>
                <c:pt idx="12">
                  <c:v>216.7</c:v>
                </c:pt>
                <c:pt idx="13">
                  <c:v>216.71</c:v>
                </c:pt>
                <c:pt idx="14">
                  <c:v>216.72</c:v>
                </c:pt>
                <c:pt idx="15">
                  <c:v>216.73</c:v>
                </c:pt>
                <c:pt idx="16">
                  <c:v>216.74</c:v>
                </c:pt>
                <c:pt idx="17">
                  <c:v>216.75</c:v>
                </c:pt>
                <c:pt idx="18">
                  <c:v>216.76</c:v>
                </c:pt>
                <c:pt idx="19">
                  <c:v>216.78</c:v>
                </c:pt>
                <c:pt idx="20">
                  <c:v>216.81</c:v>
                </c:pt>
                <c:pt idx="21">
                  <c:v>216.91</c:v>
                </c:pt>
                <c:pt idx="22">
                  <c:v>216.97</c:v>
                </c:pt>
                <c:pt idx="23">
                  <c:v>216.99</c:v>
                </c:pt>
                <c:pt idx="24">
                  <c:v>217.1</c:v>
                </c:pt>
                <c:pt idx="25">
                  <c:v>217.29</c:v>
                </c:pt>
                <c:pt idx="26">
                  <c:v>217.31</c:v>
                </c:pt>
                <c:pt idx="27">
                  <c:v>217.52</c:v>
                </c:pt>
                <c:pt idx="28">
                  <c:v>217.66</c:v>
                </c:pt>
                <c:pt idx="29">
                  <c:v>217.9</c:v>
                </c:pt>
                <c:pt idx="30">
                  <c:v>218</c:v>
                </c:pt>
                <c:pt idx="31">
                  <c:v>218.5</c:v>
                </c:pt>
                <c:pt idx="32">
                  <c:v>218.61799999999999</c:v>
                </c:pt>
                <c:pt idx="33">
                  <c:v>218.81</c:v>
                </c:pt>
                <c:pt idx="34">
                  <c:v>218.95</c:v>
                </c:pt>
                <c:pt idx="35">
                  <c:v>219.98</c:v>
                </c:pt>
                <c:pt idx="36">
                  <c:v>219.99</c:v>
                </c:pt>
                <c:pt idx="37">
                  <c:v>221.94</c:v>
                </c:pt>
                <c:pt idx="38">
                  <c:v>222.03</c:v>
                </c:pt>
                <c:pt idx="39">
                  <c:v>226.25</c:v>
                </c:pt>
                <c:pt idx="40">
                  <c:v>235.25</c:v>
                </c:pt>
                <c:pt idx="41">
                  <c:v>242.65</c:v>
                </c:pt>
                <c:pt idx="42">
                  <c:v>242.66</c:v>
                </c:pt>
                <c:pt idx="43">
                  <c:v>252.25</c:v>
                </c:pt>
                <c:pt idx="44">
                  <c:v>259.08999999999997</c:v>
                </c:pt>
                <c:pt idx="45">
                  <c:v>259.2</c:v>
                </c:pt>
                <c:pt idx="46">
                  <c:v>261.62</c:v>
                </c:pt>
                <c:pt idx="47">
                  <c:v>265.67</c:v>
                </c:pt>
                <c:pt idx="48">
                  <c:v>266</c:v>
                </c:pt>
              </c:numCache>
            </c:numRef>
          </c:xVal>
          <c:yVal>
            <c:numRef>
              <c:f>'Calcoli eqilib.'!$G$95:$G$143</c:f>
              <c:numCache>
                <c:formatCode>General</c:formatCode>
                <c:ptCount val="49"/>
                <c:pt idx="0">
                  <c:v>0.51798999999999995</c:v>
                </c:pt>
                <c:pt idx="1">
                  <c:v>0.54908999999999997</c:v>
                </c:pt>
                <c:pt idx="2">
                  <c:v>0.59535000000000005</c:v>
                </c:pt>
                <c:pt idx="3">
                  <c:v>0.59535000000000005</c:v>
                </c:pt>
                <c:pt idx="4">
                  <c:v>0.64161999999999997</c:v>
                </c:pt>
                <c:pt idx="5">
                  <c:v>0.68789</c:v>
                </c:pt>
                <c:pt idx="6">
                  <c:v>0.73416999999999999</c:v>
                </c:pt>
                <c:pt idx="7">
                  <c:v>0.78044999999999998</c:v>
                </c:pt>
                <c:pt idx="8">
                  <c:v>0.82674000000000003</c:v>
                </c:pt>
                <c:pt idx="9">
                  <c:v>0.87302999999999997</c:v>
                </c:pt>
                <c:pt idx="10">
                  <c:v>0.91934000000000005</c:v>
                </c:pt>
                <c:pt idx="11">
                  <c:v>0.96564000000000005</c:v>
                </c:pt>
                <c:pt idx="12">
                  <c:v>1.01196</c:v>
                </c:pt>
                <c:pt idx="13">
                  <c:v>1.0582800000000001</c:v>
                </c:pt>
                <c:pt idx="14">
                  <c:v>1.1046</c:v>
                </c:pt>
                <c:pt idx="15">
                  <c:v>1.15093</c:v>
                </c:pt>
                <c:pt idx="16">
                  <c:v>1.1972700000000001</c:v>
                </c:pt>
                <c:pt idx="17">
                  <c:v>1.2436100000000001</c:v>
                </c:pt>
                <c:pt idx="18">
                  <c:v>1.28996</c:v>
                </c:pt>
                <c:pt idx="19">
                  <c:v>1.3826799999999999</c:v>
                </c:pt>
                <c:pt idx="20">
                  <c:v>1.5218</c:v>
                </c:pt>
                <c:pt idx="21">
                  <c:v>1.9859100000000001</c:v>
                </c:pt>
                <c:pt idx="22">
                  <c:v>2.2646600000000001</c:v>
                </c:pt>
                <c:pt idx="23">
                  <c:v>2.3576299999999999</c:v>
                </c:pt>
                <c:pt idx="24">
                  <c:v>2.8693599999999999</c:v>
                </c:pt>
                <c:pt idx="25">
                  <c:v>3.7549199999999998</c:v>
                </c:pt>
                <c:pt idx="26">
                  <c:v>3.8482699999999999</c:v>
                </c:pt>
                <c:pt idx="27">
                  <c:v>4.8297600000000003</c:v>
                </c:pt>
                <c:pt idx="28">
                  <c:v>5.4855099999999997</c:v>
                </c:pt>
                <c:pt idx="29">
                  <c:v>6.6123099999999999</c:v>
                </c:pt>
                <c:pt idx="30">
                  <c:v>7.0827900000000001</c:v>
                </c:pt>
                <c:pt idx="31">
                  <c:v>9.4438099999999991</c:v>
                </c:pt>
                <c:pt idx="32">
                  <c:v>10.002649999999999</c:v>
                </c:pt>
                <c:pt idx="33">
                  <c:v>10.9148</c:v>
                </c:pt>
                <c:pt idx="34">
                  <c:v>11.5809</c:v>
                </c:pt>
                <c:pt idx="35">
                  <c:v>16.515250000000002</c:v>
                </c:pt>
                <c:pt idx="36">
                  <c:v>16.56344</c:v>
                </c:pt>
                <c:pt idx="37">
                  <c:v>26.065539999999999</c:v>
                </c:pt>
                <c:pt idx="38">
                  <c:v>26.509029999999999</c:v>
                </c:pt>
                <c:pt idx="39">
                  <c:v>47.774900000000002</c:v>
                </c:pt>
                <c:pt idx="40">
                  <c:v>96.021569999999997</c:v>
                </c:pt>
                <c:pt idx="41">
                  <c:v>138.42627999999999</c:v>
                </c:pt>
                <c:pt idx="42">
                  <c:v>138.48518000000001</c:v>
                </c:pt>
                <c:pt idx="43">
                  <c:v>196.88381000000001</c:v>
                </c:pt>
                <c:pt idx="44">
                  <c:v>240.81712999999999</c:v>
                </c:pt>
                <c:pt idx="45">
                  <c:v>241.53886</c:v>
                </c:pt>
                <c:pt idx="46">
                  <c:v>257.53726999999998</c:v>
                </c:pt>
                <c:pt idx="47">
                  <c:v>284.82368000000002</c:v>
                </c:pt>
                <c:pt idx="48">
                  <c:v>287.07508000000001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8A-4FE6-B5A1-72A007BE0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218.68"/>
          <c:min val="216.58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0.30000000000000004"/>
      </c:valAx>
      <c:valAx>
        <c:axId val="68417792"/>
        <c:scaling>
          <c:orientation val="minMax"/>
          <c:max val="1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P [MPa]</a:t>
                </a:r>
              </a:p>
            </c:rich>
          </c:tx>
          <c:layout>
            <c:manualLayout>
              <c:xMode val="edge"/>
              <c:yMode val="edge"/>
              <c:x val="2.8372839876817831E-2"/>
              <c:y val="0.40937689418656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3009621782512751"/>
          <c:y val="8.5221225608575257E-2"/>
          <c:w val="0.27600581051172429"/>
          <c:h val="0.1354231716968555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5"/>
          <c:order val="0"/>
          <c:tx>
            <c:strRef>
              <c:f>'Err. rel.'!$J$14</c:f>
              <c:strCache>
                <c:ptCount val="1"/>
                <c:pt idx="0">
                  <c:v> exp. data [3]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0"/>
          </c:errBars>
          <c:errBars>
            <c:errDir val="x"/>
            <c:errBarType val="both"/>
            <c:errValType val="fixedVal"/>
            <c:noEndCap val="0"/>
            <c:val val="2.0000000000000007E-2"/>
          </c:errBars>
          <c:xVal>
            <c:numRef>
              <c:f>Dati!$K$75:$K$185</c:f>
              <c:numCache>
                <c:formatCode>0.00</c:formatCode>
                <c:ptCount val="111"/>
                <c:pt idx="0">
                  <c:v>170.11099999999999</c:v>
                </c:pt>
                <c:pt idx="1">
                  <c:v>171.81100000000001</c:v>
                </c:pt>
                <c:pt idx="2">
                  <c:v>172.14099999999999</c:v>
                </c:pt>
                <c:pt idx="3">
                  <c:v>173.59099999999998</c:v>
                </c:pt>
                <c:pt idx="4">
                  <c:v>175.34099999999998</c:v>
                </c:pt>
                <c:pt idx="5">
                  <c:v>177.20099999999999</c:v>
                </c:pt>
                <c:pt idx="6">
                  <c:v>179.20099999999999</c:v>
                </c:pt>
                <c:pt idx="7">
                  <c:v>179.73099999999999</c:v>
                </c:pt>
                <c:pt idx="8">
                  <c:v>180.95099999999999</c:v>
                </c:pt>
                <c:pt idx="9">
                  <c:v>183.02099999999999</c:v>
                </c:pt>
                <c:pt idx="10">
                  <c:v>184.37099999999998</c:v>
                </c:pt>
                <c:pt idx="11">
                  <c:v>185.23099999999999</c:v>
                </c:pt>
                <c:pt idx="12">
                  <c:v>187.251</c:v>
                </c:pt>
                <c:pt idx="13">
                  <c:v>187.691</c:v>
                </c:pt>
                <c:pt idx="14">
                  <c:v>189.881</c:v>
                </c:pt>
                <c:pt idx="15">
                  <c:v>192.791</c:v>
                </c:pt>
                <c:pt idx="16">
                  <c:v>192.941</c:v>
                </c:pt>
                <c:pt idx="17">
                  <c:v>194.541</c:v>
                </c:pt>
                <c:pt idx="18">
                  <c:v>196.761</c:v>
                </c:pt>
                <c:pt idx="19">
                  <c:v>197.471</c:v>
                </c:pt>
                <c:pt idx="20">
                  <c:v>199.291</c:v>
                </c:pt>
                <c:pt idx="21">
                  <c:v>201.74099999999999</c:v>
                </c:pt>
                <c:pt idx="22">
                  <c:v>202.821</c:v>
                </c:pt>
                <c:pt idx="23">
                  <c:v>203.80099999999999</c:v>
                </c:pt>
                <c:pt idx="24">
                  <c:v>205.24099999999999</c:v>
                </c:pt>
                <c:pt idx="25">
                  <c:v>207.03100000000001</c:v>
                </c:pt>
                <c:pt idx="26">
                  <c:v>207.221</c:v>
                </c:pt>
                <c:pt idx="27">
                  <c:v>207.61099999999999</c:v>
                </c:pt>
                <c:pt idx="28">
                  <c:v>207.98099999999999</c:v>
                </c:pt>
                <c:pt idx="29">
                  <c:v>208.441</c:v>
                </c:pt>
                <c:pt idx="30">
                  <c:v>209.30099999999999</c:v>
                </c:pt>
                <c:pt idx="31">
                  <c:v>210.73099999999999</c:v>
                </c:pt>
                <c:pt idx="32">
                  <c:v>210.93099999999998</c:v>
                </c:pt>
                <c:pt idx="33">
                  <c:v>211.11099999999999</c:v>
                </c:pt>
                <c:pt idx="34">
                  <c:v>211.23099999999999</c:v>
                </c:pt>
                <c:pt idx="35">
                  <c:v>211.291</c:v>
                </c:pt>
                <c:pt idx="36">
                  <c:v>213.191</c:v>
                </c:pt>
                <c:pt idx="37">
                  <c:v>213.27099999999999</c:v>
                </c:pt>
                <c:pt idx="38">
                  <c:v>213.28100000000001</c:v>
                </c:pt>
                <c:pt idx="39">
                  <c:v>213.31100000000001</c:v>
                </c:pt>
                <c:pt idx="40">
                  <c:v>213.34099999999998</c:v>
                </c:pt>
                <c:pt idx="41">
                  <c:v>213.34099999999998</c:v>
                </c:pt>
                <c:pt idx="42">
                  <c:v>213.351</c:v>
                </c:pt>
                <c:pt idx="43">
                  <c:v>213.39099999999999</c:v>
                </c:pt>
                <c:pt idx="44">
                  <c:v>213.411</c:v>
                </c:pt>
                <c:pt idx="45">
                  <c:v>213.43099999999998</c:v>
                </c:pt>
                <c:pt idx="46">
                  <c:v>213.471</c:v>
                </c:pt>
                <c:pt idx="47">
                  <c:v>213.511</c:v>
                </c:pt>
                <c:pt idx="48">
                  <c:v>213.541</c:v>
                </c:pt>
                <c:pt idx="49">
                  <c:v>213.68099999999998</c:v>
                </c:pt>
                <c:pt idx="50">
                  <c:v>213.70099999999999</c:v>
                </c:pt>
                <c:pt idx="51">
                  <c:v>213.73099999999999</c:v>
                </c:pt>
                <c:pt idx="52">
                  <c:v>213.80099999999999</c:v>
                </c:pt>
                <c:pt idx="53">
                  <c:v>213.851</c:v>
                </c:pt>
                <c:pt idx="54">
                  <c:v>213.92099999999999</c:v>
                </c:pt>
                <c:pt idx="55">
                  <c:v>214.17099999999999</c:v>
                </c:pt>
                <c:pt idx="56">
                  <c:v>214.23099999999999</c:v>
                </c:pt>
                <c:pt idx="57">
                  <c:v>214.34099999999998</c:v>
                </c:pt>
                <c:pt idx="58">
                  <c:v>214.37099999999998</c:v>
                </c:pt>
                <c:pt idx="59">
                  <c:v>214.39099999999999</c:v>
                </c:pt>
                <c:pt idx="60">
                  <c:v>214.39099999999999</c:v>
                </c:pt>
                <c:pt idx="61">
                  <c:v>214.40099999999998</c:v>
                </c:pt>
                <c:pt idx="62">
                  <c:v>214.46099999999998</c:v>
                </c:pt>
                <c:pt idx="63">
                  <c:v>214.52099999999999</c:v>
                </c:pt>
                <c:pt idx="64">
                  <c:v>214.56100000000001</c:v>
                </c:pt>
                <c:pt idx="65">
                  <c:v>214.62099999999998</c:v>
                </c:pt>
                <c:pt idx="66">
                  <c:v>214.74099999999999</c:v>
                </c:pt>
                <c:pt idx="67">
                  <c:v>214.851</c:v>
                </c:pt>
                <c:pt idx="68">
                  <c:v>214.911</c:v>
                </c:pt>
                <c:pt idx="69">
                  <c:v>215.011</c:v>
                </c:pt>
                <c:pt idx="70">
                  <c:v>215.31100000000001</c:v>
                </c:pt>
                <c:pt idx="71">
                  <c:v>215.601</c:v>
                </c:pt>
                <c:pt idx="72">
                  <c:v>216.191</c:v>
                </c:pt>
                <c:pt idx="73">
                  <c:v>216.33099999999999</c:v>
                </c:pt>
                <c:pt idx="74">
                  <c:v>216.381</c:v>
                </c:pt>
                <c:pt idx="75">
                  <c:v>216.45099999999999</c:v>
                </c:pt>
                <c:pt idx="76">
                  <c:v>216.48099999999999</c:v>
                </c:pt>
                <c:pt idx="77">
                  <c:v>216.49099999999999</c:v>
                </c:pt>
                <c:pt idx="78">
                  <c:v>216.53100000000001</c:v>
                </c:pt>
                <c:pt idx="79">
                  <c:v>216.58099999999999</c:v>
                </c:pt>
                <c:pt idx="80">
                  <c:v>216.58099999999999</c:v>
                </c:pt>
                <c:pt idx="81">
                  <c:v>216.59099999999998</c:v>
                </c:pt>
                <c:pt idx="82">
                  <c:v>216.59099999999998</c:v>
                </c:pt>
                <c:pt idx="83">
                  <c:v>216.59099999999998</c:v>
                </c:pt>
                <c:pt idx="84">
                  <c:v>216.601</c:v>
                </c:pt>
                <c:pt idx="85">
                  <c:v>216.61099999999999</c:v>
                </c:pt>
                <c:pt idx="86">
                  <c:v>216.61099999999999</c:v>
                </c:pt>
                <c:pt idx="87">
                  <c:v>216.62099999999998</c:v>
                </c:pt>
                <c:pt idx="88">
                  <c:v>216.631</c:v>
                </c:pt>
                <c:pt idx="89">
                  <c:v>216.631</c:v>
                </c:pt>
                <c:pt idx="90">
                  <c:v>216.64099999999999</c:v>
                </c:pt>
                <c:pt idx="91">
                  <c:v>216.65099999999998</c:v>
                </c:pt>
                <c:pt idx="92">
                  <c:v>216.661</c:v>
                </c:pt>
                <c:pt idx="93">
                  <c:v>216.67099999999999</c:v>
                </c:pt>
                <c:pt idx="94">
                  <c:v>216.67099999999999</c:v>
                </c:pt>
                <c:pt idx="95">
                  <c:v>216.68099999999998</c:v>
                </c:pt>
                <c:pt idx="96">
                  <c:v>216.68099999999998</c:v>
                </c:pt>
                <c:pt idx="97">
                  <c:v>216.68099999999998</c:v>
                </c:pt>
                <c:pt idx="98">
                  <c:v>216.68099999999998</c:v>
                </c:pt>
                <c:pt idx="99">
                  <c:v>216.691</c:v>
                </c:pt>
                <c:pt idx="100">
                  <c:v>216.70099999999999</c:v>
                </c:pt>
                <c:pt idx="101">
                  <c:v>216.70099999999999</c:v>
                </c:pt>
                <c:pt idx="102">
                  <c:v>216.71099999999998</c:v>
                </c:pt>
                <c:pt idx="103">
                  <c:v>216.721</c:v>
                </c:pt>
                <c:pt idx="104">
                  <c:v>216.73099999999999</c:v>
                </c:pt>
                <c:pt idx="105">
                  <c:v>216.74099999999999</c:v>
                </c:pt>
                <c:pt idx="106">
                  <c:v>216.751</c:v>
                </c:pt>
                <c:pt idx="107">
                  <c:v>216.761</c:v>
                </c:pt>
                <c:pt idx="108">
                  <c:v>216.78100000000001</c:v>
                </c:pt>
                <c:pt idx="109">
                  <c:v>216.81100000000001</c:v>
                </c:pt>
                <c:pt idx="110">
                  <c:v>216.911</c:v>
                </c:pt>
              </c:numCache>
            </c:numRef>
          </c:xVal>
          <c:yVal>
            <c:numRef>
              <c:f>Dati!$M$75:$M$185</c:f>
              <c:numCache>
                <c:formatCode>General</c:formatCode>
                <c:ptCount val="111"/>
                <c:pt idx="0">
                  <c:v>1.009514184E-2</c:v>
                </c:pt>
                <c:pt idx="1">
                  <c:v>1.2089638960000001E-2</c:v>
                </c:pt>
                <c:pt idx="2">
                  <c:v>1.2506936820000002E-2</c:v>
                </c:pt>
                <c:pt idx="3">
                  <c:v>1.4546763420000001E-2</c:v>
                </c:pt>
                <c:pt idx="4">
                  <c:v>1.7442517260000002E-2</c:v>
                </c:pt>
                <c:pt idx="5">
                  <c:v>2.0996881780000004E-2</c:v>
                </c:pt>
                <c:pt idx="6">
                  <c:v>2.556049384E-2</c:v>
                </c:pt>
                <c:pt idx="7">
                  <c:v>2.689504706E-2</c:v>
                </c:pt>
                <c:pt idx="8">
                  <c:v>3.0240096040000001E-2</c:v>
                </c:pt>
                <c:pt idx="9">
                  <c:v>3.6755542180000003E-2</c:v>
                </c:pt>
                <c:pt idx="10">
                  <c:v>4.1631127720000001E-2</c:v>
                </c:pt>
                <c:pt idx="11">
                  <c:v>4.5013506860000004E-2</c:v>
                </c:pt>
                <c:pt idx="12">
                  <c:v>5.3966079159999999E-2</c:v>
                </c:pt>
                <c:pt idx="13">
                  <c:v>5.5956576620000004E-2</c:v>
                </c:pt>
                <c:pt idx="14">
                  <c:v>6.7902227820000008E-2</c:v>
                </c:pt>
                <c:pt idx="15">
                  <c:v>8.6909945360000004E-2</c:v>
                </c:pt>
                <c:pt idx="16">
                  <c:v>8.7612552300000007E-2</c:v>
                </c:pt>
                <c:pt idx="17">
                  <c:v>0.10039546566</c:v>
                </c:pt>
                <c:pt idx="18">
                  <c:v>0.12012045556000001</c:v>
                </c:pt>
                <c:pt idx="19">
                  <c:v>0.12721585240000002</c:v>
                </c:pt>
                <c:pt idx="20">
                  <c:v>0.14699283788</c:v>
                </c:pt>
                <c:pt idx="21">
                  <c:v>0.17774755684000001</c:v>
                </c:pt>
                <c:pt idx="22">
                  <c:v>0.19300359330000003</c:v>
                </c:pt>
                <c:pt idx="23">
                  <c:v>0.20787832884000002</c:v>
                </c:pt>
                <c:pt idx="24">
                  <c:v>0.23150432046000002</c:v>
                </c:pt>
                <c:pt idx="25">
                  <c:v>0.26410554912</c:v>
                </c:pt>
                <c:pt idx="26">
                  <c:v>0.26780390140000004</c:v>
                </c:pt>
                <c:pt idx="27">
                  <c:v>0.27547924894000003</c:v>
                </c:pt>
                <c:pt idx="28">
                  <c:v>0.28304660566000006</c:v>
                </c:pt>
                <c:pt idx="29">
                  <c:v>0.29263779033999998</c:v>
                </c:pt>
                <c:pt idx="30">
                  <c:v>0.31126820662000004</c:v>
                </c:pt>
                <c:pt idx="31">
                  <c:v>0.34496534212000002</c:v>
                </c:pt>
                <c:pt idx="32">
                  <c:v>0.34976093446000001</c:v>
                </c:pt>
                <c:pt idx="33">
                  <c:v>0.35419389095999998</c:v>
                </c:pt>
                <c:pt idx="34">
                  <c:v>0.35732962439999999</c:v>
                </c:pt>
                <c:pt idx="35">
                  <c:v>0.35886416062000004</c:v>
                </c:pt>
                <c:pt idx="36">
                  <c:v>0.40993315272000008</c:v>
                </c:pt>
                <c:pt idx="37">
                  <c:v>0.41224228975999999</c:v>
                </c:pt>
                <c:pt idx="38">
                  <c:v>0.41276091234000001</c:v>
                </c:pt>
                <c:pt idx="39">
                  <c:v>0.41361417313999999</c:v>
                </c:pt>
                <c:pt idx="40">
                  <c:v>0.41433144550000001</c:v>
                </c:pt>
                <c:pt idx="41">
                  <c:v>0.41447410004000007</c:v>
                </c:pt>
                <c:pt idx="42">
                  <c:v>0.41475807590000002</c:v>
                </c:pt>
                <c:pt idx="43">
                  <c:v>0.41575532446000002</c:v>
                </c:pt>
                <c:pt idx="44">
                  <c:v>0.41649792800000002</c:v>
                </c:pt>
                <c:pt idx="45">
                  <c:v>0.41710454310000006</c:v>
                </c:pt>
                <c:pt idx="46">
                  <c:v>0.41826044484000002</c:v>
                </c:pt>
                <c:pt idx="47">
                  <c:v>0.41934568592000004</c:v>
                </c:pt>
                <c:pt idx="48">
                  <c:v>0.42020561282000002</c:v>
                </c:pt>
                <c:pt idx="49">
                  <c:v>0.42426393450000005</c:v>
                </c:pt>
                <c:pt idx="50">
                  <c:v>0.42499453906000001</c:v>
                </c:pt>
                <c:pt idx="51">
                  <c:v>0.42572247718000006</c:v>
                </c:pt>
                <c:pt idx="52">
                  <c:v>0.42776630344000005</c:v>
                </c:pt>
                <c:pt idx="53">
                  <c:v>0.42923817832</c:v>
                </c:pt>
                <c:pt idx="54">
                  <c:v>0.43144732386000006</c:v>
                </c:pt>
                <c:pt idx="55">
                  <c:v>0.43881736401999999</c:v>
                </c:pt>
                <c:pt idx="56">
                  <c:v>0.44087452248000003</c:v>
                </c:pt>
                <c:pt idx="57">
                  <c:v>0.44429156534000003</c:v>
                </c:pt>
                <c:pt idx="58">
                  <c:v>0.44503550210000004</c:v>
                </c:pt>
                <c:pt idx="59">
                  <c:v>0.44568344702000001</c:v>
                </c:pt>
                <c:pt idx="60">
                  <c:v>0.44583810054000006</c:v>
                </c:pt>
                <c:pt idx="61">
                  <c:v>0.44599008762000003</c:v>
                </c:pt>
                <c:pt idx="62">
                  <c:v>0.44793125594000005</c:v>
                </c:pt>
                <c:pt idx="63">
                  <c:v>0.44980842970000001</c:v>
                </c:pt>
                <c:pt idx="64">
                  <c:v>0.45086967282000001</c:v>
                </c:pt>
                <c:pt idx="65">
                  <c:v>0.45288816790000003</c:v>
                </c:pt>
                <c:pt idx="66">
                  <c:v>0.45660385204000004</c:v>
                </c:pt>
                <c:pt idx="67">
                  <c:v>0.46003556032000004</c:v>
                </c:pt>
                <c:pt idx="68">
                  <c:v>0.46211405030000002</c:v>
                </c:pt>
                <c:pt idx="69">
                  <c:v>0.46521645324000005</c:v>
                </c:pt>
                <c:pt idx="70">
                  <c:v>0.47479030606000006</c:v>
                </c:pt>
                <c:pt idx="71">
                  <c:v>0.48436682532000003</c:v>
                </c:pt>
                <c:pt idx="72">
                  <c:v>0.50437045820000004</c:v>
                </c:pt>
                <c:pt idx="73">
                  <c:v>0.50916205087999999</c:v>
                </c:pt>
                <c:pt idx="74">
                  <c:v>0.51094989889999998</c:v>
                </c:pt>
                <c:pt idx="75">
                  <c:v>0.51354301180000006</c:v>
                </c:pt>
                <c:pt idx="76">
                  <c:v>0.51444426852000003</c:v>
                </c:pt>
                <c:pt idx="77">
                  <c:v>0.51471091252000001</c:v>
                </c:pt>
                <c:pt idx="78">
                  <c:v>0.51616145588000006</c:v>
                </c:pt>
                <c:pt idx="79">
                  <c:v>0.51796930220000004</c:v>
                </c:pt>
                <c:pt idx="80">
                  <c:v>0.51867857524000005</c:v>
                </c:pt>
                <c:pt idx="81">
                  <c:v>0.5187985650400001</c:v>
                </c:pt>
                <c:pt idx="82">
                  <c:v>0.51894655245999999</c:v>
                </c:pt>
                <c:pt idx="83">
                  <c:v>0.51897988295999997</c:v>
                </c:pt>
                <c:pt idx="84">
                  <c:v>0.5191372029200001</c:v>
                </c:pt>
                <c:pt idx="85">
                  <c:v>0.51921719612000006</c:v>
                </c:pt>
                <c:pt idx="86">
                  <c:v>0.51928785678</c:v>
                </c:pt>
                <c:pt idx="87">
                  <c:v>0.51957983196000002</c:v>
                </c:pt>
                <c:pt idx="88">
                  <c:v>0.51972648616000006</c:v>
                </c:pt>
                <c:pt idx="89">
                  <c:v>0.51985847494000004</c:v>
                </c:pt>
                <c:pt idx="90">
                  <c:v>0.52002779387999998</c:v>
                </c:pt>
                <c:pt idx="91">
                  <c:v>0.52019444638000001</c:v>
                </c:pt>
                <c:pt idx="92">
                  <c:v>0.52044242530000007</c:v>
                </c:pt>
                <c:pt idx="93">
                  <c:v>0.52057308086000009</c:v>
                </c:pt>
                <c:pt idx="94">
                  <c:v>0.52075306556000001</c:v>
                </c:pt>
                <c:pt idx="95">
                  <c:v>0.52080506114000003</c:v>
                </c:pt>
                <c:pt idx="96">
                  <c:v>0.52085439028000002</c:v>
                </c:pt>
                <c:pt idx="97">
                  <c:v>0.52095438177999998</c:v>
                </c:pt>
                <c:pt idx="98">
                  <c:v>0.52097438007999997</c:v>
                </c:pt>
                <c:pt idx="99">
                  <c:v>0.52123169154000004</c:v>
                </c:pt>
                <c:pt idx="100">
                  <c:v>0.52131168474</c:v>
                </c:pt>
                <c:pt idx="101">
                  <c:v>0.52136767998</c:v>
                </c:pt>
                <c:pt idx="102">
                  <c:v>0.52149966875999998</c:v>
                </c:pt>
                <c:pt idx="103">
                  <c:v>0.52174631445999997</c:v>
                </c:pt>
                <c:pt idx="104">
                  <c:v>0.52210761707999997</c:v>
                </c:pt>
                <c:pt idx="105">
                  <c:v>0.52232626516000003</c:v>
                </c:pt>
                <c:pt idx="106">
                  <c:v>0.52254224680000005</c:v>
                </c:pt>
                <c:pt idx="107">
                  <c:v>0.52272223150000008</c:v>
                </c:pt>
                <c:pt idx="108">
                  <c:v>0.52321152324000009</c:v>
                </c:pt>
                <c:pt idx="109">
                  <c:v>0.52377547530000002</c:v>
                </c:pt>
                <c:pt idx="110">
                  <c:v>0.52613394148000003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A9-46C3-A8B4-5671B85D974B}"/>
            </c:ext>
          </c:extLst>
        </c:ser>
        <c:ser>
          <c:idx val="6"/>
          <c:order val="1"/>
          <c:tx>
            <c:strRef>
              <c:f>'Err. rel.'!$Q$15</c:f>
              <c:strCache>
                <c:ptCount val="1"/>
                <c:pt idx="0">
                  <c:v> exp. data [4]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Dati!$D$74:$D$98</c:f>
              <c:numCache>
                <c:formatCode>0.00</c:formatCode>
                <c:ptCount val="25"/>
                <c:pt idx="0">
                  <c:v>216.64000000000001</c:v>
                </c:pt>
                <c:pt idx="1">
                  <c:v>216.97</c:v>
                </c:pt>
                <c:pt idx="2">
                  <c:v>216.99</c:v>
                </c:pt>
                <c:pt idx="3">
                  <c:v>217.1</c:v>
                </c:pt>
                <c:pt idx="4">
                  <c:v>217.29000000000002</c:v>
                </c:pt>
                <c:pt idx="5">
                  <c:v>217.31</c:v>
                </c:pt>
                <c:pt idx="6">
                  <c:v>217.52</c:v>
                </c:pt>
                <c:pt idx="7">
                  <c:v>217.66</c:v>
                </c:pt>
                <c:pt idx="8" formatCode="General">
                  <c:v>218.81</c:v>
                </c:pt>
                <c:pt idx="9" formatCode="General">
                  <c:v>218.95000000000002</c:v>
                </c:pt>
                <c:pt idx="10" formatCode="General">
                  <c:v>219.98000000000002</c:v>
                </c:pt>
                <c:pt idx="11" formatCode="General">
                  <c:v>219.99</c:v>
                </c:pt>
                <c:pt idx="12" formatCode="General">
                  <c:v>221.94</c:v>
                </c:pt>
                <c:pt idx="13" formatCode="General">
                  <c:v>222.03</c:v>
                </c:pt>
                <c:pt idx="14" formatCode="General">
                  <c:v>226.25</c:v>
                </c:pt>
                <c:pt idx="15" formatCode="General">
                  <c:v>235.25</c:v>
                </c:pt>
                <c:pt idx="16" formatCode="General">
                  <c:v>242.65</c:v>
                </c:pt>
                <c:pt idx="17">
                  <c:v>242.66</c:v>
                </c:pt>
                <c:pt idx="18">
                  <c:v>252.25</c:v>
                </c:pt>
                <c:pt idx="19">
                  <c:v>259.08999999999997</c:v>
                </c:pt>
                <c:pt idx="20">
                  <c:v>259.2</c:v>
                </c:pt>
                <c:pt idx="21">
                  <c:v>261.62</c:v>
                </c:pt>
                <c:pt idx="22">
                  <c:v>261.62</c:v>
                </c:pt>
                <c:pt idx="23">
                  <c:v>265.66999999999996</c:v>
                </c:pt>
                <c:pt idx="24">
                  <c:v>266</c:v>
                </c:pt>
              </c:numCache>
            </c:numRef>
          </c:xVal>
          <c:yVal>
            <c:numRef>
              <c:f>Dati!$F$74:$F$98</c:f>
              <c:numCache>
                <c:formatCode>General</c:formatCode>
                <c:ptCount val="25"/>
                <c:pt idx="0">
                  <c:v>0.93218999999999996</c:v>
                </c:pt>
                <c:pt idx="1">
                  <c:v>2.6243174999999996</c:v>
                </c:pt>
                <c:pt idx="2">
                  <c:v>2.573655</c:v>
                </c:pt>
                <c:pt idx="3">
                  <c:v>3.1714725000000001</c:v>
                </c:pt>
                <c:pt idx="4">
                  <c:v>4.1036624999999995</c:v>
                </c:pt>
                <c:pt idx="5">
                  <c:v>4.1036624999999995</c:v>
                </c:pt>
                <c:pt idx="6">
                  <c:v>5.0459849999999999</c:v>
                </c:pt>
                <c:pt idx="7">
                  <c:v>5.7856575000000001</c:v>
                </c:pt>
                <c:pt idx="8">
                  <c:v>11.1356175</c:v>
                </c:pt>
                <c:pt idx="9">
                  <c:v>11.7537</c:v>
                </c:pt>
                <c:pt idx="10">
                  <c:v>16.799685</c:v>
                </c:pt>
                <c:pt idx="11">
                  <c:v>16.799685</c:v>
                </c:pt>
                <c:pt idx="12">
                  <c:v>26.192512499999999</c:v>
                </c:pt>
                <c:pt idx="13">
                  <c:v>26.699137499999999</c:v>
                </c:pt>
                <c:pt idx="14">
                  <c:v>47.936857500000002</c:v>
                </c:pt>
                <c:pt idx="15">
                  <c:v>95.863582500000007</c:v>
                </c:pt>
                <c:pt idx="16">
                  <c:v>138.06544499999998</c:v>
                </c:pt>
                <c:pt idx="17">
                  <c:v>138.06544499999998</c:v>
                </c:pt>
                <c:pt idx="18">
                  <c:v>195.96254999999999</c:v>
                </c:pt>
                <c:pt idx="19">
                  <c:v>240.24157499999998</c:v>
                </c:pt>
                <c:pt idx="20">
                  <c:v>241.13323500000001</c:v>
                </c:pt>
                <c:pt idx="21">
                  <c:v>257.04126000000002</c:v>
                </c:pt>
                <c:pt idx="22">
                  <c:v>257.04126000000002</c:v>
                </c:pt>
                <c:pt idx="23">
                  <c:v>284.27742000000001</c:v>
                </c:pt>
                <c:pt idx="24">
                  <c:v>286.770015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9-46C3-A8B4-5671B85D974B}"/>
            </c:ext>
          </c:extLst>
        </c:ser>
        <c:ser>
          <c:idx val="0"/>
          <c:order val="2"/>
          <c:tx>
            <c:strRef>
              <c:f>'Err. rel.'!$Q$44</c:f>
              <c:strCache>
                <c:ptCount val="1"/>
                <c:pt idx="0">
                  <c:v> exp. data [5]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0000000000000014E-3"/>
          </c:errBars>
          <c:errBars>
            <c:errDir val="y"/>
            <c:errBarType val="both"/>
            <c:errValType val="percentage"/>
            <c:noEndCap val="0"/>
            <c:val val="5.0000000000000018E-3"/>
          </c:errBars>
          <c:xVal>
            <c:numRef>
              <c:f>Dati!$C$103:$C$201</c:f>
              <c:numCache>
                <c:formatCode>General</c:formatCode>
                <c:ptCount val="99"/>
                <c:pt idx="0">
                  <c:v>216.58</c:v>
                </c:pt>
                <c:pt idx="1">
                  <c:v>216.58</c:v>
                </c:pt>
                <c:pt idx="2">
                  <c:v>217</c:v>
                </c:pt>
                <c:pt idx="3">
                  <c:v>217</c:v>
                </c:pt>
                <c:pt idx="4">
                  <c:v>217</c:v>
                </c:pt>
                <c:pt idx="5">
                  <c:v>217</c:v>
                </c:pt>
                <c:pt idx="6">
                  <c:v>217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225</c:v>
                </c:pt>
                <c:pt idx="17">
                  <c:v>225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235</c:v>
                </c:pt>
                <c:pt idx="22">
                  <c:v>235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245</c:v>
                </c:pt>
                <c:pt idx="29">
                  <c:v>245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255</c:v>
                </c:pt>
                <c:pt idx="34">
                  <c:v>255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260</c:v>
                </c:pt>
                <c:pt idx="42">
                  <c:v>260</c:v>
                </c:pt>
                <c:pt idx="43">
                  <c:v>265</c:v>
                </c:pt>
                <c:pt idx="44">
                  <c:v>265</c:v>
                </c:pt>
                <c:pt idx="45">
                  <c:v>270</c:v>
                </c:pt>
                <c:pt idx="46">
                  <c:v>270</c:v>
                </c:pt>
                <c:pt idx="47">
                  <c:v>275</c:v>
                </c:pt>
                <c:pt idx="48">
                  <c:v>280</c:v>
                </c:pt>
                <c:pt idx="49">
                  <c:v>280</c:v>
                </c:pt>
                <c:pt idx="50">
                  <c:v>280</c:v>
                </c:pt>
                <c:pt idx="51">
                  <c:v>280</c:v>
                </c:pt>
                <c:pt idx="52">
                  <c:v>280</c:v>
                </c:pt>
                <c:pt idx="53">
                  <c:v>280</c:v>
                </c:pt>
                <c:pt idx="54">
                  <c:v>280</c:v>
                </c:pt>
                <c:pt idx="55">
                  <c:v>280</c:v>
                </c:pt>
                <c:pt idx="56">
                  <c:v>280</c:v>
                </c:pt>
                <c:pt idx="57">
                  <c:v>285</c:v>
                </c:pt>
                <c:pt idx="58">
                  <c:v>285</c:v>
                </c:pt>
                <c:pt idx="59">
                  <c:v>290</c:v>
                </c:pt>
                <c:pt idx="60">
                  <c:v>290</c:v>
                </c:pt>
                <c:pt idx="61">
                  <c:v>290</c:v>
                </c:pt>
                <c:pt idx="62">
                  <c:v>290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295</c:v>
                </c:pt>
                <c:pt idx="67">
                  <c:v>295</c:v>
                </c:pt>
                <c:pt idx="68">
                  <c:v>297</c:v>
                </c:pt>
                <c:pt idx="69">
                  <c:v>297</c:v>
                </c:pt>
                <c:pt idx="70">
                  <c:v>299</c:v>
                </c:pt>
                <c:pt idx="71">
                  <c:v>299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301</c:v>
                </c:pt>
                <c:pt idx="78">
                  <c:v>301</c:v>
                </c:pt>
                <c:pt idx="79">
                  <c:v>302</c:v>
                </c:pt>
                <c:pt idx="80">
                  <c:v>302</c:v>
                </c:pt>
                <c:pt idx="81">
                  <c:v>302</c:v>
                </c:pt>
                <c:pt idx="82">
                  <c:v>302.5</c:v>
                </c:pt>
                <c:pt idx="83">
                  <c:v>302.5</c:v>
                </c:pt>
                <c:pt idx="84">
                  <c:v>302.5</c:v>
                </c:pt>
                <c:pt idx="85">
                  <c:v>303</c:v>
                </c:pt>
                <c:pt idx="86">
                  <c:v>303</c:v>
                </c:pt>
                <c:pt idx="87">
                  <c:v>303</c:v>
                </c:pt>
                <c:pt idx="88">
                  <c:v>303.39999999999998</c:v>
                </c:pt>
                <c:pt idx="89">
                  <c:v>303.39999999999998</c:v>
                </c:pt>
                <c:pt idx="90">
                  <c:v>303.39999999999998</c:v>
                </c:pt>
                <c:pt idx="91">
                  <c:v>303.60000000000002</c:v>
                </c:pt>
                <c:pt idx="92">
                  <c:v>303.60000000000002</c:v>
                </c:pt>
                <c:pt idx="93">
                  <c:v>303.8</c:v>
                </c:pt>
                <c:pt idx="94">
                  <c:v>303.8</c:v>
                </c:pt>
                <c:pt idx="95">
                  <c:v>303.89999999999998</c:v>
                </c:pt>
                <c:pt idx="96">
                  <c:v>304</c:v>
                </c:pt>
                <c:pt idx="97">
                  <c:v>304</c:v>
                </c:pt>
                <c:pt idx="98">
                  <c:v>304.10000000000002</c:v>
                </c:pt>
              </c:numCache>
            </c:numRef>
          </c:xVal>
          <c:yVal>
            <c:numRef>
              <c:f>Dati!$D$103:$D$201</c:f>
              <c:numCache>
                <c:formatCode>General</c:formatCode>
                <c:ptCount val="99"/>
                <c:pt idx="0">
                  <c:v>0.51793999999999996</c:v>
                </c:pt>
                <c:pt idx="1">
                  <c:v>0.51795999999999998</c:v>
                </c:pt>
                <c:pt idx="2">
                  <c:v>0.52746999999999999</c:v>
                </c:pt>
                <c:pt idx="3">
                  <c:v>0.52746000000000004</c:v>
                </c:pt>
                <c:pt idx="4">
                  <c:v>0.52744000000000002</c:v>
                </c:pt>
                <c:pt idx="5">
                  <c:v>0.52746999999999999</c:v>
                </c:pt>
                <c:pt idx="6">
                  <c:v>0.52742999999999995</c:v>
                </c:pt>
                <c:pt idx="7">
                  <c:v>0.59936999999999996</c:v>
                </c:pt>
                <c:pt idx="8">
                  <c:v>0.59938000000000002</c:v>
                </c:pt>
                <c:pt idx="9">
                  <c:v>0.59936</c:v>
                </c:pt>
                <c:pt idx="10">
                  <c:v>0.59938000000000002</c:v>
                </c:pt>
                <c:pt idx="11">
                  <c:v>0.59941</c:v>
                </c:pt>
                <c:pt idx="12">
                  <c:v>0.59936999999999996</c:v>
                </c:pt>
                <c:pt idx="13">
                  <c:v>0.59936</c:v>
                </c:pt>
                <c:pt idx="14">
                  <c:v>0.59940000000000004</c:v>
                </c:pt>
                <c:pt idx="15">
                  <c:v>0.59941999999999995</c:v>
                </c:pt>
                <c:pt idx="16">
                  <c:v>0.73533999999999999</c:v>
                </c:pt>
                <c:pt idx="17">
                  <c:v>0.73536000000000001</c:v>
                </c:pt>
                <c:pt idx="18">
                  <c:v>0.89324000000000003</c:v>
                </c:pt>
                <c:pt idx="19">
                  <c:v>0.89319999999999999</c:v>
                </c:pt>
                <c:pt idx="20">
                  <c:v>0.89324000000000003</c:v>
                </c:pt>
                <c:pt idx="21">
                  <c:v>1.07498</c:v>
                </c:pt>
                <c:pt idx="22">
                  <c:v>1.0749599999999999</c:v>
                </c:pt>
                <c:pt idx="23">
                  <c:v>1.2827500000000001</c:v>
                </c:pt>
                <c:pt idx="24">
                  <c:v>1.2827999999999999</c:v>
                </c:pt>
                <c:pt idx="25">
                  <c:v>1.28284</c:v>
                </c:pt>
                <c:pt idx="26">
                  <c:v>1.28285</c:v>
                </c:pt>
                <c:pt idx="27">
                  <c:v>1.2827900000000001</c:v>
                </c:pt>
                <c:pt idx="28">
                  <c:v>1.5188699999999999</c:v>
                </c:pt>
                <c:pt idx="29">
                  <c:v>1.51884</c:v>
                </c:pt>
                <c:pt idx="30">
                  <c:v>1.7853399999999999</c:v>
                </c:pt>
                <c:pt idx="31">
                  <c:v>1.7852600000000001</c:v>
                </c:pt>
                <c:pt idx="32">
                  <c:v>1.78532</c:v>
                </c:pt>
                <c:pt idx="33">
                  <c:v>2.0845600000000002</c:v>
                </c:pt>
                <c:pt idx="34">
                  <c:v>2.0844800000000001</c:v>
                </c:pt>
                <c:pt idx="35">
                  <c:v>2.41893</c:v>
                </c:pt>
                <c:pt idx="36">
                  <c:v>2.4189400000000001</c:v>
                </c:pt>
                <c:pt idx="37">
                  <c:v>2.4189600000000002</c:v>
                </c:pt>
                <c:pt idx="38">
                  <c:v>2.4188999999999998</c:v>
                </c:pt>
                <c:pt idx="39">
                  <c:v>2.4188499999999999</c:v>
                </c:pt>
                <c:pt idx="40">
                  <c:v>2.4188900000000002</c:v>
                </c:pt>
                <c:pt idx="41">
                  <c:v>2.4188800000000001</c:v>
                </c:pt>
                <c:pt idx="42">
                  <c:v>2.41892</c:v>
                </c:pt>
                <c:pt idx="43">
                  <c:v>2.7909799999999998</c:v>
                </c:pt>
                <c:pt idx="44">
                  <c:v>2.79095</c:v>
                </c:pt>
                <c:pt idx="45">
                  <c:v>3.2033200000000002</c:v>
                </c:pt>
                <c:pt idx="46">
                  <c:v>3.20329</c:v>
                </c:pt>
                <c:pt idx="47">
                  <c:v>3.6588099999999999</c:v>
                </c:pt>
                <c:pt idx="48">
                  <c:v>4.1606199999999998</c:v>
                </c:pt>
                <c:pt idx="49">
                  <c:v>4.1604700000000001</c:v>
                </c:pt>
                <c:pt idx="50">
                  <c:v>4.1605999999999996</c:v>
                </c:pt>
                <c:pt idx="51">
                  <c:v>4.1605800000000004</c:v>
                </c:pt>
                <c:pt idx="52">
                  <c:v>4.1605600000000003</c:v>
                </c:pt>
                <c:pt idx="53">
                  <c:v>4.1605100000000004</c:v>
                </c:pt>
                <c:pt idx="54">
                  <c:v>4.1605499999999997</c:v>
                </c:pt>
                <c:pt idx="55">
                  <c:v>4.1604999999999999</c:v>
                </c:pt>
                <c:pt idx="56">
                  <c:v>4.1606300000000003</c:v>
                </c:pt>
                <c:pt idx="57">
                  <c:v>4.7118399999999996</c:v>
                </c:pt>
                <c:pt idx="58">
                  <c:v>4.7119299999999997</c:v>
                </c:pt>
                <c:pt idx="59">
                  <c:v>5.3172100000000002</c:v>
                </c:pt>
                <c:pt idx="60">
                  <c:v>5.3173599999999999</c:v>
                </c:pt>
                <c:pt idx="61">
                  <c:v>5.3171900000000001</c:v>
                </c:pt>
                <c:pt idx="62">
                  <c:v>5.3171799999999996</c:v>
                </c:pt>
                <c:pt idx="63">
                  <c:v>5.9813999999999998</c:v>
                </c:pt>
                <c:pt idx="64">
                  <c:v>5.9815699999999996</c:v>
                </c:pt>
                <c:pt idx="65">
                  <c:v>5.9815100000000001</c:v>
                </c:pt>
                <c:pt idx="66">
                  <c:v>5.9814499999999997</c:v>
                </c:pt>
                <c:pt idx="67">
                  <c:v>5.9814800000000004</c:v>
                </c:pt>
                <c:pt idx="68">
                  <c:v>6.2650699999999997</c:v>
                </c:pt>
                <c:pt idx="69">
                  <c:v>6.2653600000000003</c:v>
                </c:pt>
                <c:pt idx="70">
                  <c:v>6.5598000000000001</c:v>
                </c:pt>
                <c:pt idx="71">
                  <c:v>6.5603400000000001</c:v>
                </c:pt>
                <c:pt idx="72">
                  <c:v>6.7117599999999999</c:v>
                </c:pt>
                <c:pt idx="73">
                  <c:v>6.7123400000000002</c:v>
                </c:pt>
                <c:pt idx="74">
                  <c:v>6.7122599999999997</c:v>
                </c:pt>
                <c:pt idx="75">
                  <c:v>6.71225</c:v>
                </c:pt>
                <c:pt idx="76">
                  <c:v>6.7121199999999996</c:v>
                </c:pt>
                <c:pt idx="77">
                  <c:v>6.867</c:v>
                </c:pt>
                <c:pt idx="78">
                  <c:v>6.8673700000000002</c:v>
                </c:pt>
                <c:pt idx="79">
                  <c:v>7.0254700000000003</c:v>
                </c:pt>
                <c:pt idx="80">
                  <c:v>7.0258500000000002</c:v>
                </c:pt>
                <c:pt idx="81">
                  <c:v>7.0258000000000003</c:v>
                </c:pt>
                <c:pt idx="82">
                  <c:v>7.1058599999999998</c:v>
                </c:pt>
                <c:pt idx="83">
                  <c:v>7.1063099999999997</c:v>
                </c:pt>
                <c:pt idx="84">
                  <c:v>7.1058199999999996</c:v>
                </c:pt>
                <c:pt idx="85">
                  <c:v>7.1873399999999998</c:v>
                </c:pt>
                <c:pt idx="86">
                  <c:v>7.1879299999999997</c:v>
                </c:pt>
                <c:pt idx="87">
                  <c:v>7.1878099999999998</c:v>
                </c:pt>
                <c:pt idx="88">
                  <c:v>7.2535999999999996</c:v>
                </c:pt>
                <c:pt idx="89">
                  <c:v>7.2538799999999997</c:v>
                </c:pt>
                <c:pt idx="90">
                  <c:v>7.2539999999999996</c:v>
                </c:pt>
                <c:pt idx="91">
                  <c:v>7.2868399999999998</c:v>
                </c:pt>
                <c:pt idx="92">
                  <c:v>7.2870799999999996</c:v>
                </c:pt>
                <c:pt idx="93">
                  <c:v>7.32029</c:v>
                </c:pt>
                <c:pt idx="94">
                  <c:v>7.3204399999999996</c:v>
                </c:pt>
                <c:pt idx="95">
                  <c:v>7.3372900000000003</c:v>
                </c:pt>
                <c:pt idx="96">
                  <c:v>7.3540299999999998</c:v>
                </c:pt>
                <c:pt idx="97">
                  <c:v>7.3541499999999997</c:v>
                </c:pt>
                <c:pt idx="98">
                  <c:v>7.3709899999999999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A9-46C3-A8B4-5671B85D974B}"/>
            </c:ext>
          </c:extLst>
        </c:ser>
        <c:ser>
          <c:idx val="4"/>
          <c:order val="3"/>
          <c:tx>
            <c:strRef>
              <c:f>'Err. rel.'!$M$13</c:f>
              <c:strCache>
                <c:ptCount val="1"/>
                <c:pt idx="0">
                  <c:v> Sublimation line (Corr. Eq. [1])</c:v>
                </c:pt>
              </c:strCache>
            </c:strRef>
          </c:tx>
          <c:spPr>
            <a:ln>
              <a:solidFill>
                <a:srgbClr val="0070C0"/>
              </a:solidFill>
              <a:prstDash val="dashDot"/>
            </a:ln>
          </c:spPr>
          <c:marker>
            <c:symbol val="none"/>
          </c:marker>
          <c:xVal>
            <c:numRef>
              <c:f>'Calcoli eqilib.'!$R$42:$R$58</c:f>
              <c:numCache>
                <c:formatCode>0.00</c:formatCode>
                <c:ptCount val="17"/>
                <c:pt idx="0">
                  <c:v>73.150000000000006</c:v>
                </c:pt>
                <c:pt idx="1">
                  <c:v>90</c:v>
                </c:pt>
                <c:pt idx="2">
                  <c:v>110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185</c:v>
                </c:pt>
                <c:pt idx="10">
                  <c:v>190</c:v>
                </c:pt>
                <c:pt idx="11">
                  <c:v>195</c:v>
                </c:pt>
                <c:pt idx="12">
                  <c:v>200</c:v>
                </c:pt>
                <c:pt idx="13">
                  <c:v>205</c:v>
                </c:pt>
                <c:pt idx="14">
                  <c:v>210</c:v>
                </c:pt>
                <c:pt idx="15">
                  <c:v>213</c:v>
                </c:pt>
                <c:pt idx="16" formatCode="#,##0.00">
                  <c:v>216.59200000000001</c:v>
                </c:pt>
              </c:numCache>
            </c:numRef>
          </c:xVal>
          <c:yVal>
            <c:numRef>
              <c:f>'Calcoli eqilib.'!$Q$42:$Q$58</c:f>
              <c:numCache>
                <c:formatCode>General</c:formatCode>
                <c:ptCount val="17"/>
                <c:pt idx="0">
                  <c:v>3.3504163561910871E-14</c:v>
                </c:pt>
                <c:pt idx="1">
                  <c:v>2.8686214242532602E-10</c:v>
                </c:pt>
                <c:pt idx="2">
                  <c:v>2.9583157345645998E-7</c:v>
                </c:pt>
                <c:pt idx="3">
                  <c:v>3.0868506801518974E-5</c:v>
                </c:pt>
                <c:pt idx="4">
                  <c:v>1.835603343918938E-4</c:v>
                </c:pt>
                <c:pt idx="5">
                  <c:v>8.4264625414091161E-4</c:v>
                </c:pt>
                <c:pt idx="6">
                  <c:v>3.1475480353589866E-3</c:v>
                </c:pt>
                <c:pt idx="7">
                  <c:v>9.9604210984476308E-3</c:v>
                </c:pt>
                <c:pt idx="8">
                  <c:v>2.7557046263219243E-2</c:v>
                </c:pt>
                <c:pt idx="9">
                  <c:v>4.3934831875995596E-2</c:v>
                </c:pt>
                <c:pt idx="10">
                  <c:v>6.8342439412995865E-2</c:v>
                </c:pt>
                <c:pt idx="11">
                  <c:v>0.10397129999588997</c:v>
                </c:pt>
                <c:pt idx="12">
                  <c:v>0.15503130551946942</c:v>
                </c:pt>
                <c:pt idx="13">
                  <c:v>0.2270232433053459</c:v>
                </c:pt>
                <c:pt idx="14">
                  <c:v>0.32708932074315211</c:v>
                </c:pt>
                <c:pt idx="15">
                  <c:v>0.40434938870192988</c:v>
                </c:pt>
                <c:pt idx="16">
                  <c:v>0.51795000000000002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A9-46C3-A8B4-5671B85D974B}"/>
            </c:ext>
          </c:extLst>
        </c:ser>
        <c:ser>
          <c:idx val="2"/>
          <c:order val="4"/>
          <c:tx>
            <c:strRef>
              <c:f>'Err. rel.'!$N$15</c:f>
              <c:strCache>
                <c:ptCount val="1"/>
                <c:pt idx="0">
                  <c:v> Melting line (Corr. Eq. [1])</c:v>
                </c:pt>
              </c:strCache>
            </c:strRef>
          </c:tx>
          <c:spPr>
            <a:ln w="19050">
              <a:solidFill>
                <a:schemeClr val="tx1"/>
              </a:solidFill>
              <a:prstDash val="dashDot"/>
            </a:ln>
          </c:spPr>
          <c:marker>
            <c:symbol val="none"/>
          </c:marker>
          <c:xVal>
            <c:numRef>
              <c:f>'Calcoli eqilib.'!$B$64:$B$89</c:f>
              <c:numCache>
                <c:formatCode>0.00</c:formatCode>
                <c:ptCount val="26"/>
                <c:pt idx="0" formatCode="#,##0.00">
                  <c:v>216.59200000000001</c:v>
                </c:pt>
                <c:pt idx="1">
                  <c:v>216.8</c:v>
                </c:pt>
                <c:pt idx="2">
                  <c:v>217</c:v>
                </c:pt>
                <c:pt idx="3">
                  <c:v>217.3</c:v>
                </c:pt>
                <c:pt idx="4">
                  <c:v>217.7</c:v>
                </c:pt>
                <c:pt idx="5">
                  <c:v>217.9</c:v>
                </c:pt>
                <c:pt idx="6">
                  <c:v>218</c:v>
                </c:pt>
                <c:pt idx="7">
                  <c:v>218.2</c:v>
                </c:pt>
                <c:pt idx="8">
                  <c:v>218.5</c:v>
                </c:pt>
                <c:pt idx="9">
                  <c:v>218.60006999999999</c:v>
                </c:pt>
                <c:pt idx="10" formatCode="General">
                  <c:v>218.81</c:v>
                </c:pt>
                <c:pt idx="11" formatCode="General">
                  <c:v>218.95</c:v>
                </c:pt>
                <c:pt idx="12" formatCode="General">
                  <c:v>219.98</c:v>
                </c:pt>
                <c:pt idx="13" formatCode="General">
                  <c:v>219.99</c:v>
                </c:pt>
                <c:pt idx="14" formatCode="General">
                  <c:v>221.94</c:v>
                </c:pt>
                <c:pt idx="15" formatCode="General">
                  <c:v>222.03</c:v>
                </c:pt>
                <c:pt idx="16" formatCode="General">
                  <c:v>226.25</c:v>
                </c:pt>
                <c:pt idx="17" formatCode="General">
                  <c:v>235.25</c:v>
                </c:pt>
                <c:pt idx="18" formatCode="General">
                  <c:v>242.65</c:v>
                </c:pt>
                <c:pt idx="19" formatCode="General">
                  <c:v>242.66</c:v>
                </c:pt>
                <c:pt idx="20" formatCode="General">
                  <c:v>252.25</c:v>
                </c:pt>
                <c:pt idx="21" formatCode="General">
                  <c:v>259.08999999999997</c:v>
                </c:pt>
                <c:pt idx="22" formatCode="General">
                  <c:v>259.2</c:v>
                </c:pt>
                <c:pt idx="23" formatCode="General">
                  <c:v>261.62</c:v>
                </c:pt>
                <c:pt idx="24" formatCode="General">
                  <c:v>265.67</c:v>
                </c:pt>
                <c:pt idx="25" formatCode="General">
                  <c:v>266</c:v>
                </c:pt>
              </c:numCache>
            </c:numRef>
          </c:xVal>
          <c:yVal>
            <c:numRef>
              <c:f>'Calcoli eqilib.'!$L$64:$L$89</c:f>
              <c:numCache>
                <c:formatCode>General</c:formatCode>
                <c:ptCount val="26"/>
                <c:pt idx="0">
                  <c:v>0.51795000000000002</c:v>
                </c:pt>
                <c:pt idx="1">
                  <c:v>1.491623607724752</c:v>
                </c:pt>
                <c:pt idx="2">
                  <c:v>2.4297000645423315</c:v>
                </c:pt>
                <c:pt idx="3">
                  <c:v>3.8402188563961106</c:v>
                </c:pt>
                <c:pt idx="4">
                  <c:v>5.7272649112383904</c:v>
                </c:pt>
                <c:pt idx="5">
                  <c:v>6.6735112239614818</c:v>
                </c:pt>
                <c:pt idx="6">
                  <c:v>7.1473152016486008</c:v>
                </c:pt>
                <c:pt idx="7">
                  <c:v>8.0962847996735281</c:v>
                </c:pt>
                <c:pt idx="8">
                  <c:v>9.5231433033381023</c:v>
                </c:pt>
                <c:pt idx="9">
                  <c:v>10.000004294380487</c:v>
                </c:pt>
                <c:pt idx="10">
                  <c:v>11.001855200879723</c:v>
                </c:pt>
                <c:pt idx="11">
                  <c:v>11.671090298746494</c:v>
                </c:pt>
                <c:pt idx="12">
                  <c:v>16.622097111410177</c:v>
                </c:pt>
                <c:pt idx="13">
                  <c:v>16.670401156777167</c:v>
                </c:pt>
                <c:pt idx="14">
                  <c:v>26.176426640187337</c:v>
                </c:pt>
                <c:pt idx="15">
                  <c:v>26.619332904395044</c:v>
                </c:pt>
                <c:pt idx="16">
                  <c:v>47.799479329411767</c:v>
                </c:pt>
                <c:pt idx="17">
                  <c:v>95.670545100769004</c:v>
                </c:pt>
                <c:pt idx="18">
                  <c:v>137.78534838136468</c:v>
                </c:pt>
                <c:pt idx="19">
                  <c:v>137.8439419063638</c:v>
                </c:pt>
                <c:pt idx="20">
                  <c:v>196.12443686398731</c:v>
                </c:pt>
                <c:pt idx="21">
                  <c:v>240.24297359850127</c:v>
                </c:pt>
                <c:pt idx="22">
                  <c:v>240.96983182697372</c:v>
                </c:pt>
                <c:pt idx="23">
                  <c:v>257.09965940827811</c:v>
                </c:pt>
                <c:pt idx="24">
                  <c:v>284.68845573065386</c:v>
                </c:pt>
                <c:pt idx="25">
                  <c:v>286.9692336987523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A9-46C3-A8B4-5671B85D974B}"/>
            </c:ext>
          </c:extLst>
        </c:ser>
        <c:ser>
          <c:idx val="3"/>
          <c:order val="5"/>
          <c:tx>
            <c:strRef>
              <c:f>'Err. rel.'!$K$44</c:f>
              <c:strCache>
                <c:ptCount val="1"/>
                <c:pt idx="0">
                  <c:v> Saturation line (Corr. Eq. [1])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Dot"/>
            </a:ln>
          </c:spPr>
          <c:marker>
            <c:symbol val="none"/>
          </c:marker>
          <c:xVal>
            <c:numRef>
              <c:f>Dati!$P$39:$P$70</c:f>
              <c:numCache>
                <c:formatCode>0</c:formatCode>
                <c:ptCount val="32"/>
                <c:pt idx="0" formatCode="0.00">
                  <c:v>216.59200000000001</c:v>
                </c:pt>
                <c:pt idx="1">
                  <c:v>217</c:v>
                </c:pt>
                <c:pt idx="2">
                  <c:v>220</c:v>
                </c:pt>
                <c:pt idx="3" formatCode="General">
                  <c:v>225</c:v>
                </c:pt>
                <c:pt idx="4" formatCode="General">
                  <c:v>230</c:v>
                </c:pt>
                <c:pt idx="5" formatCode="General">
                  <c:v>235</c:v>
                </c:pt>
                <c:pt idx="6" formatCode="General">
                  <c:v>240</c:v>
                </c:pt>
                <c:pt idx="7" formatCode="General">
                  <c:v>245</c:v>
                </c:pt>
                <c:pt idx="8" formatCode="General">
                  <c:v>250</c:v>
                </c:pt>
                <c:pt idx="9" formatCode="General">
                  <c:v>255</c:v>
                </c:pt>
                <c:pt idx="10" formatCode="General">
                  <c:v>260</c:v>
                </c:pt>
                <c:pt idx="11" formatCode="General">
                  <c:v>265</c:v>
                </c:pt>
                <c:pt idx="12" formatCode="General">
                  <c:v>270</c:v>
                </c:pt>
                <c:pt idx="13" formatCode="General">
                  <c:v>275</c:v>
                </c:pt>
                <c:pt idx="14" formatCode="General">
                  <c:v>280</c:v>
                </c:pt>
                <c:pt idx="15" formatCode="General">
                  <c:v>285</c:v>
                </c:pt>
                <c:pt idx="16" formatCode="General">
                  <c:v>290</c:v>
                </c:pt>
                <c:pt idx="17" formatCode="General">
                  <c:v>295</c:v>
                </c:pt>
                <c:pt idx="18" formatCode="General">
                  <c:v>297</c:v>
                </c:pt>
                <c:pt idx="19" formatCode="General">
                  <c:v>299</c:v>
                </c:pt>
                <c:pt idx="20" formatCode="General">
                  <c:v>300</c:v>
                </c:pt>
                <c:pt idx="21" formatCode="General">
                  <c:v>301</c:v>
                </c:pt>
                <c:pt idx="22" formatCode="General">
                  <c:v>302</c:v>
                </c:pt>
                <c:pt idx="23" formatCode="General">
                  <c:v>302.5</c:v>
                </c:pt>
                <c:pt idx="24" formatCode="General">
                  <c:v>303</c:v>
                </c:pt>
                <c:pt idx="25" formatCode="General">
                  <c:v>303.39999999999998</c:v>
                </c:pt>
                <c:pt idx="26" formatCode="General">
                  <c:v>303.60000000000002</c:v>
                </c:pt>
                <c:pt idx="27" formatCode="General">
                  <c:v>303.8</c:v>
                </c:pt>
                <c:pt idx="28" formatCode="General">
                  <c:v>303.89999999999998</c:v>
                </c:pt>
                <c:pt idx="29" formatCode="General">
                  <c:v>304</c:v>
                </c:pt>
                <c:pt idx="30" formatCode="General">
                  <c:v>304.10000000000002</c:v>
                </c:pt>
                <c:pt idx="31" formatCode="0.00">
                  <c:v>304.12819999999999</c:v>
                </c:pt>
              </c:numCache>
            </c:numRef>
          </c:xVal>
          <c:yVal>
            <c:numRef>
              <c:f>Dati!$Q$39:$Q$70</c:f>
              <c:numCache>
                <c:formatCode>General</c:formatCode>
                <c:ptCount val="32"/>
                <c:pt idx="0">
                  <c:v>0.51795000000000002</c:v>
                </c:pt>
                <c:pt idx="1">
                  <c:v>0.52721322780292745</c:v>
                </c:pt>
                <c:pt idx="2">
                  <c:v>0.59912789711238545</c:v>
                </c:pt>
                <c:pt idx="3">
                  <c:v>0.73508900227401175</c:v>
                </c:pt>
                <c:pt idx="4">
                  <c:v>0.89292261912453497</c:v>
                </c:pt>
                <c:pt idx="5">
                  <c:v>1.0746892282713261</c:v>
                </c:pt>
                <c:pt idx="6">
                  <c:v>1.2825037568404196</c:v>
                </c:pt>
                <c:pt idx="7">
                  <c:v>1.5185384414622787</c:v>
                </c:pt>
                <c:pt idx="8">
                  <c:v>1.7850290653665548</c:v>
                </c:pt>
                <c:pt idx="9">
                  <c:v>2.0842852342942773</c:v>
                </c:pt>
                <c:pt idx="10">
                  <c:v>2.4187057550446407</c:v>
                </c:pt>
                <c:pt idx="11">
                  <c:v>2.7908008757345892</c:v>
                </c:pt>
                <c:pt idx="12">
                  <c:v>3.2032243859797105</c:v>
                </c:pt>
                <c:pt idx="13">
                  <c:v>3.6588208974763661</c:v>
                </c:pt>
                <c:pt idx="14">
                  <c:v>4.1606983126636461</c:v>
                </c:pt>
                <c:pt idx="15">
                  <c:v>4.712345960460719</c:v>
                </c:pt>
                <c:pt idx="16">
                  <c:v>5.3178458116826866</c:v>
                </c:pt>
                <c:pt idx="17">
                  <c:v>5.9823096345263096</c:v>
                </c:pt>
                <c:pt idx="18">
                  <c:v>6.2661109089253992</c:v>
                </c:pt>
                <c:pt idx="19">
                  <c:v>6.5611059009308415</c:v>
                </c:pt>
                <c:pt idx="20">
                  <c:v>6.7130657327416188</c:v>
                </c:pt>
                <c:pt idx="21">
                  <c:v>6.8681926026531919</c:v>
                </c:pt>
                <c:pt idx="22">
                  <c:v>7.0266931453300883</c:v>
                </c:pt>
                <c:pt idx="23">
                  <c:v>7.1073007410630078</c:v>
                </c:pt>
                <c:pt idx="24">
                  <c:v>7.1888881766182164</c:v>
                </c:pt>
                <c:pt idx="25">
                  <c:v>7.2549251098506318</c:v>
                </c:pt>
                <c:pt idx="26">
                  <c:v>7.288225234906184</c:v>
                </c:pt>
                <c:pt idx="27">
                  <c:v>7.32173527580753</c:v>
                </c:pt>
                <c:pt idx="28">
                  <c:v>7.3385782941944697</c:v>
                </c:pt>
                <c:pt idx="29">
                  <c:v>7.3554890970538933</c:v>
                </c:pt>
                <c:pt idx="30">
                  <c:v>7.3724842361861835</c:v>
                </c:pt>
                <c:pt idx="31">
                  <c:v>7.3773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A9-46C3-A8B4-5671B85D974B}"/>
            </c:ext>
          </c:extLst>
        </c:ser>
        <c:ser>
          <c:idx val="9"/>
          <c:order val="6"/>
          <c:tx>
            <c:strRef>
              <c:f>'Err. rel.'!$J$12</c:f>
              <c:strCache>
                <c:ptCount val="1"/>
                <c:pt idx="0">
                  <c:v> Sublimation line (EoS model)</c:v>
                </c:pt>
              </c:strCache>
            </c:strRef>
          </c:tx>
          <c:spPr>
            <a:ln w="15875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'Calcoli eqilib.'!$B$95:$B$176</c:f>
              <c:numCache>
                <c:formatCode>0.00</c:formatCode>
                <c:ptCount val="82"/>
                <c:pt idx="0">
                  <c:v>73.64</c:v>
                </c:pt>
                <c:pt idx="1">
                  <c:v>90</c:v>
                </c:pt>
                <c:pt idx="2">
                  <c:v>110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 formatCode="General">
                  <c:v>170.11</c:v>
                </c:pt>
                <c:pt idx="8" formatCode="General">
                  <c:v>171.81</c:v>
                </c:pt>
                <c:pt idx="9" formatCode="General">
                  <c:v>172.14</c:v>
                </c:pt>
                <c:pt idx="10" formatCode="General">
                  <c:v>173.59</c:v>
                </c:pt>
                <c:pt idx="11" formatCode="General">
                  <c:v>175.34</c:v>
                </c:pt>
                <c:pt idx="12" formatCode="General">
                  <c:v>177.2</c:v>
                </c:pt>
                <c:pt idx="13" formatCode="General">
                  <c:v>179.2</c:v>
                </c:pt>
                <c:pt idx="14" formatCode="General">
                  <c:v>179.73</c:v>
                </c:pt>
                <c:pt idx="15" formatCode="General">
                  <c:v>180.95</c:v>
                </c:pt>
                <c:pt idx="16" formatCode="General">
                  <c:v>183.02</c:v>
                </c:pt>
                <c:pt idx="17" formatCode="General">
                  <c:v>184.37</c:v>
                </c:pt>
                <c:pt idx="18" formatCode="General">
                  <c:v>185.23</c:v>
                </c:pt>
                <c:pt idx="19" formatCode="General">
                  <c:v>187.25</c:v>
                </c:pt>
                <c:pt idx="20" formatCode="General">
                  <c:v>189.88</c:v>
                </c:pt>
                <c:pt idx="21" formatCode="General">
                  <c:v>192.79</c:v>
                </c:pt>
                <c:pt idx="22" formatCode="General">
                  <c:v>194.54</c:v>
                </c:pt>
                <c:pt idx="23" formatCode="General">
                  <c:v>197.47</c:v>
                </c:pt>
                <c:pt idx="24" formatCode="General">
                  <c:v>199.29</c:v>
                </c:pt>
                <c:pt idx="25" formatCode="General">
                  <c:v>201.74</c:v>
                </c:pt>
                <c:pt idx="26" formatCode="General">
                  <c:v>202.82</c:v>
                </c:pt>
                <c:pt idx="27" formatCode="General">
                  <c:v>203.8</c:v>
                </c:pt>
                <c:pt idx="28" formatCode="General">
                  <c:v>205.24</c:v>
                </c:pt>
                <c:pt idx="29" formatCode="General">
                  <c:v>207.03</c:v>
                </c:pt>
                <c:pt idx="30" formatCode="General">
                  <c:v>207.22</c:v>
                </c:pt>
                <c:pt idx="31" formatCode="General">
                  <c:v>207.61</c:v>
                </c:pt>
                <c:pt idx="32" formatCode="General">
                  <c:v>207.98</c:v>
                </c:pt>
                <c:pt idx="33" formatCode="General">
                  <c:v>208.44</c:v>
                </c:pt>
                <c:pt idx="34" formatCode="General">
                  <c:v>209.3</c:v>
                </c:pt>
                <c:pt idx="35" formatCode="General">
                  <c:v>210.73</c:v>
                </c:pt>
                <c:pt idx="36" formatCode="General">
                  <c:v>210.93</c:v>
                </c:pt>
                <c:pt idx="37" formatCode="General">
                  <c:v>211.11</c:v>
                </c:pt>
                <c:pt idx="38" formatCode="General">
                  <c:v>211.23</c:v>
                </c:pt>
                <c:pt idx="39" formatCode="General">
                  <c:v>211.29</c:v>
                </c:pt>
                <c:pt idx="40" formatCode="General">
                  <c:v>213.19</c:v>
                </c:pt>
                <c:pt idx="41" formatCode="General">
                  <c:v>213.27</c:v>
                </c:pt>
                <c:pt idx="42" formatCode="General">
                  <c:v>213.28</c:v>
                </c:pt>
                <c:pt idx="43" formatCode="General">
                  <c:v>213.35</c:v>
                </c:pt>
                <c:pt idx="44" formatCode="General">
                  <c:v>213.39</c:v>
                </c:pt>
                <c:pt idx="45" formatCode="General">
                  <c:v>213.41</c:v>
                </c:pt>
                <c:pt idx="46" formatCode="General">
                  <c:v>213.43</c:v>
                </c:pt>
                <c:pt idx="47" formatCode="General">
                  <c:v>213.47</c:v>
                </c:pt>
                <c:pt idx="48" formatCode="General">
                  <c:v>213.51</c:v>
                </c:pt>
                <c:pt idx="49" formatCode="General">
                  <c:v>213.54</c:v>
                </c:pt>
                <c:pt idx="50" formatCode="General">
                  <c:v>213.68</c:v>
                </c:pt>
                <c:pt idx="51" formatCode="General">
                  <c:v>213.7</c:v>
                </c:pt>
                <c:pt idx="52" formatCode="General">
                  <c:v>213.73</c:v>
                </c:pt>
                <c:pt idx="53" formatCode="General">
                  <c:v>213.8</c:v>
                </c:pt>
                <c:pt idx="54" formatCode="General">
                  <c:v>213.85</c:v>
                </c:pt>
                <c:pt idx="55" formatCode="General">
                  <c:v>213.92</c:v>
                </c:pt>
                <c:pt idx="56" formatCode="General">
                  <c:v>214.17</c:v>
                </c:pt>
                <c:pt idx="57" formatCode="General">
                  <c:v>214.23</c:v>
                </c:pt>
                <c:pt idx="58" formatCode="General">
                  <c:v>214.34</c:v>
                </c:pt>
                <c:pt idx="59" formatCode="General">
                  <c:v>214.37</c:v>
                </c:pt>
                <c:pt idx="60" formatCode="General">
                  <c:v>214.39</c:v>
                </c:pt>
                <c:pt idx="61" formatCode="General">
                  <c:v>214.4</c:v>
                </c:pt>
                <c:pt idx="62" formatCode="General">
                  <c:v>214.46</c:v>
                </c:pt>
                <c:pt idx="63" formatCode="General">
                  <c:v>214.52</c:v>
                </c:pt>
                <c:pt idx="64" formatCode="General">
                  <c:v>214.56</c:v>
                </c:pt>
                <c:pt idx="65" formatCode="General">
                  <c:v>214.62</c:v>
                </c:pt>
                <c:pt idx="66" formatCode="General">
                  <c:v>214.74</c:v>
                </c:pt>
                <c:pt idx="67" formatCode="General">
                  <c:v>214.85</c:v>
                </c:pt>
                <c:pt idx="68" formatCode="General">
                  <c:v>214.91</c:v>
                </c:pt>
                <c:pt idx="69" formatCode="General">
                  <c:v>215.01</c:v>
                </c:pt>
                <c:pt idx="70" formatCode="General">
                  <c:v>215.31</c:v>
                </c:pt>
                <c:pt idx="71" formatCode="General">
                  <c:v>215.6</c:v>
                </c:pt>
                <c:pt idx="72" formatCode="General">
                  <c:v>216.19</c:v>
                </c:pt>
                <c:pt idx="73" formatCode="General">
                  <c:v>216.33</c:v>
                </c:pt>
                <c:pt idx="74" formatCode="General">
                  <c:v>216.38</c:v>
                </c:pt>
                <c:pt idx="75" formatCode="General">
                  <c:v>216.45</c:v>
                </c:pt>
                <c:pt idx="76" formatCode="General">
                  <c:v>216.48</c:v>
                </c:pt>
                <c:pt idx="77" formatCode="General">
                  <c:v>216.49</c:v>
                </c:pt>
                <c:pt idx="78" formatCode="General">
                  <c:v>216.53</c:v>
                </c:pt>
                <c:pt idx="79" formatCode="General">
                  <c:v>216.58</c:v>
                </c:pt>
                <c:pt idx="80" formatCode="General">
                  <c:v>216.59</c:v>
                </c:pt>
                <c:pt idx="81" formatCode="General">
                  <c:v>216.5932799</c:v>
                </c:pt>
              </c:numCache>
            </c:numRef>
          </c:xVal>
          <c:yVal>
            <c:numRef>
              <c:f>'Calcoli eqilib.'!$C$95:$C$176</c:f>
              <c:numCache>
                <c:formatCode>0.00E+00</c:formatCode>
                <c:ptCount val="82"/>
                <c:pt idx="0">
                  <c:v>3.2199999999999998E-14</c:v>
                </c:pt>
                <c:pt idx="1">
                  <c:v>4.5900000000000002E-10</c:v>
                </c:pt>
                <c:pt idx="2">
                  <c:v>3.5880000000000001E-7</c:v>
                </c:pt>
                <c:pt idx="3">
                  <c:v>3.2703500000000003E-5</c:v>
                </c:pt>
                <c:pt idx="4" formatCode="General">
                  <c:v>1.9000000000000001E-4</c:v>
                </c:pt>
                <c:pt idx="5" formatCode="General">
                  <c:v>8.4999999999999995E-4</c:v>
                </c:pt>
                <c:pt idx="6" formatCode="General">
                  <c:v>3.1700000000000001E-3</c:v>
                </c:pt>
                <c:pt idx="7" formatCode="General">
                  <c:v>1.0120000000000001E-2</c:v>
                </c:pt>
                <c:pt idx="8" formatCode="General">
                  <c:v>1.214E-2</c:v>
                </c:pt>
                <c:pt idx="9" formatCode="General">
                  <c:v>1.2565E-2</c:v>
                </c:pt>
                <c:pt idx="10" formatCode="General">
                  <c:v>1.4619999999999999E-2</c:v>
                </c:pt>
                <c:pt idx="11" formatCode="General">
                  <c:v>1.7479999999999999E-2</c:v>
                </c:pt>
                <c:pt idx="12" formatCode="General">
                  <c:v>2.1059999999999999E-2</c:v>
                </c:pt>
                <c:pt idx="13" formatCode="General">
                  <c:v>2.5610000000000001E-2</c:v>
                </c:pt>
                <c:pt idx="14" formatCode="General">
                  <c:v>2.6960000000000001E-2</c:v>
                </c:pt>
                <c:pt idx="15" formatCode="General">
                  <c:v>3.0290000000000001E-2</c:v>
                </c:pt>
                <c:pt idx="16" formatCode="General">
                  <c:v>3.678E-2</c:v>
                </c:pt>
                <c:pt idx="17" formatCode="General">
                  <c:v>4.1640000000000003E-2</c:v>
                </c:pt>
                <c:pt idx="18" formatCode="General">
                  <c:v>4.5019999999999998E-2</c:v>
                </c:pt>
                <c:pt idx="19" formatCode="General">
                  <c:v>5.3940000000000002E-2</c:v>
                </c:pt>
                <c:pt idx="20" formatCode="General">
                  <c:v>6.7849999999999994E-2</c:v>
                </c:pt>
                <c:pt idx="21" formatCode="General">
                  <c:v>8.6819999999999994E-2</c:v>
                </c:pt>
                <c:pt idx="22" formatCode="General">
                  <c:v>0.10034</c:v>
                </c:pt>
                <c:pt idx="23" formatCode="General">
                  <c:v>0.12716</c:v>
                </c:pt>
                <c:pt idx="24" formatCode="General">
                  <c:v>0.14682999999999999</c:v>
                </c:pt>
                <c:pt idx="25" formatCode="General">
                  <c:v>0.17751</c:v>
                </c:pt>
                <c:pt idx="26" formatCode="General">
                  <c:v>0.19273000000000001</c:v>
                </c:pt>
                <c:pt idx="27" formatCode="General">
                  <c:v>0.20754</c:v>
                </c:pt>
                <c:pt idx="28" formatCode="General">
                  <c:v>0.23111999999999999</c:v>
                </c:pt>
                <c:pt idx="29" formatCode="General">
                  <c:v>0.26371</c:v>
                </c:pt>
                <c:pt idx="30" formatCode="General">
                  <c:v>0.26740000000000003</c:v>
                </c:pt>
                <c:pt idx="31" formatCode="General">
                  <c:v>0.27511999999999998</c:v>
                </c:pt>
                <c:pt idx="32" formatCode="General">
                  <c:v>0.28261999999999998</c:v>
                </c:pt>
                <c:pt idx="33" formatCode="General">
                  <c:v>0.29220000000000002</c:v>
                </c:pt>
                <c:pt idx="34" formatCode="General">
                  <c:v>0.31089</c:v>
                </c:pt>
                <c:pt idx="35" formatCode="General">
                  <c:v>0.34433999999999998</c:v>
                </c:pt>
                <c:pt idx="36" formatCode="General">
                  <c:v>0.34927000000000002</c:v>
                </c:pt>
                <c:pt idx="37" formatCode="General">
                  <c:v>0.35376000000000002</c:v>
                </c:pt>
                <c:pt idx="38" formatCode="General">
                  <c:v>0.35677999999999999</c:v>
                </c:pt>
                <c:pt idx="39" formatCode="General">
                  <c:v>0.35830000000000001</c:v>
                </c:pt>
                <c:pt idx="40" formatCode="General">
                  <c:v>0.40949999999999998</c:v>
                </c:pt>
                <c:pt idx="41" formatCode="General">
                  <c:v>0.4118</c:v>
                </c:pt>
                <c:pt idx="42" formatCode="General">
                  <c:v>0.41208</c:v>
                </c:pt>
                <c:pt idx="43" formatCode="General">
                  <c:v>0.41410000000000002</c:v>
                </c:pt>
                <c:pt idx="44" formatCode="General">
                  <c:v>0.41526000000000002</c:v>
                </c:pt>
                <c:pt idx="45" formatCode="General">
                  <c:v>0.41583999999999999</c:v>
                </c:pt>
                <c:pt idx="46" formatCode="General">
                  <c:v>0.41642000000000001</c:v>
                </c:pt>
                <c:pt idx="47" formatCode="General">
                  <c:v>0.41758000000000001</c:v>
                </c:pt>
                <c:pt idx="48" formatCode="General">
                  <c:v>0.41875000000000001</c:v>
                </c:pt>
                <c:pt idx="49" formatCode="General">
                  <c:v>0.41961999999999999</c:v>
                </c:pt>
                <c:pt idx="50" formatCode="General">
                  <c:v>0.42373</c:v>
                </c:pt>
                <c:pt idx="51" formatCode="General">
                  <c:v>0.42431999999999997</c:v>
                </c:pt>
                <c:pt idx="52" formatCode="General">
                  <c:v>0.42520999999999998</c:v>
                </c:pt>
                <c:pt idx="53" formatCode="General">
                  <c:v>0.42729</c:v>
                </c:pt>
                <c:pt idx="54" formatCode="General">
                  <c:v>0.42876999999999998</c:v>
                </c:pt>
                <c:pt idx="55" formatCode="General">
                  <c:v>0.43086999999999998</c:v>
                </c:pt>
                <c:pt idx="56" formatCode="General">
                  <c:v>0.43841000000000002</c:v>
                </c:pt>
                <c:pt idx="57" formatCode="General">
                  <c:v>0.44024000000000002</c:v>
                </c:pt>
                <c:pt idx="58" formatCode="General">
                  <c:v>0.44361</c:v>
                </c:pt>
                <c:pt idx="59" formatCode="General">
                  <c:v>0.44452999999999998</c:v>
                </c:pt>
                <c:pt idx="60" formatCode="General">
                  <c:v>0.44514999999999999</c:v>
                </c:pt>
                <c:pt idx="61" formatCode="General">
                  <c:v>0.44546000000000002</c:v>
                </c:pt>
                <c:pt idx="62" formatCode="General">
                  <c:v>0.44730999999999999</c:v>
                </c:pt>
                <c:pt idx="63" formatCode="General">
                  <c:v>0.44917000000000001</c:v>
                </c:pt>
                <c:pt idx="64" formatCode="General">
                  <c:v>0.45041999999999999</c:v>
                </c:pt>
                <c:pt idx="65" formatCode="General">
                  <c:v>0.45229000000000003</c:v>
                </c:pt>
                <c:pt idx="66" formatCode="General">
                  <c:v>0.45606000000000002</c:v>
                </c:pt>
                <c:pt idx="67" formatCode="General">
                  <c:v>0.45954</c:v>
                </c:pt>
                <c:pt idx="68" formatCode="General">
                  <c:v>0.46145000000000003</c:v>
                </c:pt>
                <c:pt idx="69" formatCode="General">
                  <c:v>0.46464</c:v>
                </c:pt>
                <c:pt idx="70" formatCode="General">
                  <c:v>0.47434999999999999</c:v>
                </c:pt>
                <c:pt idx="71" formatCode="General">
                  <c:v>0.48391000000000001</c:v>
                </c:pt>
                <c:pt idx="72" formatCode="General">
                  <c:v>0.50390000000000001</c:v>
                </c:pt>
                <c:pt idx="73" formatCode="General">
                  <c:v>0.50875000000000004</c:v>
                </c:pt>
                <c:pt idx="74" formatCode="General">
                  <c:v>0.51049999999999995</c:v>
                </c:pt>
                <c:pt idx="75" formatCode="General">
                  <c:v>0.51295000000000002</c:v>
                </c:pt>
                <c:pt idx="76" formatCode="General">
                  <c:v>0.51400000000000001</c:v>
                </c:pt>
                <c:pt idx="77" formatCode="General">
                  <c:v>0.51434999999999997</c:v>
                </c:pt>
                <c:pt idx="78" formatCode="General">
                  <c:v>0.51576</c:v>
                </c:pt>
                <c:pt idx="79" formatCode="General">
                  <c:v>0.51751999999999998</c:v>
                </c:pt>
                <c:pt idx="80" formatCode="General">
                  <c:v>0.51788000000000001</c:v>
                </c:pt>
                <c:pt idx="81" formatCode="General">
                  <c:v>0.51798999999999995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A9-46C3-A8B4-5671B85D974B}"/>
            </c:ext>
          </c:extLst>
        </c:ser>
        <c:ser>
          <c:idx val="8"/>
          <c:order val="7"/>
          <c:tx>
            <c:strRef>
              <c:f>'Err. rel.'!$L$15</c:f>
              <c:strCache>
                <c:ptCount val="1"/>
                <c:pt idx="0">
                  <c:v> Melting line (EoS model)</c:v>
                </c:pt>
              </c:strCache>
            </c:strRef>
          </c:tx>
          <c:spPr>
            <a:ln w="15875" cmpd="sng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'Calcoli eqilib.'!$F$95:$F$143</c:f>
              <c:numCache>
                <c:formatCode>General</c:formatCode>
                <c:ptCount val="49"/>
                <c:pt idx="0">
                  <c:v>216.5932799</c:v>
                </c:pt>
                <c:pt idx="1">
                  <c:v>216.6</c:v>
                </c:pt>
                <c:pt idx="2">
                  <c:v>216.61</c:v>
                </c:pt>
                <c:pt idx="3">
                  <c:v>216.61</c:v>
                </c:pt>
                <c:pt idx="4">
                  <c:v>216.62</c:v>
                </c:pt>
                <c:pt idx="5">
                  <c:v>216.63</c:v>
                </c:pt>
                <c:pt idx="6">
                  <c:v>216.64</c:v>
                </c:pt>
                <c:pt idx="7">
                  <c:v>216.65</c:v>
                </c:pt>
                <c:pt idx="8">
                  <c:v>216.66</c:v>
                </c:pt>
                <c:pt idx="9">
                  <c:v>216.67</c:v>
                </c:pt>
                <c:pt idx="10">
                  <c:v>216.68</c:v>
                </c:pt>
                <c:pt idx="11">
                  <c:v>216.69</c:v>
                </c:pt>
                <c:pt idx="12">
                  <c:v>216.7</c:v>
                </c:pt>
                <c:pt idx="13">
                  <c:v>216.71</c:v>
                </c:pt>
                <c:pt idx="14">
                  <c:v>216.72</c:v>
                </c:pt>
                <c:pt idx="15">
                  <c:v>216.73</c:v>
                </c:pt>
                <c:pt idx="16">
                  <c:v>216.74</c:v>
                </c:pt>
                <c:pt idx="17">
                  <c:v>216.75</c:v>
                </c:pt>
                <c:pt idx="18">
                  <c:v>216.76</c:v>
                </c:pt>
                <c:pt idx="19">
                  <c:v>216.78</c:v>
                </c:pt>
                <c:pt idx="20">
                  <c:v>216.81</c:v>
                </c:pt>
                <c:pt idx="21">
                  <c:v>216.91</c:v>
                </c:pt>
                <c:pt idx="22">
                  <c:v>216.97</c:v>
                </c:pt>
                <c:pt idx="23">
                  <c:v>216.99</c:v>
                </c:pt>
                <c:pt idx="24">
                  <c:v>217.1</c:v>
                </c:pt>
                <c:pt idx="25">
                  <c:v>217.29</c:v>
                </c:pt>
                <c:pt idx="26">
                  <c:v>217.31</c:v>
                </c:pt>
                <c:pt idx="27">
                  <c:v>217.52</c:v>
                </c:pt>
                <c:pt idx="28">
                  <c:v>217.66</c:v>
                </c:pt>
                <c:pt idx="29">
                  <c:v>217.9</c:v>
                </c:pt>
                <c:pt idx="30">
                  <c:v>218</c:v>
                </c:pt>
                <c:pt idx="31">
                  <c:v>218.5</c:v>
                </c:pt>
                <c:pt idx="32">
                  <c:v>218.61799999999999</c:v>
                </c:pt>
                <c:pt idx="33">
                  <c:v>218.81</c:v>
                </c:pt>
                <c:pt idx="34">
                  <c:v>218.95</c:v>
                </c:pt>
                <c:pt idx="35">
                  <c:v>219.98</c:v>
                </c:pt>
                <c:pt idx="36">
                  <c:v>219.99</c:v>
                </c:pt>
                <c:pt idx="37">
                  <c:v>221.94</c:v>
                </c:pt>
                <c:pt idx="38">
                  <c:v>222.03</c:v>
                </c:pt>
                <c:pt idx="39">
                  <c:v>226.25</c:v>
                </c:pt>
                <c:pt idx="40">
                  <c:v>235.25</c:v>
                </c:pt>
                <c:pt idx="41">
                  <c:v>242.65</c:v>
                </c:pt>
                <c:pt idx="42">
                  <c:v>242.66</c:v>
                </c:pt>
                <c:pt idx="43">
                  <c:v>252.25</c:v>
                </c:pt>
                <c:pt idx="44">
                  <c:v>259.08999999999997</c:v>
                </c:pt>
                <c:pt idx="45">
                  <c:v>259.2</c:v>
                </c:pt>
                <c:pt idx="46">
                  <c:v>261.62</c:v>
                </c:pt>
                <c:pt idx="47">
                  <c:v>265.67</c:v>
                </c:pt>
                <c:pt idx="48">
                  <c:v>266</c:v>
                </c:pt>
              </c:numCache>
            </c:numRef>
          </c:xVal>
          <c:yVal>
            <c:numRef>
              <c:f>'Calcoli eqilib.'!$G$95:$G$143</c:f>
              <c:numCache>
                <c:formatCode>General</c:formatCode>
                <c:ptCount val="49"/>
                <c:pt idx="0">
                  <c:v>0.51798999999999995</c:v>
                </c:pt>
                <c:pt idx="1">
                  <c:v>0.54908999999999997</c:v>
                </c:pt>
                <c:pt idx="2">
                  <c:v>0.59535000000000005</c:v>
                </c:pt>
                <c:pt idx="3">
                  <c:v>0.59535000000000005</c:v>
                </c:pt>
                <c:pt idx="4">
                  <c:v>0.64161999999999997</c:v>
                </c:pt>
                <c:pt idx="5">
                  <c:v>0.68789</c:v>
                </c:pt>
                <c:pt idx="6">
                  <c:v>0.73416999999999999</c:v>
                </c:pt>
                <c:pt idx="7">
                  <c:v>0.78044999999999998</c:v>
                </c:pt>
                <c:pt idx="8">
                  <c:v>0.82674000000000003</c:v>
                </c:pt>
                <c:pt idx="9">
                  <c:v>0.87302999999999997</c:v>
                </c:pt>
                <c:pt idx="10">
                  <c:v>0.91934000000000005</c:v>
                </c:pt>
                <c:pt idx="11">
                  <c:v>0.96564000000000005</c:v>
                </c:pt>
                <c:pt idx="12">
                  <c:v>1.01196</c:v>
                </c:pt>
                <c:pt idx="13">
                  <c:v>1.0582800000000001</c:v>
                </c:pt>
                <c:pt idx="14">
                  <c:v>1.1046</c:v>
                </c:pt>
                <c:pt idx="15">
                  <c:v>1.15093</c:v>
                </c:pt>
                <c:pt idx="16">
                  <c:v>1.1972700000000001</c:v>
                </c:pt>
                <c:pt idx="17">
                  <c:v>1.2436100000000001</c:v>
                </c:pt>
                <c:pt idx="18">
                  <c:v>1.28996</c:v>
                </c:pt>
                <c:pt idx="19">
                  <c:v>1.3826799999999999</c:v>
                </c:pt>
                <c:pt idx="20">
                  <c:v>1.5218</c:v>
                </c:pt>
                <c:pt idx="21">
                  <c:v>1.9859100000000001</c:v>
                </c:pt>
                <c:pt idx="22">
                  <c:v>2.2646600000000001</c:v>
                </c:pt>
                <c:pt idx="23">
                  <c:v>2.3576299999999999</c:v>
                </c:pt>
                <c:pt idx="24">
                  <c:v>2.8693599999999999</c:v>
                </c:pt>
                <c:pt idx="25">
                  <c:v>3.7549199999999998</c:v>
                </c:pt>
                <c:pt idx="26">
                  <c:v>3.8482699999999999</c:v>
                </c:pt>
                <c:pt idx="27">
                  <c:v>4.8297600000000003</c:v>
                </c:pt>
                <c:pt idx="28">
                  <c:v>5.4855099999999997</c:v>
                </c:pt>
                <c:pt idx="29">
                  <c:v>6.6123099999999999</c:v>
                </c:pt>
                <c:pt idx="30">
                  <c:v>7.0827900000000001</c:v>
                </c:pt>
                <c:pt idx="31">
                  <c:v>9.4438099999999991</c:v>
                </c:pt>
                <c:pt idx="32">
                  <c:v>10.002649999999999</c:v>
                </c:pt>
                <c:pt idx="33">
                  <c:v>10.9148</c:v>
                </c:pt>
                <c:pt idx="34">
                  <c:v>11.5809</c:v>
                </c:pt>
                <c:pt idx="35">
                  <c:v>16.515250000000002</c:v>
                </c:pt>
                <c:pt idx="36">
                  <c:v>16.56344</c:v>
                </c:pt>
                <c:pt idx="37">
                  <c:v>26.065539999999999</c:v>
                </c:pt>
                <c:pt idx="38">
                  <c:v>26.509029999999999</c:v>
                </c:pt>
                <c:pt idx="39">
                  <c:v>47.774900000000002</c:v>
                </c:pt>
                <c:pt idx="40">
                  <c:v>96.021569999999997</c:v>
                </c:pt>
                <c:pt idx="41">
                  <c:v>138.42627999999999</c:v>
                </c:pt>
                <c:pt idx="42">
                  <c:v>138.48518000000001</c:v>
                </c:pt>
                <c:pt idx="43">
                  <c:v>196.88381000000001</c:v>
                </c:pt>
                <c:pt idx="44">
                  <c:v>240.81712999999999</c:v>
                </c:pt>
                <c:pt idx="45">
                  <c:v>241.53886</c:v>
                </c:pt>
                <c:pt idx="46">
                  <c:v>257.53726999999998</c:v>
                </c:pt>
                <c:pt idx="47">
                  <c:v>284.82368000000002</c:v>
                </c:pt>
                <c:pt idx="48">
                  <c:v>287.07508000000001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A9-46C3-A8B4-5671B85D974B}"/>
            </c:ext>
          </c:extLst>
        </c:ser>
        <c:ser>
          <c:idx val="7"/>
          <c:order val="8"/>
          <c:tx>
            <c:strRef>
              <c:f>'Err. rel.'!$N$44</c:f>
              <c:strCache>
                <c:ptCount val="1"/>
                <c:pt idx="0">
                  <c:v> Saturation line (EoS model)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'Calcoli eqilib.'!$D$95:$D$127</c:f>
              <c:numCache>
                <c:formatCode>General</c:formatCode>
                <c:ptCount val="33"/>
                <c:pt idx="0">
                  <c:v>216.5932799</c:v>
                </c:pt>
                <c:pt idx="1">
                  <c:v>217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  <c:pt idx="5">
                  <c:v>235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255</c:v>
                </c:pt>
                <c:pt idx="10">
                  <c:v>260</c:v>
                </c:pt>
                <c:pt idx="11">
                  <c:v>265</c:v>
                </c:pt>
                <c:pt idx="12">
                  <c:v>270</c:v>
                </c:pt>
                <c:pt idx="13">
                  <c:v>275</c:v>
                </c:pt>
                <c:pt idx="14">
                  <c:v>280</c:v>
                </c:pt>
                <c:pt idx="15">
                  <c:v>285</c:v>
                </c:pt>
                <c:pt idx="16">
                  <c:v>290</c:v>
                </c:pt>
                <c:pt idx="17">
                  <c:v>295</c:v>
                </c:pt>
                <c:pt idx="18">
                  <c:v>297</c:v>
                </c:pt>
                <c:pt idx="19">
                  <c:v>299</c:v>
                </c:pt>
                <c:pt idx="20">
                  <c:v>300</c:v>
                </c:pt>
                <c:pt idx="21">
                  <c:v>301</c:v>
                </c:pt>
                <c:pt idx="22">
                  <c:v>302</c:v>
                </c:pt>
                <c:pt idx="23">
                  <c:v>302.5</c:v>
                </c:pt>
                <c:pt idx="24">
                  <c:v>303</c:v>
                </c:pt>
                <c:pt idx="25">
                  <c:v>303.39999999999998</c:v>
                </c:pt>
                <c:pt idx="26">
                  <c:v>303.60000000000002</c:v>
                </c:pt>
                <c:pt idx="27">
                  <c:v>303.8</c:v>
                </c:pt>
                <c:pt idx="28">
                  <c:v>303.89999999999998</c:v>
                </c:pt>
                <c:pt idx="29">
                  <c:v>304</c:v>
                </c:pt>
                <c:pt idx="30">
                  <c:v>304.10000000000002</c:v>
                </c:pt>
                <c:pt idx="31">
                  <c:v>304.12</c:v>
                </c:pt>
                <c:pt idx="32">
                  <c:v>304.12700000000001</c:v>
                </c:pt>
              </c:numCache>
            </c:numRef>
          </c:xVal>
          <c:yVal>
            <c:numRef>
              <c:f>'Calcoli eqilib.'!$E$95:$E$127</c:f>
              <c:numCache>
                <c:formatCode>General</c:formatCode>
                <c:ptCount val="33"/>
                <c:pt idx="0">
                  <c:v>0.51798999999999995</c:v>
                </c:pt>
                <c:pt idx="1">
                  <c:v>0.52722000000000002</c:v>
                </c:pt>
                <c:pt idx="2">
                  <c:v>0.59913000000000005</c:v>
                </c:pt>
                <c:pt idx="3">
                  <c:v>0.73509000000000002</c:v>
                </c:pt>
                <c:pt idx="4">
                  <c:v>0.89290999999999998</c:v>
                </c:pt>
                <c:pt idx="5">
                  <c:v>1.07467</c:v>
                </c:pt>
                <c:pt idx="6">
                  <c:v>1.2824800000000001</c:v>
                </c:pt>
                <c:pt idx="7">
                  <c:v>1.5185299999999999</c:v>
                </c:pt>
                <c:pt idx="8">
                  <c:v>1.78505</c:v>
                </c:pt>
                <c:pt idx="9">
                  <c:v>2.0843400000000001</c:v>
                </c:pt>
                <c:pt idx="10">
                  <c:v>2.4188000000000001</c:v>
                </c:pt>
                <c:pt idx="11">
                  <c:v>2.7909199999999998</c:v>
                </c:pt>
                <c:pt idx="12">
                  <c:v>3.2033499999999999</c:v>
                </c:pt>
                <c:pt idx="13">
                  <c:v>3.6589200000000002</c:v>
                </c:pt>
                <c:pt idx="14">
                  <c:v>4.1607399999999997</c:v>
                </c:pt>
                <c:pt idx="15">
                  <c:v>4.7123499999999998</c:v>
                </c:pt>
                <c:pt idx="16">
                  <c:v>5.3180399999999999</c:v>
                </c:pt>
                <c:pt idx="17">
                  <c:v>5.9835700000000003</c:v>
                </c:pt>
                <c:pt idx="18">
                  <c:v>6.2681500000000003</c:v>
                </c:pt>
                <c:pt idx="19">
                  <c:v>6.5638500000000004</c:v>
                </c:pt>
                <c:pt idx="20">
                  <c:v>6.7158499999999997</c:v>
                </c:pt>
                <c:pt idx="21">
                  <c:v>6.8705800000000004</c:v>
                </c:pt>
                <c:pt idx="22">
                  <c:v>7.0282</c:v>
                </c:pt>
                <c:pt idx="23">
                  <c:v>7.1082799999999997</c:v>
                </c:pt>
                <c:pt idx="24">
                  <c:v>7.1894099999999996</c:v>
                </c:pt>
                <c:pt idx="25">
                  <c:v>7.2551800000000002</c:v>
                </c:pt>
                <c:pt idx="26">
                  <c:v>7.2883899999999997</c:v>
                </c:pt>
                <c:pt idx="27">
                  <c:v>7.3218399999999999</c:v>
                </c:pt>
                <c:pt idx="28">
                  <c:v>7.3386500000000003</c:v>
                </c:pt>
                <c:pt idx="29">
                  <c:v>7.3555400000000004</c:v>
                </c:pt>
                <c:pt idx="30">
                  <c:v>7.3724999999999996</c:v>
                </c:pt>
                <c:pt idx="31">
                  <c:v>7.3759100000000002</c:v>
                </c:pt>
                <c:pt idx="32">
                  <c:v>7.3807900000000002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5A9-46C3-A8B4-5671B85D9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325"/>
          <c:min val="7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45458826231"/>
              <c:y val="0.941926290966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 val="autoZero"/>
        <c:crossBetween val="midCat"/>
        <c:majorUnit val="15"/>
      </c:valAx>
      <c:valAx>
        <c:axId val="68417792"/>
        <c:scaling>
          <c:orientation val="minMax"/>
          <c:max val="1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/>
                  <a:t>P [MPa]</a:t>
                </a:r>
              </a:p>
            </c:rich>
          </c:tx>
          <c:layout>
            <c:manualLayout>
              <c:xMode val="edge"/>
              <c:yMode val="edge"/>
              <c:x val="2.8372839876817831E-2"/>
              <c:y val="0.40937689418656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2703537281130969"/>
          <c:y val="9.1227268466441691E-2"/>
          <c:w val="0.29754588977141511"/>
          <c:h val="0.3878939351331083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25029825817"/>
          <c:y val="7.5930708661417309E-2"/>
          <c:w val="0.81947875244691393"/>
          <c:h val="0.79145189738983202"/>
        </c:manualLayout>
      </c:layout>
      <c:scatterChart>
        <c:scatterStyle val="lineMarker"/>
        <c:varyColors val="0"/>
        <c:ser>
          <c:idx val="1"/>
          <c:order val="0"/>
          <c:tx>
            <c:strRef>
              <c:f>Viscosity!$A$4</c:f>
              <c:strCache>
                <c:ptCount val="1"/>
                <c:pt idx="0">
                  <c:v> T = 220 (exp. data [19]) 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Viscosity!$X$4:$X$17</c:f>
              <c:numCache>
                <c:formatCode>General</c:formatCode>
                <c:ptCount val="14"/>
                <c:pt idx="0">
                  <c:v>1166.08</c:v>
                </c:pt>
                <c:pt idx="1">
                  <c:v>1166.1099999999999</c:v>
                </c:pt>
                <c:pt idx="2">
                  <c:v>1166.1199999999999</c:v>
                </c:pt>
                <c:pt idx="3">
                  <c:v>1166.1199999999999</c:v>
                </c:pt>
                <c:pt idx="4">
                  <c:v>1166.18</c:v>
                </c:pt>
                <c:pt idx="5">
                  <c:v>1167.1300000000001</c:v>
                </c:pt>
                <c:pt idx="6">
                  <c:v>1170.4000000000001</c:v>
                </c:pt>
                <c:pt idx="7">
                  <c:v>1175.67</c:v>
                </c:pt>
                <c:pt idx="8">
                  <c:v>1180.54</c:v>
                </c:pt>
                <c:pt idx="9">
                  <c:v>1185.05</c:v>
                </c:pt>
                <c:pt idx="10">
                  <c:v>1190.43</c:v>
                </c:pt>
                <c:pt idx="11">
                  <c:v>1192.79</c:v>
                </c:pt>
                <c:pt idx="12">
                  <c:v>1192.79</c:v>
                </c:pt>
                <c:pt idx="13">
                  <c:v>1194.8900000000001</c:v>
                </c:pt>
              </c:numCache>
            </c:numRef>
          </c:xVal>
          <c:yVal>
            <c:numRef>
              <c:f>Viscosity!$Y$4:$Y$17</c:f>
              <c:numCache>
                <c:formatCode>0.0000</c:formatCode>
                <c:ptCount val="14"/>
                <c:pt idx="0">
                  <c:v>0.24340000000000001</c:v>
                </c:pt>
                <c:pt idx="1">
                  <c:v>0.24349999999999999</c:v>
                </c:pt>
                <c:pt idx="2">
                  <c:v>0.24390000000000001</c:v>
                </c:pt>
                <c:pt idx="3">
                  <c:v>0.24360000000000001</c:v>
                </c:pt>
                <c:pt idx="4">
                  <c:v>0.24440000000000001</c:v>
                </c:pt>
                <c:pt idx="5">
                  <c:v>0.24349999999999999</c:v>
                </c:pt>
                <c:pt idx="6">
                  <c:v>0.24679999999999999</c:v>
                </c:pt>
                <c:pt idx="7">
                  <c:v>0.25319999999999998</c:v>
                </c:pt>
                <c:pt idx="8">
                  <c:v>0.25779999999999997</c:v>
                </c:pt>
                <c:pt idx="9">
                  <c:v>0.26350000000000001</c:v>
                </c:pt>
                <c:pt idx="10">
                  <c:v>0.26910000000000001</c:v>
                </c:pt>
                <c:pt idx="11">
                  <c:v>0.27200000000000002</c:v>
                </c:pt>
                <c:pt idx="12">
                  <c:v>0.27289999999999998</c:v>
                </c:pt>
                <c:pt idx="13">
                  <c:v>0.27400000000000002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B-4F32-B817-F59B13F4F522}"/>
            </c:ext>
          </c:extLst>
        </c:ser>
        <c:ser>
          <c:idx val="2"/>
          <c:order val="1"/>
          <c:tx>
            <c:strRef>
              <c:f>Viscosity!$A$18</c:f>
              <c:strCache>
                <c:ptCount val="1"/>
                <c:pt idx="0">
                  <c:v> T = 230 (exp. data [19]) 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Viscosity!$X$18:$X$25</c:f>
              <c:numCache>
                <c:formatCode>General</c:formatCode>
                <c:ptCount val="8"/>
                <c:pt idx="0">
                  <c:v>1128.6099999999999</c:v>
                </c:pt>
                <c:pt idx="1">
                  <c:v>1128.6300000000001</c:v>
                </c:pt>
                <c:pt idx="2">
                  <c:v>1128.6300000000001</c:v>
                </c:pt>
                <c:pt idx="3">
                  <c:v>1128.69</c:v>
                </c:pt>
                <c:pt idx="4">
                  <c:v>1132.97</c:v>
                </c:pt>
                <c:pt idx="5">
                  <c:v>1139.3399999999999</c:v>
                </c:pt>
                <c:pt idx="6">
                  <c:v>1145.26</c:v>
                </c:pt>
                <c:pt idx="7">
                  <c:v>1152.44</c:v>
                </c:pt>
              </c:numCache>
            </c:numRef>
          </c:xVal>
          <c:yVal>
            <c:numRef>
              <c:f>Viscosity!$Y$18:$Y$25</c:f>
              <c:numCache>
                <c:formatCode>0.00E+00</c:formatCode>
                <c:ptCount val="8"/>
                <c:pt idx="0">
                  <c:v>0.20269999999999999</c:v>
                </c:pt>
                <c:pt idx="1">
                  <c:v>0.2039</c:v>
                </c:pt>
                <c:pt idx="2">
                  <c:v>0.2039</c:v>
                </c:pt>
                <c:pt idx="3">
                  <c:v>0.2026</c:v>
                </c:pt>
                <c:pt idx="4">
                  <c:v>0.2049</c:v>
                </c:pt>
                <c:pt idx="5">
                  <c:v>0.2104</c:v>
                </c:pt>
                <c:pt idx="6">
                  <c:v>0.2109</c:v>
                </c:pt>
                <c:pt idx="7">
                  <c:v>0.21579999999999999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B-4F32-B817-F59B13F4F522}"/>
            </c:ext>
          </c:extLst>
        </c:ser>
        <c:ser>
          <c:idx val="3"/>
          <c:order val="2"/>
          <c:tx>
            <c:strRef>
              <c:f>Viscosity!$A$26</c:f>
              <c:strCache>
                <c:ptCount val="1"/>
                <c:pt idx="0">
                  <c:v> T = 240 (exp. data [19])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Viscosity!$D$26:$D$34</c:f>
              <c:numCache>
                <c:formatCode>General</c:formatCode>
                <c:ptCount val="9"/>
                <c:pt idx="0">
                  <c:v>1088.72</c:v>
                </c:pt>
                <c:pt idx="1">
                  <c:v>1088.75</c:v>
                </c:pt>
                <c:pt idx="2">
                  <c:v>1088.8</c:v>
                </c:pt>
                <c:pt idx="3">
                  <c:v>1088.8599999999999</c:v>
                </c:pt>
                <c:pt idx="4">
                  <c:v>1092.8399999999999</c:v>
                </c:pt>
                <c:pt idx="5">
                  <c:v>1092.8599999999999</c:v>
                </c:pt>
                <c:pt idx="6">
                  <c:v>1100.71</c:v>
                </c:pt>
                <c:pt idx="7">
                  <c:v>1108.06</c:v>
                </c:pt>
                <c:pt idx="8">
                  <c:v>1117.7</c:v>
                </c:pt>
              </c:numCache>
            </c:numRef>
          </c:xVal>
          <c:yVal>
            <c:numRef>
              <c:f>Viscosity!$E$26:$E$34</c:f>
              <c:numCache>
                <c:formatCode>0.00E+00</c:formatCode>
                <c:ptCount val="9"/>
                <c:pt idx="0">
                  <c:v>0.17219999999999999</c:v>
                </c:pt>
                <c:pt idx="1">
                  <c:v>0.17199999999999999</c:v>
                </c:pt>
                <c:pt idx="2">
                  <c:v>0.17199999999999999</c:v>
                </c:pt>
                <c:pt idx="3">
                  <c:v>0.1724</c:v>
                </c:pt>
                <c:pt idx="4">
                  <c:v>0.17510000000000001</c:v>
                </c:pt>
                <c:pt idx="5">
                  <c:v>0.17460000000000001</c:v>
                </c:pt>
                <c:pt idx="6">
                  <c:v>0.1799</c:v>
                </c:pt>
                <c:pt idx="7">
                  <c:v>0.1822</c:v>
                </c:pt>
                <c:pt idx="8">
                  <c:v>0.1883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BB-4F32-B817-F59B13F4F522}"/>
            </c:ext>
          </c:extLst>
        </c:ser>
        <c:ser>
          <c:idx val="0"/>
          <c:order val="3"/>
          <c:tx>
            <c:strRef>
              <c:f>Viscosity!$A$35</c:f>
              <c:strCache>
                <c:ptCount val="1"/>
                <c:pt idx="0">
                  <c:v> T = 260 (exp. data [19]) 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Viscosity!$D$35:$D$45</c:f>
              <c:numCache>
                <c:formatCode>General</c:formatCode>
                <c:ptCount val="11"/>
                <c:pt idx="0">
                  <c:v>998.58</c:v>
                </c:pt>
                <c:pt idx="1">
                  <c:v>998.69</c:v>
                </c:pt>
                <c:pt idx="2">
                  <c:v>998.8</c:v>
                </c:pt>
                <c:pt idx="3">
                  <c:v>998.97</c:v>
                </c:pt>
                <c:pt idx="4">
                  <c:v>999.42</c:v>
                </c:pt>
                <c:pt idx="5">
                  <c:v>1004.29</c:v>
                </c:pt>
                <c:pt idx="6">
                  <c:v>1012.72</c:v>
                </c:pt>
                <c:pt idx="7">
                  <c:v>1019.51</c:v>
                </c:pt>
                <c:pt idx="8">
                  <c:v>1027.0899999999999</c:v>
                </c:pt>
                <c:pt idx="9">
                  <c:v>1038.47</c:v>
                </c:pt>
                <c:pt idx="10">
                  <c:v>1053.07</c:v>
                </c:pt>
              </c:numCache>
            </c:numRef>
          </c:xVal>
          <c:yVal>
            <c:numRef>
              <c:f>Viscosity!$E$35:$E$45</c:f>
              <c:numCache>
                <c:formatCode>0.00E+00</c:formatCode>
                <c:ptCount val="11"/>
                <c:pt idx="0">
                  <c:v>0.12470000000000001</c:v>
                </c:pt>
                <c:pt idx="1">
                  <c:v>0.12540000000000001</c:v>
                </c:pt>
                <c:pt idx="2">
                  <c:v>0.125</c:v>
                </c:pt>
                <c:pt idx="3">
                  <c:v>0.12479999999999999</c:v>
                </c:pt>
                <c:pt idx="4">
                  <c:v>0.12570000000000001</c:v>
                </c:pt>
                <c:pt idx="5">
                  <c:v>0.1278</c:v>
                </c:pt>
                <c:pt idx="6">
                  <c:v>0.13089999999999999</c:v>
                </c:pt>
                <c:pt idx="7">
                  <c:v>0.13320000000000001</c:v>
                </c:pt>
                <c:pt idx="8">
                  <c:v>0.13639999999999999</c:v>
                </c:pt>
                <c:pt idx="9">
                  <c:v>0.1414</c:v>
                </c:pt>
                <c:pt idx="10">
                  <c:v>0.14810000000000001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BB-4F32-B817-F59B13F4F522}"/>
            </c:ext>
          </c:extLst>
        </c:ser>
        <c:ser>
          <c:idx val="4"/>
          <c:order val="4"/>
          <c:tx>
            <c:strRef>
              <c:f>Viscosity!$A$46</c:f>
              <c:strCache>
                <c:ptCount val="1"/>
                <c:pt idx="0">
                  <c:v> T = 280 (exp. data [19]) 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Viscosity!$D$46:$D$53</c:f>
              <c:numCache>
                <c:formatCode>General</c:formatCode>
                <c:ptCount val="8"/>
                <c:pt idx="0">
                  <c:v>882.55</c:v>
                </c:pt>
                <c:pt idx="1">
                  <c:v>883.25</c:v>
                </c:pt>
                <c:pt idx="2">
                  <c:v>883.83</c:v>
                </c:pt>
                <c:pt idx="3">
                  <c:v>884.7</c:v>
                </c:pt>
                <c:pt idx="4">
                  <c:v>894.1</c:v>
                </c:pt>
                <c:pt idx="5">
                  <c:v>902.2</c:v>
                </c:pt>
                <c:pt idx="6">
                  <c:v>918.36</c:v>
                </c:pt>
                <c:pt idx="7">
                  <c:v>945.46</c:v>
                </c:pt>
              </c:numCache>
            </c:numRef>
          </c:xVal>
          <c:yVal>
            <c:numRef>
              <c:f>Viscosity!$E$46:$E$53</c:f>
              <c:numCache>
                <c:formatCode>0.00000</c:formatCode>
                <c:ptCount val="8"/>
                <c:pt idx="0">
                  <c:v>8.8800000000000004E-2</c:v>
                </c:pt>
                <c:pt idx="1">
                  <c:v>8.8499999999999995E-2</c:v>
                </c:pt>
                <c:pt idx="2">
                  <c:v>8.8800000000000004E-2</c:v>
                </c:pt>
                <c:pt idx="3">
                  <c:v>8.8999999999999996E-2</c:v>
                </c:pt>
                <c:pt idx="4">
                  <c:v>9.1399999999999995E-2</c:v>
                </c:pt>
                <c:pt idx="5">
                  <c:v>9.35E-2</c:v>
                </c:pt>
                <c:pt idx="6">
                  <c:v>9.7900000000000001E-2</c:v>
                </c:pt>
                <c:pt idx="7">
                  <c:v>0.1051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BB-4F32-B817-F59B13F4F522}"/>
            </c:ext>
          </c:extLst>
        </c:ser>
        <c:ser>
          <c:idx val="5"/>
          <c:order val="5"/>
          <c:tx>
            <c:strRef>
              <c:f>Viscosity!$A$54</c:f>
              <c:strCache>
                <c:ptCount val="1"/>
                <c:pt idx="0">
                  <c:v> T = 300 (exp. data [19])</c:v>
                </c:pt>
              </c:strCache>
            </c:strRef>
          </c:tx>
          <c:spPr>
            <a:ln w="19050">
              <a:noFill/>
            </a:ln>
          </c:spPr>
          <c:marker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Viscosity!$D$54:$D$60</c:f>
              <c:numCache>
                <c:formatCode>General</c:formatCode>
                <c:ptCount val="7"/>
                <c:pt idx="0">
                  <c:v>687.9</c:v>
                </c:pt>
                <c:pt idx="1">
                  <c:v>707.76</c:v>
                </c:pt>
                <c:pt idx="2">
                  <c:v>728.22</c:v>
                </c:pt>
                <c:pt idx="3">
                  <c:v>753.89</c:v>
                </c:pt>
                <c:pt idx="4">
                  <c:v>780.96</c:v>
                </c:pt>
                <c:pt idx="5">
                  <c:v>805.64</c:v>
                </c:pt>
                <c:pt idx="6">
                  <c:v>825.97</c:v>
                </c:pt>
              </c:numCache>
            </c:numRef>
          </c:xVal>
          <c:yVal>
            <c:numRef>
              <c:f>Viscosity!$E$54:$E$60</c:f>
              <c:numCache>
                <c:formatCode>0.00E+00</c:formatCode>
                <c:ptCount val="7"/>
                <c:pt idx="0">
                  <c:v>5.4199999999999998E-2</c:v>
                </c:pt>
                <c:pt idx="1">
                  <c:v>5.6500000000000002E-2</c:v>
                </c:pt>
                <c:pt idx="2">
                  <c:v>5.9499999999999997E-2</c:v>
                </c:pt>
                <c:pt idx="3">
                  <c:v>6.3200000000000006E-2</c:v>
                </c:pt>
                <c:pt idx="4">
                  <c:v>6.9000000000000006E-2</c:v>
                </c:pt>
                <c:pt idx="5">
                  <c:v>7.2999999999999995E-2</c:v>
                </c:pt>
                <c:pt idx="6">
                  <c:v>7.7700000000000005E-2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BB-4F32-B817-F59B13F4F522}"/>
            </c:ext>
          </c:extLst>
        </c:ser>
        <c:ser>
          <c:idx val="6"/>
          <c:order val="6"/>
          <c:tx>
            <c:strRef>
              <c:f>Viscosity!$A$61</c:f>
              <c:strCache>
                <c:ptCount val="1"/>
                <c:pt idx="0">
                  <c:v> T = 303 (exp. data [19])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BB11A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Viscosity!$D$61:$D$70</c:f>
              <c:numCache>
                <c:formatCode>General</c:formatCode>
                <c:ptCount val="10"/>
                <c:pt idx="0">
                  <c:v>615.01</c:v>
                </c:pt>
                <c:pt idx="1">
                  <c:v>640.03</c:v>
                </c:pt>
                <c:pt idx="2">
                  <c:v>660.55</c:v>
                </c:pt>
                <c:pt idx="3">
                  <c:v>676.88</c:v>
                </c:pt>
                <c:pt idx="4">
                  <c:v>698.05</c:v>
                </c:pt>
                <c:pt idx="5">
                  <c:v>719.03</c:v>
                </c:pt>
                <c:pt idx="6">
                  <c:v>739</c:v>
                </c:pt>
                <c:pt idx="7">
                  <c:v>765.91</c:v>
                </c:pt>
                <c:pt idx="8">
                  <c:v>789.21</c:v>
                </c:pt>
                <c:pt idx="9">
                  <c:v>809.35</c:v>
                </c:pt>
              </c:numCache>
            </c:numRef>
          </c:xVal>
          <c:yVal>
            <c:numRef>
              <c:f>Viscosity!$E$61:$E$70</c:f>
              <c:numCache>
                <c:formatCode>0.00E+00</c:formatCode>
                <c:ptCount val="10"/>
                <c:pt idx="0">
                  <c:v>4.8300000000000003E-2</c:v>
                </c:pt>
                <c:pt idx="1">
                  <c:v>4.9799999999999997E-2</c:v>
                </c:pt>
                <c:pt idx="2">
                  <c:v>5.1200000000000002E-2</c:v>
                </c:pt>
                <c:pt idx="3">
                  <c:v>5.3699999999999998E-2</c:v>
                </c:pt>
                <c:pt idx="4">
                  <c:v>5.5800000000000002E-2</c:v>
                </c:pt>
                <c:pt idx="5">
                  <c:v>5.8500000000000003E-2</c:v>
                </c:pt>
                <c:pt idx="6">
                  <c:v>6.13E-2</c:v>
                </c:pt>
                <c:pt idx="7">
                  <c:v>6.5600000000000006E-2</c:v>
                </c:pt>
                <c:pt idx="8">
                  <c:v>6.9400000000000003E-2</c:v>
                </c:pt>
                <c:pt idx="9">
                  <c:v>7.3400000000000007E-2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BB-4F32-B817-F59B13F4F522}"/>
            </c:ext>
          </c:extLst>
        </c:ser>
        <c:ser>
          <c:idx val="8"/>
          <c:order val="7"/>
          <c:tx>
            <c:strRef>
              <c:f>Viscosity!$A$71</c:f>
              <c:strCache>
                <c:ptCount val="1"/>
                <c:pt idx="0">
                  <c:v> T = 308 (exp. data [19])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Viscosity!$D$71:$D$76</c:f>
              <c:numCache>
                <c:formatCode>General</c:formatCode>
                <c:ptCount val="6"/>
                <c:pt idx="0">
                  <c:v>626.75</c:v>
                </c:pt>
                <c:pt idx="1">
                  <c:v>650.08000000000004</c:v>
                </c:pt>
                <c:pt idx="2">
                  <c:v>674.36</c:v>
                </c:pt>
                <c:pt idx="3">
                  <c:v>700.15</c:v>
                </c:pt>
                <c:pt idx="4">
                  <c:v>724.06</c:v>
                </c:pt>
                <c:pt idx="5">
                  <c:v>750.17</c:v>
                </c:pt>
              </c:numCache>
            </c:numRef>
          </c:xVal>
          <c:yVal>
            <c:numRef>
              <c:f>Viscosity!$E$71:$E$76</c:f>
              <c:numCache>
                <c:formatCode>0.00E+00</c:formatCode>
                <c:ptCount val="6"/>
                <c:pt idx="0">
                  <c:v>4.7399999999999998E-2</c:v>
                </c:pt>
                <c:pt idx="1">
                  <c:v>5.0299999999999997E-2</c:v>
                </c:pt>
                <c:pt idx="2">
                  <c:v>5.2900000000000003E-2</c:v>
                </c:pt>
                <c:pt idx="3">
                  <c:v>5.5899999999999998E-2</c:v>
                </c:pt>
                <c:pt idx="4">
                  <c:v>5.9200000000000003E-2</c:v>
                </c:pt>
                <c:pt idx="5">
                  <c:v>6.3E-2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BB-4F32-B817-F59B13F4F522}"/>
            </c:ext>
          </c:extLst>
        </c:ser>
        <c:ser>
          <c:idx val="9"/>
          <c:order val="8"/>
          <c:tx>
            <c:strRef>
              <c:f>Viscosity!$A$5</c:f>
              <c:strCache>
                <c:ptCount val="1"/>
                <c:pt idx="0">
                  <c:v> T = 220 (model [22])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Viscosity!$X$4:$X$17</c:f>
              <c:numCache>
                <c:formatCode>General</c:formatCode>
                <c:ptCount val="14"/>
                <c:pt idx="0">
                  <c:v>1166.08</c:v>
                </c:pt>
                <c:pt idx="1">
                  <c:v>1166.1099999999999</c:v>
                </c:pt>
                <c:pt idx="2">
                  <c:v>1166.1199999999999</c:v>
                </c:pt>
                <c:pt idx="3">
                  <c:v>1166.1199999999999</c:v>
                </c:pt>
                <c:pt idx="4">
                  <c:v>1166.18</c:v>
                </c:pt>
                <c:pt idx="5">
                  <c:v>1167.1300000000001</c:v>
                </c:pt>
                <c:pt idx="6">
                  <c:v>1170.4000000000001</c:v>
                </c:pt>
                <c:pt idx="7">
                  <c:v>1175.67</c:v>
                </c:pt>
                <c:pt idx="8">
                  <c:v>1180.54</c:v>
                </c:pt>
                <c:pt idx="9">
                  <c:v>1185.05</c:v>
                </c:pt>
                <c:pt idx="10">
                  <c:v>1190.43</c:v>
                </c:pt>
                <c:pt idx="11">
                  <c:v>1192.79</c:v>
                </c:pt>
                <c:pt idx="12">
                  <c:v>1192.79</c:v>
                </c:pt>
                <c:pt idx="13">
                  <c:v>1194.8900000000001</c:v>
                </c:pt>
              </c:numCache>
            </c:numRef>
          </c:xVal>
          <c:yVal>
            <c:numRef>
              <c:f>Viscosity!$Z$4:$Z$17</c:f>
              <c:numCache>
                <c:formatCode>General</c:formatCode>
                <c:ptCount val="14"/>
                <c:pt idx="0">
                  <c:v>0.23923536440232773</c:v>
                </c:pt>
                <c:pt idx="1">
                  <c:v>0.23926321657528915</c:v>
                </c:pt>
                <c:pt idx="2">
                  <c:v>0.23927250150431958</c:v>
                </c:pt>
                <c:pt idx="3">
                  <c:v>0.23927250150431958</c:v>
                </c:pt>
                <c:pt idx="4">
                  <c:v>0.23932822022944344</c:v>
                </c:pt>
                <c:pt idx="5">
                  <c:v>0.24021252739708315</c:v>
                </c:pt>
                <c:pt idx="6">
                  <c:v>0.24328673177974117</c:v>
                </c:pt>
                <c:pt idx="7">
                  <c:v>0.24834162493586634</c:v>
                </c:pt>
                <c:pt idx="8">
                  <c:v>0.25312546982271583</c:v>
                </c:pt>
                <c:pt idx="9">
                  <c:v>0.25765447165294453</c:v>
                </c:pt>
                <c:pt idx="10">
                  <c:v>0.26318437666419536</c:v>
                </c:pt>
                <c:pt idx="11">
                  <c:v>0.26565468119818991</c:v>
                </c:pt>
                <c:pt idx="12">
                  <c:v>0.26565468119818991</c:v>
                </c:pt>
                <c:pt idx="13">
                  <c:v>0.26787603696884027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BB-4F32-B817-F59B13F4F522}"/>
            </c:ext>
          </c:extLst>
        </c:ser>
        <c:ser>
          <c:idx val="10"/>
          <c:order val="9"/>
          <c:tx>
            <c:strRef>
              <c:f>Viscosity!$A$19</c:f>
              <c:strCache>
                <c:ptCount val="1"/>
                <c:pt idx="0">
                  <c:v> T = 230 (model [22])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Viscosity!$X$18:$X$25</c:f>
              <c:numCache>
                <c:formatCode>General</c:formatCode>
                <c:ptCount val="8"/>
                <c:pt idx="0">
                  <c:v>1128.6099999999999</c:v>
                </c:pt>
                <c:pt idx="1">
                  <c:v>1128.6300000000001</c:v>
                </c:pt>
                <c:pt idx="2">
                  <c:v>1128.6300000000001</c:v>
                </c:pt>
                <c:pt idx="3">
                  <c:v>1128.69</c:v>
                </c:pt>
                <c:pt idx="4">
                  <c:v>1132.97</c:v>
                </c:pt>
                <c:pt idx="5">
                  <c:v>1139.3399999999999</c:v>
                </c:pt>
                <c:pt idx="6">
                  <c:v>1145.26</c:v>
                </c:pt>
                <c:pt idx="7">
                  <c:v>1152.44</c:v>
                </c:pt>
              </c:numCache>
            </c:numRef>
          </c:xVal>
          <c:yVal>
            <c:numRef>
              <c:f>Viscosity!$Z$18:$Z$25</c:f>
              <c:numCache>
                <c:formatCode>General</c:formatCode>
                <c:ptCount val="8"/>
                <c:pt idx="0">
                  <c:v>0.20279401158545901</c:v>
                </c:pt>
                <c:pt idx="1">
                  <c:v>0.20280901502303095</c:v>
                </c:pt>
                <c:pt idx="2">
                  <c:v>0.20280901502303095</c:v>
                </c:pt>
                <c:pt idx="3">
                  <c:v>0.20285403363757099</c:v>
                </c:pt>
                <c:pt idx="4">
                  <c:v>0.20609772055408515</c:v>
                </c:pt>
                <c:pt idx="5">
                  <c:v>0.21104564949464044</c:v>
                </c:pt>
                <c:pt idx="6">
                  <c:v>0.21577661446147761</c:v>
                </c:pt>
                <c:pt idx="7">
                  <c:v>0.22169145914616106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2BB-4F32-B817-F59B13F4F522}"/>
            </c:ext>
          </c:extLst>
        </c:ser>
        <c:ser>
          <c:idx val="11"/>
          <c:order val="10"/>
          <c:tx>
            <c:strRef>
              <c:f>Viscosity!$A$27</c:f>
              <c:strCache>
                <c:ptCount val="1"/>
                <c:pt idx="0">
                  <c:v> T = 240 (model [22])</c:v>
                </c:pt>
              </c:strCache>
            </c:strRef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Ref>
              <c:f>Viscosity!$X$26:$X$34</c:f>
              <c:numCache>
                <c:formatCode>General</c:formatCode>
                <c:ptCount val="9"/>
                <c:pt idx="0">
                  <c:v>1088.72</c:v>
                </c:pt>
                <c:pt idx="1">
                  <c:v>1088.75</c:v>
                </c:pt>
                <c:pt idx="2">
                  <c:v>1088.8</c:v>
                </c:pt>
                <c:pt idx="3">
                  <c:v>1088.8599999999999</c:v>
                </c:pt>
                <c:pt idx="4">
                  <c:v>1092.8399999999999</c:v>
                </c:pt>
                <c:pt idx="5">
                  <c:v>1092.8599999999999</c:v>
                </c:pt>
                <c:pt idx="6">
                  <c:v>1100.71</c:v>
                </c:pt>
                <c:pt idx="7">
                  <c:v>1108.06</c:v>
                </c:pt>
                <c:pt idx="8">
                  <c:v>1117.7</c:v>
                </c:pt>
              </c:numCache>
            </c:numRef>
          </c:xVal>
          <c:yVal>
            <c:numRef>
              <c:f>Viscosity!$Z$26:$Z$34</c:f>
              <c:numCache>
                <c:formatCode>General</c:formatCode>
                <c:ptCount val="9"/>
                <c:pt idx="0">
                  <c:v>0.17240079848056894</c:v>
                </c:pt>
                <c:pt idx="1">
                  <c:v>0.17241892866336295</c:v>
                </c:pt>
                <c:pt idx="2">
                  <c:v>0.1724491510625103</c:v>
                </c:pt>
                <c:pt idx="3">
                  <c:v>0.17248542689949817</c:v>
                </c:pt>
                <c:pt idx="4">
                  <c:v>0.17491369827113329</c:v>
                </c:pt>
                <c:pt idx="5">
                  <c:v>0.17492601071539501</c:v>
                </c:pt>
                <c:pt idx="6">
                  <c:v>0.17984535446572153</c:v>
                </c:pt>
                <c:pt idx="7">
                  <c:v>0.1846122128660877</c:v>
                </c:pt>
                <c:pt idx="8">
                  <c:v>0.19111002260404103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2BB-4F32-B817-F59B13F4F522}"/>
            </c:ext>
          </c:extLst>
        </c:ser>
        <c:ser>
          <c:idx val="12"/>
          <c:order val="11"/>
          <c:tx>
            <c:strRef>
              <c:f>Viscosity!$A$36</c:f>
              <c:strCache>
                <c:ptCount val="1"/>
                <c:pt idx="0">
                  <c:v> T = 260 (model [22]) 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Viscosity!$X$35:$X$45</c:f>
              <c:numCache>
                <c:formatCode>General</c:formatCode>
                <c:ptCount val="11"/>
                <c:pt idx="0">
                  <c:v>998.58</c:v>
                </c:pt>
                <c:pt idx="1">
                  <c:v>998.69</c:v>
                </c:pt>
                <c:pt idx="2">
                  <c:v>998.8</c:v>
                </c:pt>
                <c:pt idx="3">
                  <c:v>998.97</c:v>
                </c:pt>
                <c:pt idx="4">
                  <c:v>999.42</c:v>
                </c:pt>
                <c:pt idx="5">
                  <c:v>1004.29</c:v>
                </c:pt>
                <c:pt idx="6">
                  <c:v>1012.72</c:v>
                </c:pt>
                <c:pt idx="7">
                  <c:v>1019.51</c:v>
                </c:pt>
                <c:pt idx="8">
                  <c:v>1027.0899999999999</c:v>
                </c:pt>
                <c:pt idx="9">
                  <c:v>1038.47</c:v>
                </c:pt>
                <c:pt idx="10">
                  <c:v>1053.07</c:v>
                </c:pt>
              </c:numCache>
            </c:numRef>
          </c:xVal>
          <c:yVal>
            <c:numRef>
              <c:f>Viscosity!$Z$35:$Z$45</c:f>
              <c:numCache>
                <c:formatCode>General</c:formatCode>
                <c:ptCount val="11"/>
                <c:pt idx="0">
                  <c:v>0.12495234758955695</c:v>
                </c:pt>
                <c:pt idx="1">
                  <c:v>0.12499496363392898</c:v>
                </c:pt>
                <c:pt idx="2">
                  <c:v>0.12503759891183722</c:v>
                </c:pt>
                <c:pt idx="3">
                  <c:v>0.12510352765228461</c:v>
                </c:pt>
                <c:pt idx="4">
                  <c:v>0.1252782670721197</c:v>
                </c:pt>
                <c:pt idx="5">
                  <c:v>0.12719016086227974</c:v>
                </c:pt>
                <c:pt idx="6">
                  <c:v>0.1305919236343521</c:v>
                </c:pt>
                <c:pt idx="7">
                  <c:v>0.13341989770671625</c:v>
                </c:pt>
                <c:pt idx="8">
                  <c:v>0.13667331628421206</c:v>
                </c:pt>
                <c:pt idx="9">
                  <c:v>0.14175726810875883</c:v>
                </c:pt>
                <c:pt idx="10">
                  <c:v>0.14865106508150305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2BB-4F32-B817-F59B13F4F522}"/>
            </c:ext>
          </c:extLst>
        </c:ser>
        <c:ser>
          <c:idx val="7"/>
          <c:order val="12"/>
          <c:tx>
            <c:strRef>
              <c:f>Viscosity!$A$47</c:f>
              <c:strCache>
                <c:ptCount val="1"/>
                <c:pt idx="0">
                  <c:v> T = 280 (model [22])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Viscosity!$X$46:$X$53</c:f>
              <c:numCache>
                <c:formatCode>General</c:formatCode>
                <c:ptCount val="8"/>
                <c:pt idx="0">
                  <c:v>882.55</c:v>
                </c:pt>
                <c:pt idx="1">
                  <c:v>883.25</c:v>
                </c:pt>
                <c:pt idx="2">
                  <c:v>883.83</c:v>
                </c:pt>
                <c:pt idx="3">
                  <c:v>884.7</c:v>
                </c:pt>
                <c:pt idx="4">
                  <c:v>894.1</c:v>
                </c:pt>
                <c:pt idx="5">
                  <c:v>902.2</c:v>
                </c:pt>
                <c:pt idx="6">
                  <c:v>918.36</c:v>
                </c:pt>
                <c:pt idx="7">
                  <c:v>945.46</c:v>
                </c:pt>
              </c:numCache>
            </c:numRef>
          </c:xVal>
          <c:yVal>
            <c:numRef>
              <c:f>Viscosity!$Z$46:$Z$53</c:f>
              <c:numCache>
                <c:formatCode>General</c:formatCode>
                <c:ptCount val="8"/>
                <c:pt idx="0">
                  <c:v>8.8506406552142425E-2</c:v>
                </c:pt>
                <c:pt idx="1">
                  <c:v>8.8674646026150772E-2</c:v>
                </c:pt>
                <c:pt idx="2">
                  <c:v>8.8814353675356755E-2</c:v>
                </c:pt>
                <c:pt idx="3">
                  <c:v>8.9024442454775629E-2</c:v>
                </c:pt>
                <c:pt idx="4">
                  <c:v>9.1335449738622426E-2</c:v>
                </c:pt>
                <c:pt idx="5">
                  <c:v>9.3389034594006104E-2</c:v>
                </c:pt>
                <c:pt idx="6">
                  <c:v>9.7667942762939969E-2</c:v>
                </c:pt>
                <c:pt idx="7">
                  <c:v>0.10543648920581122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2BB-4F32-B817-F59B13F4F522}"/>
            </c:ext>
          </c:extLst>
        </c:ser>
        <c:ser>
          <c:idx val="13"/>
          <c:order val="13"/>
          <c:tx>
            <c:strRef>
              <c:f>Viscosity!$A$55</c:f>
              <c:strCache>
                <c:ptCount val="1"/>
                <c:pt idx="0">
                  <c:v> T = 300 (model [22])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Viscosity!$X$54:$X$60</c:f>
              <c:numCache>
                <c:formatCode>General</c:formatCode>
                <c:ptCount val="7"/>
                <c:pt idx="0">
                  <c:v>687.9</c:v>
                </c:pt>
                <c:pt idx="1">
                  <c:v>707.76</c:v>
                </c:pt>
                <c:pt idx="2">
                  <c:v>728.22</c:v>
                </c:pt>
                <c:pt idx="3">
                  <c:v>753.89</c:v>
                </c:pt>
                <c:pt idx="4">
                  <c:v>780.96</c:v>
                </c:pt>
                <c:pt idx="5">
                  <c:v>805.64</c:v>
                </c:pt>
                <c:pt idx="6">
                  <c:v>825.97</c:v>
                </c:pt>
              </c:numCache>
            </c:numRef>
          </c:xVal>
          <c:yVal>
            <c:numRef>
              <c:f>Viscosity!$Z$54:$Z$60</c:f>
              <c:numCache>
                <c:formatCode>General</c:formatCode>
                <c:ptCount val="7"/>
                <c:pt idx="0">
                  <c:v>5.4318805359876592E-2</c:v>
                </c:pt>
                <c:pt idx="1">
                  <c:v>5.6997516135474963E-2</c:v>
                </c:pt>
                <c:pt idx="2">
                  <c:v>5.9909548811059143E-2</c:v>
                </c:pt>
                <c:pt idx="3">
                  <c:v>6.3801012101440874E-2</c:v>
                </c:pt>
                <c:pt idx="4">
                  <c:v>6.8221106931301762E-2</c:v>
                </c:pt>
                <c:pt idx="5">
                  <c:v>7.2566468813752893E-2</c:v>
                </c:pt>
                <c:pt idx="6">
                  <c:v>7.6397031773420568E-2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2BB-4F32-B817-F59B13F4F522}"/>
            </c:ext>
          </c:extLst>
        </c:ser>
        <c:ser>
          <c:idx val="14"/>
          <c:order val="14"/>
          <c:tx>
            <c:strRef>
              <c:f>Viscosity!$A$62</c:f>
              <c:strCache>
                <c:ptCount val="1"/>
                <c:pt idx="0">
                  <c:v> T = 303 (model [22])</c:v>
                </c:pt>
              </c:strCache>
            </c:strRef>
          </c:tx>
          <c:spPr>
            <a:ln w="19050">
              <a:solidFill>
                <a:srgbClr val="BB11AF"/>
              </a:solidFill>
            </a:ln>
          </c:spPr>
          <c:marker>
            <c:symbol val="none"/>
          </c:marker>
          <c:xVal>
            <c:numRef>
              <c:f>Viscosity!$X$61:$X$70</c:f>
              <c:numCache>
                <c:formatCode>General</c:formatCode>
                <c:ptCount val="10"/>
                <c:pt idx="0">
                  <c:v>615.01</c:v>
                </c:pt>
                <c:pt idx="1">
                  <c:v>640.03</c:v>
                </c:pt>
                <c:pt idx="2">
                  <c:v>660.55</c:v>
                </c:pt>
                <c:pt idx="3">
                  <c:v>676.88</c:v>
                </c:pt>
                <c:pt idx="4">
                  <c:v>698.05</c:v>
                </c:pt>
                <c:pt idx="5">
                  <c:v>719.03</c:v>
                </c:pt>
                <c:pt idx="6">
                  <c:v>739</c:v>
                </c:pt>
                <c:pt idx="7">
                  <c:v>765.91</c:v>
                </c:pt>
                <c:pt idx="8">
                  <c:v>789.21</c:v>
                </c:pt>
                <c:pt idx="9">
                  <c:v>809.35</c:v>
                </c:pt>
              </c:numCache>
            </c:numRef>
          </c:xVal>
          <c:yVal>
            <c:numRef>
              <c:f>Viscosity!$Z$61:$Z$70</c:f>
              <c:numCache>
                <c:formatCode>General</c:formatCode>
                <c:ptCount val="10"/>
                <c:pt idx="0">
                  <c:v>4.5715453431303885E-2</c:v>
                </c:pt>
                <c:pt idx="1">
                  <c:v>4.852742286917721E-2</c:v>
                </c:pt>
                <c:pt idx="2">
                  <c:v>5.0969947954592768E-2</c:v>
                </c:pt>
                <c:pt idx="3">
                  <c:v>5.3007283473237202E-2</c:v>
                </c:pt>
                <c:pt idx="4">
                  <c:v>5.5780027831891899E-2</c:v>
                </c:pt>
                <c:pt idx="5">
                  <c:v>5.8684807450652271E-2</c:v>
                </c:pt>
                <c:pt idx="6">
                  <c:v>6.1606373262349912E-2</c:v>
                </c:pt>
                <c:pt idx="7">
                  <c:v>6.580713624040109E-2</c:v>
                </c:pt>
                <c:pt idx="8">
                  <c:v>6.9713638496156333E-2</c:v>
                </c:pt>
                <c:pt idx="9">
                  <c:v>7.3312788042733931E-2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2BB-4F32-B817-F59B13F4F522}"/>
            </c:ext>
          </c:extLst>
        </c:ser>
        <c:ser>
          <c:idx val="15"/>
          <c:order val="15"/>
          <c:tx>
            <c:strRef>
              <c:f>Viscosity!$A$72</c:f>
              <c:strCache>
                <c:ptCount val="1"/>
                <c:pt idx="0">
                  <c:v> T = 308 (model [22])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Viscosity!$X$71:$X$76</c:f>
              <c:numCache>
                <c:formatCode>General</c:formatCode>
                <c:ptCount val="6"/>
                <c:pt idx="0">
                  <c:v>626.75</c:v>
                </c:pt>
                <c:pt idx="1">
                  <c:v>650.08000000000004</c:v>
                </c:pt>
                <c:pt idx="2">
                  <c:v>674.36</c:v>
                </c:pt>
                <c:pt idx="3">
                  <c:v>700.15</c:v>
                </c:pt>
                <c:pt idx="4">
                  <c:v>724.06</c:v>
                </c:pt>
                <c:pt idx="5">
                  <c:v>750.17</c:v>
                </c:pt>
              </c:numCache>
            </c:numRef>
          </c:xVal>
          <c:yVal>
            <c:numRef>
              <c:f>Viscosity!$Z$71:$Z$76</c:f>
              <c:numCache>
                <c:formatCode>General</c:formatCode>
                <c:ptCount val="6"/>
                <c:pt idx="0">
                  <c:v>4.7229723098083994E-2</c:v>
                </c:pt>
                <c:pt idx="1">
                  <c:v>4.991601028190798E-2</c:v>
                </c:pt>
                <c:pt idx="2">
                  <c:v>5.2885675657520823E-2</c:v>
                </c:pt>
                <c:pt idx="3">
                  <c:v>5.6250354290311479E-2</c:v>
                </c:pt>
                <c:pt idx="4">
                  <c:v>5.9580561888036912E-2</c:v>
                </c:pt>
                <c:pt idx="5">
                  <c:v>6.3471566438212085E-2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2BB-4F32-B817-F59B13F4F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1200"/>
          <c:min val="60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el-GR" sz="1050" b="1" i="0" u="none" strike="noStrike" baseline="0">
                    <a:effectLst/>
                  </a:rPr>
                  <a:t>ρ</a:t>
                </a:r>
                <a:r>
                  <a:rPr lang="it-IT" sz="1050" b="1" i="0" u="none" strike="noStrike" baseline="0">
                    <a:effectLst/>
                  </a:rPr>
                  <a:t> </a:t>
                </a:r>
                <a:r>
                  <a:rPr lang="it-IT" sz="1050"/>
                  <a:t>[kg/</a:t>
                </a:r>
                <a:r>
                  <a:rPr lang="it-IT" sz="1050" b="1" i="0" u="none" strike="noStrike" baseline="0">
                    <a:effectLst/>
                  </a:rPr>
                  <a:t>m</a:t>
                </a:r>
                <a:r>
                  <a:rPr lang="it-IT" sz="1050" b="1" i="0" u="none" strike="noStrike" baseline="30000">
                    <a:effectLst/>
                  </a:rPr>
                  <a:t>3</a:t>
                </a:r>
                <a:r>
                  <a:rPr lang="it-IT" sz="1050"/>
                  <a:t>]</a:t>
                </a:r>
              </a:p>
            </c:rich>
          </c:tx>
          <c:layout>
            <c:manualLayout>
              <c:xMode val="edge"/>
              <c:yMode val="edge"/>
              <c:x val="0.4820630171626003"/>
              <c:y val="0.929994875136048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0"/>
        <c:crossBetween val="midCat"/>
        <c:majorUnit val="50"/>
      </c:valAx>
      <c:valAx>
        <c:axId val="68417792"/>
        <c:scaling>
          <c:orientation val="minMax"/>
          <c:max val="0.28000000000000003"/>
          <c:min val="4.0000000000000008E-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el-GR" sz="1050"/>
                  <a:t>η</a:t>
                </a:r>
                <a:r>
                  <a:rPr lang="it-IT" sz="1050"/>
                  <a:t> [mPa</a:t>
                </a:r>
                <a:r>
                  <a:rPr lang="it-IT" sz="1050" baseline="0"/>
                  <a:t> s</a:t>
                </a:r>
                <a:r>
                  <a:rPr lang="it-IT" sz="1050"/>
                  <a:t>]</a:t>
                </a:r>
              </a:p>
            </c:rich>
          </c:tx>
          <c:layout>
            <c:manualLayout>
              <c:xMode val="edge"/>
              <c:yMode val="edge"/>
              <c:x val="1.7515025605512668E-2"/>
              <c:y val="0.396886634306769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2.0000000000000004E-2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12979198744830983"/>
          <c:y val="8.4672757942482205E-2"/>
          <c:w val="0.54961364328663997"/>
          <c:h val="0.3236250591285289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17495943236"/>
          <c:y val="7.5930660731657704E-2"/>
          <c:w val="0.81947875244691393"/>
          <c:h val="0.79145189738983202"/>
        </c:manualLayout>
      </c:layout>
      <c:scatterChart>
        <c:scatterStyle val="lineMarker"/>
        <c:varyColors val="0"/>
        <c:ser>
          <c:idx val="4"/>
          <c:order val="0"/>
          <c:tx>
            <c:strRef>
              <c:f>Viscosity!$A$101</c:f>
              <c:strCache>
                <c:ptCount val="1"/>
                <c:pt idx="0">
                  <c:v> T = 220 (exp. data [21])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Viscosity!$X$101:$X$110</c:f>
              <c:numCache>
                <c:formatCode>0.0000</c:formatCode>
                <c:ptCount val="10"/>
                <c:pt idx="0">
                  <c:v>12.406499999999999</c:v>
                </c:pt>
                <c:pt idx="1">
                  <c:v>11.5716</c:v>
                </c:pt>
                <c:pt idx="2">
                  <c:v>10.9046</c:v>
                </c:pt>
                <c:pt idx="3">
                  <c:v>10.022600000000001</c:v>
                </c:pt>
                <c:pt idx="4">
                  <c:v>9.2017199999999999</c:v>
                </c:pt>
                <c:pt idx="5">
                  <c:v>8.1823300000000003</c:v>
                </c:pt>
                <c:pt idx="6">
                  <c:v>7.2274000000000003</c:v>
                </c:pt>
                <c:pt idx="7">
                  <c:v>6.34795</c:v>
                </c:pt>
                <c:pt idx="8">
                  <c:v>5.6326999999999998</c:v>
                </c:pt>
                <c:pt idx="9">
                  <c:v>4.83392</c:v>
                </c:pt>
              </c:numCache>
            </c:numRef>
          </c:xVal>
          <c:yVal>
            <c:numRef>
              <c:f>Viscosity!$Y$101:$Y$110</c:f>
              <c:numCache>
                <c:formatCode>General</c:formatCode>
                <c:ptCount val="10"/>
                <c:pt idx="0">
                  <c:v>1.1189422349999999E-2</c:v>
                </c:pt>
                <c:pt idx="1">
                  <c:v>1.122329484E-2</c:v>
                </c:pt>
                <c:pt idx="2">
                  <c:v>1.1217562019999999E-2</c:v>
                </c:pt>
                <c:pt idx="3">
                  <c:v>1.12203007E-2</c:v>
                </c:pt>
                <c:pt idx="4">
                  <c:v>1.1272107E-2</c:v>
                </c:pt>
                <c:pt idx="5">
                  <c:v>1.125070375E-2</c:v>
                </c:pt>
                <c:pt idx="6">
                  <c:v>1.1250893579999999E-2</c:v>
                </c:pt>
                <c:pt idx="7">
                  <c:v>1.137425681E-2</c:v>
                </c:pt>
                <c:pt idx="8">
                  <c:v>1.1282298100000001E-2</c:v>
                </c:pt>
                <c:pt idx="9">
                  <c:v>1.144188864E-2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43-42EE-84B4-D20D08862B00}"/>
            </c:ext>
          </c:extLst>
        </c:ser>
        <c:ser>
          <c:idx val="6"/>
          <c:order val="1"/>
          <c:tx>
            <c:strRef>
              <c:f>Viscosity!$A$111</c:f>
              <c:strCache>
                <c:ptCount val="1"/>
                <c:pt idx="0">
                  <c:v> T = 235 (exp. data [21])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Viscosity!$X$111:$X$117</c:f>
              <c:numCache>
                <c:formatCode>0.0000</c:formatCode>
                <c:ptCount val="7"/>
                <c:pt idx="0">
                  <c:v>20.006</c:v>
                </c:pt>
                <c:pt idx="1">
                  <c:v>17.823699999999999</c:v>
                </c:pt>
                <c:pt idx="2">
                  <c:v>15.5358</c:v>
                </c:pt>
                <c:pt idx="3">
                  <c:v>13.102</c:v>
                </c:pt>
                <c:pt idx="4">
                  <c:v>10.7554</c:v>
                </c:pt>
                <c:pt idx="5">
                  <c:v>8.4373000000000005</c:v>
                </c:pt>
                <c:pt idx="6">
                  <c:v>5.1925800000000004</c:v>
                </c:pt>
              </c:numCache>
            </c:numRef>
          </c:xVal>
          <c:yVal>
            <c:numRef>
              <c:f>Viscosity!$Y$111:$Y$117</c:f>
              <c:numCache>
                <c:formatCode>General</c:formatCode>
                <c:ptCount val="7"/>
                <c:pt idx="0">
                  <c:v>1.1905570599999998E-2</c:v>
                </c:pt>
                <c:pt idx="1">
                  <c:v>1.1956137959999998E-2</c:v>
                </c:pt>
                <c:pt idx="2">
                  <c:v>1.1908190699999998E-2</c:v>
                </c:pt>
                <c:pt idx="3">
                  <c:v>1.19673668E-2</c:v>
                </c:pt>
                <c:pt idx="4">
                  <c:v>1.198474222E-2</c:v>
                </c:pt>
                <c:pt idx="5">
                  <c:v>1.2007965359999999E-2</c:v>
                </c:pt>
                <c:pt idx="6">
                  <c:v>1.2005244960000001E-2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43-42EE-84B4-D20D08862B00}"/>
            </c:ext>
          </c:extLst>
        </c:ser>
        <c:ser>
          <c:idx val="8"/>
          <c:order val="2"/>
          <c:tx>
            <c:strRef>
              <c:f>Viscosity!$A$118</c:f>
              <c:strCache>
                <c:ptCount val="1"/>
                <c:pt idx="0">
                  <c:v> T = 250 (exp. data [21])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Viscosity!$X$118:$X$128</c:f>
              <c:numCache>
                <c:formatCode>0.00000</c:formatCode>
                <c:ptCount val="11"/>
                <c:pt idx="0">
                  <c:v>35.651400000000002</c:v>
                </c:pt>
                <c:pt idx="1">
                  <c:v>31.386399999999998</c:v>
                </c:pt>
                <c:pt idx="2">
                  <c:v>28.199200000000001</c:v>
                </c:pt>
                <c:pt idx="3">
                  <c:v>25.026</c:v>
                </c:pt>
                <c:pt idx="4">
                  <c:v>22.212199999999999</c:v>
                </c:pt>
                <c:pt idx="5">
                  <c:v>18.797799999999999</c:v>
                </c:pt>
                <c:pt idx="6">
                  <c:v>15.9176</c:v>
                </c:pt>
                <c:pt idx="7">
                  <c:v>13.354699999999999</c:v>
                </c:pt>
                <c:pt idx="8">
                  <c:v>10.893700000000001</c:v>
                </c:pt>
                <c:pt idx="9">
                  <c:v>8.1600699999999993</c:v>
                </c:pt>
                <c:pt idx="10">
                  <c:v>5.9530900000000004</c:v>
                </c:pt>
              </c:numCache>
            </c:numRef>
          </c:xVal>
          <c:yVal>
            <c:numRef>
              <c:f>Viscosity!$Y$118:$Y$128</c:f>
              <c:numCache>
                <c:formatCode>General</c:formatCode>
                <c:ptCount val="11"/>
                <c:pt idx="0">
                  <c:v>1.2634856159999999E-2</c:v>
                </c:pt>
                <c:pt idx="1">
                  <c:v>1.2651857839999999E-2</c:v>
                </c:pt>
                <c:pt idx="2">
                  <c:v>1.2681180239999999E-2</c:v>
                </c:pt>
                <c:pt idx="3">
                  <c:v>1.2675668999999999E-2</c:v>
                </c:pt>
                <c:pt idx="4">
                  <c:v>1.26942723E-2</c:v>
                </c:pt>
                <c:pt idx="5">
                  <c:v>1.2696034119999998E-2</c:v>
                </c:pt>
                <c:pt idx="6">
                  <c:v>1.2710203599999999E-2</c:v>
                </c:pt>
                <c:pt idx="7">
                  <c:v>1.2732370979999999E-2</c:v>
                </c:pt>
                <c:pt idx="8">
                  <c:v>1.274780774E-2</c:v>
                </c:pt>
                <c:pt idx="9">
                  <c:v>1.2791725731999999E-2</c:v>
                </c:pt>
                <c:pt idx="10">
                  <c:v>1.2819384006E-2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FB-42D5-B2EB-715334D741DA}"/>
            </c:ext>
          </c:extLst>
        </c:ser>
        <c:ser>
          <c:idx val="16"/>
          <c:order val="3"/>
          <c:tx>
            <c:strRef>
              <c:f>Viscosity!$A$90</c:f>
              <c:strCache>
                <c:ptCount val="1"/>
                <c:pt idx="0">
                  <c:v> T = 253 (exp. data [20])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Viscosity!$D$90:$D$94</c:f>
              <c:numCache>
                <c:formatCode>General</c:formatCode>
                <c:ptCount val="5"/>
                <c:pt idx="0">
                  <c:v>8.6989999999999998</c:v>
                </c:pt>
                <c:pt idx="1">
                  <c:v>6.4509999999999996</c:v>
                </c:pt>
                <c:pt idx="2">
                  <c:v>4.266</c:v>
                </c:pt>
                <c:pt idx="3">
                  <c:v>3.2410000000000001</c:v>
                </c:pt>
                <c:pt idx="4">
                  <c:v>2.113</c:v>
                </c:pt>
              </c:numCache>
            </c:numRef>
          </c:xVal>
          <c:yVal>
            <c:numRef>
              <c:f>Viscosity!$E$90:$E$94</c:f>
              <c:numCache>
                <c:formatCode>0.00000</c:formatCode>
                <c:ptCount val="5"/>
                <c:pt idx="0">
                  <c:v>1.2716999999999999E-2</c:v>
                </c:pt>
                <c:pt idx="1">
                  <c:v>1.2706E-2</c:v>
                </c:pt>
                <c:pt idx="2">
                  <c:v>1.2713E-2</c:v>
                </c:pt>
                <c:pt idx="3">
                  <c:v>1.2714E-2</c:v>
                </c:pt>
                <c:pt idx="4">
                  <c:v>1.2713E-2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B-4BF9-8636-6218034E18A6}"/>
            </c:ext>
          </c:extLst>
        </c:ser>
        <c:ser>
          <c:idx val="10"/>
          <c:order val="4"/>
          <c:tx>
            <c:strRef>
              <c:f>Viscosity!$A$129</c:f>
              <c:strCache>
                <c:ptCount val="1"/>
                <c:pt idx="0">
                  <c:v> T = 270 (exp. data [21])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Viscosity!$X$129:$X$141</c:f>
              <c:numCache>
                <c:formatCode>0.0000</c:formatCode>
                <c:ptCount val="13"/>
                <c:pt idx="0">
                  <c:v>62.0777</c:v>
                </c:pt>
                <c:pt idx="1">
                  <c:v>55.898299999999999</c:v>
                </c:pt>
                <c:pt idx="2">
                  <c:v>48.816499999999998</c:v>
                </c:pt>
                <c:pt idx="3">
                  <c:v>42.247199999999999</c:v>
                </c:pt>
                <c:pt idx="4">
                  <c:v>36.496099999999998</c:v>
                </c:pt>
                <c:pt idx="5">
                  <c:v>31.827300000000001</c:v>
                </c:pt>
                <c:pt idx="6">
                  <c:v>27.904699999999998</c:v>
                </c:pt>
                <c:pt idx="7">
                  <c:v>22.913499999999999</c:v>
                </c:pt>
                <c:pt idx="8">
                  <c:v>18.835599999999999</c:v>
                </c:pt>
                <c:pt idx="9">
                  <c:v>14.555999999999999</c:v>
                </c:pt>
                <c:pt idx="10">
                  <c:v>10.711</c:v>
                </c:pt>
                <c:pt idx="11">
                  <c:v>7.1360999999999999</c:v>
                </c:pt>
                <c:pt idx="12">
                  <c:v>3.9077700000000002</c:v>
                </c:pt>
              </c:numCache>
            </c:numRef>
          </c:xVal>
          <c:yVal>
            <c:numRef>
              <c:f>Viscosity!$Y$129:$Y$141</c:f>
              <c:numCache>
                <c:formatCode>General</c:formatCode>
                <c:ptCount val="13"/>
                <c:pt idx="0">
                  <c:v>1.401714466E-2</c:v>
                </c:pt>
                <c:pt idx="1">
                  <c:v>1.394103602E-2</c:v>
                </c:pt>
                <c:pt idx="2">
                  <c:v>1.3849241050000001E-2</c:v>
                </c:pt>
                <c:pt idx="3">
                  <c:v>1.3781036639999999E-2</c:v>
                </c:pt>
                <c:pt idx="4">
                  <c:v>1.3733482430000001E-2</c:v>
                </c:pt>
                <c:pt idx="5">
                  <c:v>1.371438357E-2</c:v>
                </c:pt>
                <c:pt idx="6">
                  <c:v>1.3703998169999999E-2</c:v>
                </c:pt>
                <c:pt idx="7">
                  <c:v>1.3722895149999999E-2</c:v>
                </c:pt>
                <c:pt idx="8">
                  <c:v>1.3706666119999999E-2</c:v>
                </c:pt>
                <c:pt idx="9">
                  <c:v>1.37903544E-2</c:v>
                </c:pt>
                <c:pt idx="10">
                  <c:v>1.3796839100000001E-2</c:v>
                </c:pt>
                <c:pt idx="11">
                  <c:v>1.3936803300000002E-2</c:v>
                </c:pt>
                <c:pt idx="12">
                  <c:v>1.3692826080000001E-2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FB-42D5-B2EB-715334D741DA}"/>
            </c:ext>
          </c:extLst>
        </c:ser>
        <c:ser>
          <c:idx val="17"/>
          <c:order val="5"/>
          <c:tx>
            <c:strRef>
              <c:f>Viscosity!$A$95</c:f>
              <c:strCache>
                <c:ptCount val="1"/>
                <c:pt idx="0">
                  <c:v> T = 273 (exp. data [20])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Viscosity!$D$95:$D$100</c:f>
              <c:numCache>
                <c:formatCode>General</c:formatCode>
                <c:ptCount val="6"/>
                <c:pt idx="0">
                  <c:v>10.086</c:v>
                </c:pt>
                <c:pt idx="1">
                  <c:v>7.9539999999999997</c:v>
                </c:pt>
                <c:pt idx="2">
                  <c:v>5.9669999999999996</c:v>
                </c:pt>
                <c:pt idx="3">
                  <c:v>3.996</c:v>
                </c:pt>
                <c:pt idx="4">
                  <c:v>2.972</c:v>
                </c:pt>
                <c:pt idx="5">
                  <c:v>1.9590000000000001</c:v>
                </c:pt>
              </c:numCache>
            </c:numRef>
          </c:xVal>
          <c:yVal>
            <c:numRef>
              <c:f>Viscosity!$E$95:$E$100</c:f>
              <c:numCache>
                <c:formatCode>0.00000</c:formatCode>
                <c:ptCount val="6"/>
                <c:pt idx="0">
                  <c:v>1.3724E-2</c:v>
                </c:pt>
                <c:pt idx="1">
                  <c:v>1.371E-2</c:v>
                </c:pt>
                <c:pt idx="2">
                  <c:v>1.3709000000000001E-2</c:v>
                </c:pt>
                <c:pt idx="3">
                  <c:v>1.37E-2</c:v>
                </c:pt>
                <c:pt idx="4">
                  <c:v>1.3703E-2</c:v>
                </c:pt>
                <c:pt idx="5">
                  <c:v>1.3705999999999999E-2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9B-4BF9-8636-6218034E18A6}"/>
            </c:ext>
          </c:extLst>
        </c:ser>
        <c:ser>
          <c:idx val="12"/>
          <c:order val="6"/>
          <c:tx>
            <c:strRef>
              <c:f>Viscosity!$A$142</c:f>
              <c:strCache>
                <c:ptCount val="1"/>
                <c:pt idx="0">
                  <c:v> T = 285 (exp. data [21])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7030A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Viscosity!$X$142:$X$153</c:f>
              <c:numCache>
                <c:formatCode>0.00000</c:formatCode>
                <c:ptCount val="12"/>
                <c:pt idx="0">
                  <c:v>71.813299999999998</c:v>
                </c:pt>
                <c:pt idx="1">
                  <c:v>65.260800000000003</c:v>
                </c:pt>
                <c:pt idx="2">
                  <c:v>57.193399999999997</c:v>
                </c:pt>
                <c:pt idx="3">
                  <c:v>48.151800000000001</c:v>
                </c:pt>
                <c:pt idx="4">
                  <c:v>41.260100000000001</c:v>
                </c:pt>
                <c:pt idx="5">
                  <c:v>35.497500000000002</c:v>
                </c:pt>
                <c:pt idx="6">
                  <c:v>30.715499999999999</c:v>
                </c:pt>
                <c:pt idx="7">
                  <c:v>24.663</c:v>
                </c:pt>
                <c:pt idx="8">
                  <c:v>20.037099999999999</c:v>
                </c:pt>
                <c:pt idx="9">
                  <c:v>15.3513</c:v>
                </c:pt>
                <c:pt idx="10">
                  <c:v>11.0594</c:v>
                </c:pt>
                <c:pt idx="11">
                  <c:v>7.05253</c:v>
                </c:pt>
              </c:numCache>
            </c:numRef>
          </c:xVal>
          <c:yVal>
            <c:numRef>
              <c:f>Viscosity!$Y$142:$Y$153</c:f>
              <c:numCache>
                <c:formatCode>General</c:formatCode>
                <c:ptCount val="12"/>
                <c:pt idx="0">
                  <c:v>1.4807902459999999E-2</c:v>
                </c:pt>
                <c:pt idx="1">
                  <c:v>1.4820727680000001E-2</c:v>
                </c:pt>
                <c:pt idx="2">
                  <c:v>1.4733019839999998E-2</c:v>
                </c:pt>
                <c:pt idx="3">
                  <c:v>1.4599625760000002E-2</c:v>
                </c:pt>
                <c:pt idx="4">
                  <c:v>1.454005924E-2</c:v>
                </c:pt>
                <c:pt idx="5">
                  <c:v>1.4504278500000002E-2</c:v>
                </c:pt>
                <c:pt idx="6">
                  <c:v>1.44854298E-2</c:v>
                </c:pt>
                <c:pt idx="7">
                  <c:v>1.4487046200000003E-2</c:v>
                </c:pt>
                <c:pt idx="8">
                  <c:v>1.4460775069999999E-2</c:v>
                </c:pt>
                <c:pt idx="9">
                  <c:v>1.448702181E-2</c:v>
                </c:pt>
                <c:pt idx="10">
                  <c:v>1.4502191219999998E-2</c:v>
                </c:pt>
                <c:pt idx="11">
                  <c:v>1.4595210835000001E-2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9FB-42D5-B2EB-715334D741DA}"/>
            </c:ext>
          </c:extLst>
        </c:ser>
        <c:ser>
          <c:idx val="18"/>
          <c:order val="7"/>
          <c:tx>
            <c:strRef>
              <c:f>Viscosity!$A$77</c:f>
              <c:strCache>
                <c:ptCount val="1"/>
                <c:pt idx="0">
                  <c:v> T = 298 (exp. data [20])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99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Viscosity!$D$77:$D$82</c:f>
              <c:numCache>
                <c:formatCode>General</c:formatCode>
                <c:ptCount val="6"/>
                <c:pt idx="0">
                  <c:v>11.071999999999999</c:v>
                </c:pt>
                <c:pt idx="1">
                  <c:v>9.0779999999999994</c:v>
                </c:pt>
                <c:pt idx="2">
                  <c:v>7.3</c:v>
                </c:pt>
                <c:pt idx="3">
                  <c:v>5.4669999999999996</c:v>
                </c:pt>
                <c:pt idx="4">
                  <c:v>3.67</c:v>
                </c:pt>
                <c:pt idx="5">
                  <c:v>1.7989999999999999</c:v>
                </c:pt>
              </c:numCache>
            </c:numRef>
          </c:xVal>
          <c:yVal>
            <c:numRef>
              <c:f>Viscosity!$E$77:$E$82</c:f>
              <c:numCache>
                <c:formatCode>0.00000</c:formatCode>
                <c:ptCount val="6"/>
                <c:pt idx="0">
                  <c:v>1.4945E-2</c:v>
                </c:pt>
                <c:pt idx="1">
                  <c:v>1.4929E-2</c:v>
                </c:pt>
                <c:pt idx="2">
                  <c:v>1.4918000000000001E-2</c:v>
                </c:pt>
                <c:pt idx="3">
                  <c:v>1.4911000000000001E-2</c:v>
                </c:pt>
                <c:pt idx="4">
                  <c:v>1.4903E-2</c:v>
                </c:pt>
                <c:pt idx="5">
                  <c:v>1.4900999999999999E-2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9B-4BF9-8636-6218034E18A6}"/>
            </c:ext>
          </c:extLst>
        </c:ser>
        <c:ser>
          <c:idx val="14"/>
          <c:order val="8"/>
          <c:tx>
            <c:strRef>
              <c:f>Viscosity!$A$166</c:f>
              <c:strCache>
                <c:ptCount val="1"/>
                <c:pt idx="0">
                  <c:v> T = 304.77 (exp. data [21])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C0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Viscosity!$X$166:$X$177</c:f>
              <c:numCache>
                <c:formatCode>0.00000</c:formatCode>
                <c:ptCount val="12"/>
                <c:pt idx="0">
                  <c:v>65.043899999999994</c:v>
                </c:pt>
                <c:pt idx="1">
                  <c:v>58.710099999999997</c:v>
                </c:pt>
                <c:pt idx="2">
                  <c:v>50.904000000000003</c:v>
                </c:pt>
                <c:pt idx="3">
                  <c:v>43.692900000000002</c:v>
                </c:pt>
                <c:pt idx="4">
                  <c:v>37.471699999999998</c:v>
                </c:pt>
                <c:pt idx="5">
                  <c:v>32.187399999999997</c:v>
                </c:pt>
                <c:pt idx="6">
                  <c:v>27.6677</c:v>
                </c:pt>
                <c:pt idx="7">
                  <c:v>22.148800000000001</c:v>
                </c:pt>
                <c:pt idx="8">
                  <c:v>17.849299999999999</c:v>
                </c:pt>
                <c:pt idx="9">
                  <c:v>13.415699999999999</c:v>
                </c:pt>
                <c:pt idx="10">
                  <c:v>9.3856999999999999</c:v>
                </c:pt>
                <c:pt idx="11">
                  <c:v>5.6025900000000002</c:v>
                </c:pt>
              </c:numCache>
            </c:numRef>
          </c:xVal>
          <c:yVal>
            <c:numRef>
              <c:f>Viscosity!$Y$166:$Y$177</c:f>
              <c:numCache>
                <c:formatCode>General</c:formatCode>
                <c:ptCount val="12"/>
                <c:pt idx="0">
                  <c:v>1.5877215989999999E-2</c:v>
                </c:pt>
                <c:pt idx="1">
                  <c:v>1.5769532860000001E-2</c:v>
                </c:pt>
                <c:pt idx="2">
                  <c:v>1.56377088E-2</c:v>
                </c:pt>
                <c:pt idx="3">
                  <c:v>1.5580888139999999E-2</c:v>
                </c:pt>
                <c:pt idx="4">
                  <c:v>1.5520778139999998E-2</c:v>
                </c:pt>
                <c:pt idx="5">
                  <c:v>1.5501451839999998E-2</c:v>
                </c:pt>
                <c:pt idx="6">
                  <c:v>1.547454461E-2</c:v>
                </c:pt>
                <c:pt idx="7">
                  <c:v>1.5462077280000002E-2</c:v>
                </c:pt>
                <c:pt idx="8">
                  <c:v>1.545927873E-2</c:v>
                </c:pt>
                <c:pt idx="9">
                  <c:v>1.546561896E-2</c:v>
                </c:pt>
                <c:pt idx="10">
                  <c:v>1.548452786E-2</c:v>
                </c:pt>
                <c:pt idx="11">
                  <c:v>1.558640538E-2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9FB-42D5-B2EB-715334D741DA}"/>
            </c:ext>
          </c:extLst>
        </c:ser>
        <c:ser>
          <c:idx val="19"/>
          <c:order val="9"/>
          <c:tx>
            <c:strRef>
              <c:f>Viscosity!$A$83</c:f>
              <c:strCache>
                <c:ptCount val="1"/>
                <c:pt idx="0">
                  <c:v> T = 323 (exp. data [20])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BB11A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Viscosity!$D$83:$D$89</c:f>
              <c:numCache>
                <c:formatCode>General</c:formatCode>
                <c:ptCount val="7"/>
                <c:pt idx="0">
                  <c:v>10.037000000000001</c:v>
                </c:pt>
                <c:pt idx="1">
                  <c:v>8.3559999999999999</c:v>
                </c:pt>
                <c:pt idx="2">
                  <c:v>6.665</c:v>
                </c:pt>
                <c:pt idx="3">
                  <c:v>5.0529999999999999</c:v>
                </c:pt>
                <c:pt idx="4">
                  <c:v>3.3159999999999998</c:v>
                </c:pt>
                <c:pt idx="5">
                  <c:v>2.4969999999999999</c:v>
                </c:pt>
                <c:pt idx="6">
                  <c:v>1.657</c:v>
                </c:pt>
              </c:numCache>
            </c:numRef>
          </c:xVal>
          <c:yVal>
            <c:numRef>
              <c:f>Viscosity!$E$83:$E$89</c:f>
              <c:numCache>
                <c:formatCode>0.00000</c:formatCode>
                <c:ptCount val="7"/>
                <c:pt idx="0">
                  <c:v>1.6128E-2</c:v>
                </c:pt>
                <c:pt idx="1">
                  <c:v>1.6115999999999998E-2</c:v>
                </c:pt>
                <c:pt idx="2">
                  <c:v>1.6104E-2</c:v>
                </c:pt>
                <c:pt idx="3">
                  <c:v>1.6098999999999999E-2</c:v>
                </c:pt>
                <c:pt idx="4">
                  <c:v>1.6088000000000002E-2</c:v>
                </c:pt>
                <c:pt idx="5">
                  <c:v>1.6079E-2</c:v>
                </c:pt>
                <c:pt idx="6">
                  <c:v>1.6077999999999999E-2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9B-4BF9-8636-6218034E18A6}"/>
            </c:ext>
          </c:extLst>
        </c:ser>
        <c:ser>
          <c:idx val="5"/>
          <c:order val="10"/>
          <c:tx>
            <c:strRef>
              <c:f>Viscosity!$A$102</c:f>
              <c:strCache>
                <c:ptCount val="1"/>
                <c:pt idx="0">
                  <c:v> T = 220 (model [22])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Viscosity!$X$101:$X$110</c:f>
              <c:numCache>
                <c:formatCode>0.0000</c:formatCode>
                <c:ptCount val="10"/>
                <c:pt idx="0">
                  <c:v>12.406499999999999</c:v>
                </c:pt>
                <c:pt idx="1">
                  <c:v>11.5716</c:v>
                </c:pt>
                <c:pt idx="2">
                  <c:v>10.9046</c:v>
                </c:pt>
                <c:pt idx="3">
                  <c:v>10.022600000000001</c:v>
                </c:pt>
                <c:pt idx="4">
                  <c:v>9.2017199999999999</c:v>
                </c:pt>
                <c:pt idx="5">
                  <c:v>8.1823300000000003</c:v>
                </c:pt>
                <c:pt idx="6">
                  <c:v>7.2274000000000003</c:v>
                </c:pt>
                <c:pt idx="7">
                  <c:v>6.34795</c:v>
                </c:pt>
                <c:pt idx="8">
                  <c:v>5.6326999999999998</c:v>
                </c:pt>
                <c:pt idx="9">
                  <c:v>4.83392</c:v>
                </c:pt>
              </c:numCache>
            </c:numRef>
          </c:xVal>
          <c:yVal>
            <c:numRef>
              <c:f>Viscosity!$Z$101:$Z$110</c:f>
              <c:numCache>
                <c:formatCode>General</c:formatCode>
                <c:ptCount val="10"/>
                <c:pt idx="0">
                  <c:v>1.1070584642945622E-2</c:v>
                </c:pt>
                <c:pt idx="1">
                  <c:v>1.1073018209770471E-2</c:v>
                </c:pt>
                <c:pt idx="2">
                  <c:v>1.1075039230793827E-2</c:v>
                </c:pt>
                <c:pt idx="3">
                  <c:v>1.1077816444108836E-2</c:v>
                </c:pt>
                <c:pt idx="4">
                  <c:v>1.1080508299308836E-2</c:v>
                </c:pt>
                <c:pt idx="5">
                  <c:v>1.1083994729647611E-2</c:v>
                </c:pt>
                <c:pt idx="6">
                  <c:v>1.1087404921568008E-2</c:v>
                </c:pt>
                <c:pt idx="7">
                  <c:v>1.1090668874390124E-2</c:v>
                </c:pt>
                <c:pt idx="8">
                  <c:v>1.1093410545153471E-2</c:v>
                </c:pt>
                <c:pt idx="9">
                  <c:v>1.1096564714415265E-2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43-42EE-84B4-D20D08862B00}"/>
            </c:ext>
          </c:extLst>
        </c:ser>
        <c:ser>
          <c:idx val="7"/>
          <c:order val="11"/>
          <c:tx>
            <c:strRef>
              <c:f>Viscosity!$A$112</c:f>
              <c:strCache>
                <c:ptCount val="1"/>
                <c:pt idx="0">
                  <c:v> T = 235 (model [22])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Viscosity!$X$111:$X$117</c:f>
              <c:numCache>
                <c:formatCode>0.0000</c:formatCode>
                <c:ptCount val="7"/>
                <c:pt idx="0">
                  <c:v>20.006</c:v>
                </c:pt>
                <c:pt idx="1">
                  <c:v>17.823699999999999</c:v>
                </c:pt>
                <c:pt idx="2">
                  <c:v>15.5358</c:v>
                </c:pt>
                <c:pt idx="3">
                  <c:v>13.102</c:v>
                </c:pt>
                <c:pt idx="4">
                  <c:v>10.7554</c:v>
                </c:pt>
                <c:pt idx="5">
                  <c:v>8.4373000000000005</c:v>
                </c:pt>
                <c:pt idx="6">
                  <c:v>5.1925800000000004</c:v>
                </c:pt>
              </c:numCache>
            </c:numRef>
          </c:xVal>
          <c:yVal>
            <c:numRef>
              <c:f>Viscosity!$Z$111:$Z$117</c:f>
              <c:numCache>
                <c:formatCode>General</c:formatCode>
                <c:ptCount val="7"/>
                <c:pt idx="0">
                  <c:v>1.183501733817211E-2</c:v>
                </c:pt>
                <c:pt idx="1">
                  <c:v>1.1833862168907984E-2</c:v>
                </c:pt>
                <c:pt idx="2">
                  <c:v>1.1833384601036041E-2</c:v>
                </c:pt>
                <c:pt idx="3">
                  <c:v>1.1833698963211677E-2</c:v>
                </c:pt>
                <c:pt idx="4">
                  <c:v>1.1834803051094332E-2</c:v>
                </c:pt>
                <c:pt idx="5">
                  <c:v>1.1836664108212012E-2</c:v>
                </c:pt>
                <c:pt idx="6">
                  <c:v>1.1840551810156724E-2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43-42EE-84B4-D20D08862B00}"/>
            </c:ext>
          </c:extLst>
        </c:ser>
        <c:ser>
          <c:idx val="9"/>
          <c:order val="12"/>
          <c:tx>
            <c:strRef>
              <c:f>Viscosity!$A$119</c:f>
              <c:strCache>
                <c:ptCount val="1"/>
                <c:pt idx="0">
                  <c:v> T = 250 (model [22])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Viscosity!$X$118:$X$128</c:f>
              <c:numCache>
                <c:formatCode>0.00000</c:formatCode>
                <c:ptCount val="11"/>
                <c:pt idx="0">
                  <c:v>35.651400000000002</c:v>
                </c:pt>
                <c:pt idx="1">
                  <c:v>31.386399999999998</c:v>
                </c:pt>
                <c:pt idx="2">
                  <c:v>28.199200000000001</c:v>
                </c:pt>
                <c:pt idx="3">
                  <c:v>25.026</c:v>
                </c:pt>
                <c:pt idx="4">
                  <c:v>22.212199999999999</c:v>
                </c:pt>
                <c:pt idx="5">
                  <c:v>18.797799999999999</c:v>
                </c:pt>
                <c:pt idx="6">
                  <c:v>15.9176</c:v>
                </c:pt>
                <c:pt idx="7">
                  <c:v>13.354699999999999</c:v>
                </c:pt>
                <c:pt idx="8">
                  <c:v>10.893700000000001</c:v>
                </c:pt>
                <c:pt idx="9">
                  <c:v>8.1600699999999993</c:v>
                </c:pt>
                <c:pt idx="10">
                  <c:v>5.9530900000000004</c:v>
                </c:pt>
              </c:numCache>
            </c:numRef>
          </c:xVal>
          <c:yVal>
            <c:numRef>
              <c:f>Viscosity!$Z$118:$Z$128</c:f>
              <c:numCache>
                <c:formatCode>General</c:formatCode>
                <c:ptCount val="11"/>
                <c:pt idx="0">
                  <c:v>1.2665521725888739E-2</c:v>
                </c:pt>
                <c:pt idx="1">
                  <c:v>1.2646367448384481E-2</c:v>
                </c:pt>
                <c:pt idx="2">
                  <c:v>1.2633670429068811E-2</c:v>
                </c:pt>
                <c:pt idx="3">
                  <c:v>1.2622397917507517E-2</c:v>
                </c:pt>
                <c:pt idx="4">
                  <c:v>1.2613540891820848E-2</c:v>
                </c:pt>
                <c:pt idx="5">
                  <c:v>1.2604226037213472E-2</c:v>
                </c:pt>
                <c:pt idx="6">
                  <c:v>1.2597585995311454E-2</c:v>
                </c:pt>
                <c:pt idx="7">
                  <c:v>1.2592611282200161E-2</c:v>
                </c:pt>
                <c:pt idx="8">
                  <c:v>1.2588659652095321E-2</c:v>
                </c:pt>
                <c:pt idx="9">
                  <c:v>1.2585215485855675E-2</c:v>
                </c:pt>
                <c:pt idx="10">
                  <c:v>1.2583158727834767E-2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FB-42D5-B2EB-715334D741DA}"/>
            </c:ext>
          </c:extLst>
        </c:ser>
        <c:ser>
          <c:idx val="0"/>
          <c:order val="13"/>
          <c:tx>
            <c:strRef>
              <c:f>Viscosity!$A$91</c:f>
              <c:strCache>
                <c:ptCount val="1"/>
                <c:pt idx="0">
                  <c:v> T = 253 (model [22])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Viscosity!$X$90:$X$94</c:f>
              <c:numCache>
                <c:formatCode>General</c:formatCode>
                <c:ptCount val="5"/>
                <c:pt idx="0">
                  <c:v>8.6989999999999998</c:v>
                </c:pt>
                <c:pt idx="1">
                  <c:v>6.4509999999999996</c:v>
                </c:pt>
                <c:pt idx="2">
                  <c:v>4.266</c:v>
                </c:pt>
                <c:pt idx="3">
                  <c:v>3.2410000000000001</c:v>
                </c:pt>
                <c:pt idx="4">
                  <c:v>2.113</c:v>
                </c:pt>
              </c:numCache>
            </c:numRef>
          </c:xVal>
          <c:yVal>
            <c:numRef>
              <c:f>Viscosity!$Z$90:$Z$94</c:f>
              <c:numCache>
                <c:formatCode>General</c:formatCode>
                <c:ptCount val="5"/>
                <c:pt idx="0">
                  <c:v>1.2742336258042586E-2</c:v>
                </c:pt>
                <c:pt idx="1">
                  <c:v>1.2739198395674532E-2</c:v>
                </c:pt>
                <c:pt idx="2">
                  <c:v>1.2736781419429218E-2</c:v>
                </c:pt>
                <c:pt idx="3">
                  <c:v>1.2735862165854319E-2</c:v>
                </c:pt>
                <c:pt idx="4">
                  <c:v>1.2735008658651778E-2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9B-4BF9-8636-6218034E18A6}"/>
            </c:ext>
          </c:extLst>
        </c:ser>
        <c:ser>
          <c:idx val="11"/>
          <c:order val="14"/>
          <c:tx>
            <c:strRef>
              <c:f>Viscosity!$A$130</c:f>
              <c:strCache>
                <c:ptCount val="1"/>
                <c:pt idx="0">
                  <c:v> T = 270 (model [22])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Viscosity!$X$129:$X$141</c:f>
              <c:numCache>
                <c:formatCode>0.0000</c:formatCode>
                <c:ptCount val="13"/>
                <c:pt idx="0">
                  <c:v>62.0777</c:v>
                </c:pt>
                <c:pt idx="1">
                  <c:v>55.898299999999999</c:v>
                </c:pt>
                <c:pt idx="2">
                  <c:v>48.816499999999998</c:v>
                </c:pt>
                <c:pt idx="3">
                  <c:v>42.247199999999999</c:v>
                </c:pt>
                <c:pt idx="4">
                  <c:v>36.496099999999998</c:v>
                </c:pt>
                <c:pt idx="5">
                  <c:v>31.827300000000001</c:v>
                </c:pt>
                <c:pt idx="6">
                  <c:v>27.904699999999998</c:v>
                </c:pt>
                <c:pt idx="7">
                  <c:v>22.913499999999999</c:v>
                </c:pt>
                <c:pt idx="8">
                  <c:v>18.835599999999999</c:v>
                </c:pt>
                <c:pt idx="9">
                  <c:v>14.555999999999999</c:v>
                </c:pt>
                <c:pt idx="10">
                  <c:v>10.711</c:v>
                </c:pt>
                <c:pt idx="11">
                  <c:v>7.1360999999999999</c:v>
                </c:pt>
                <c:pt idx="12">
                  <c:v>3.9077700000000002</c:v>
                </c:pt>
              </c:numCache>
            </c:numRef>
          </c:xVal>
          <c:yVal>
            <c:numRef>
              <c:f>Viscosity!$Z$129:$Z$141</c:f>
              <c:numCache>
                <c:formatCode>General</c:formatCode>
                <c:ptCount val="13"/>
                <c:pt idx="0">
                  <c:v>1.3937941525942099E-2</c:v>
                </c:pt>
                <c:pt idx="1">
                  <c:v>1.38775508195266E-2</c:v>
                </c:pt>
                <c:pt idx="2">
                  <c:v>1.3814418091232022E-2</c:v>
                </c:pt>
                <c:pt idx="3">
                  <c:v>1.3761611113612222E-2</c:v>
                </c:pt>
                <c:pt idx="4">
                  <c:v>1.3719894187099719E-2</c:v>
                </c:pt>
                <c:pt idx="5">
                  <c:v>1.3689105099801039E-2</c:v>
                </c:pt>
                <c:pt idx="6">
                  <c:v>1.3665356056450433E-2</c:v>
                </c:pt>
                <c:pt idx="7">
                  <c:v>1.3637919204162151E-2</c:v>
                </c:pt>
                <c:pt idx="8">
                  <c:v>1.3617802845065034E-2</c:v>
                </c:pt>
                <c:pt idx="9">
                  <c:v>1.3598903532415425E-2</c:v>
                </c:pt>
                <c:pt idx="10">
                  <c:v>1.3583845613689432E-2</c:v>
                </c:pt>
                <c:pt idx="11">
                  <c:v>1.3571469534566479E-2</c:v>
                </c:pt>
                <c:pt idx="12">
                  <c:v>1.3561631926910908E-2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FB-42D5-B2EB-715334D741DA}"/>
            </c:ext>
          </c:extLst>
        </c:ser>
        <c:ser>
          <c:idx val="1"/>
          <c:order val="15"/>
          <c:tx>
            <c:strRef>
              <c:f>Viscosity!$A$96</c:f>
              <c:strCache>
                <c:ptCount val="1"/>
                <c:pt idx="0">
                  <c:v> T = 273 (model [22])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Viscosity!$X$95:$X$100</c:f>
              <c:numCache>
                <c:formatCode>General</c:formatCode>
                <c:ptCount val="6"/>
                <c:pt idx="0">
                  <c:v>10.086</c:v>
                </c:pt>
                <c:pt idx="1">
                  <c:v>7.9539999999999997</c:v>
                </c:pt>
                <c:pt idx="2">
                  <c:v>5.9669999999999996</c:v>
                </c:pt>
                <c:pt idx="3">
                  <c:v>3.996</c:v>
                </c:pt>
                <c:pt idx="4">
                  <c:v>2.972</c:v>
                </c:pt>
                <c:pt idx="5">
                  <c:v>1.9590000000000001</c:v>
                </c:pt>
              </c:numCache>
            </c:numRef>
          </c:xVal>
          <c:yVal>
            <c:numRef>
              <c:f>Viscosity!$Z$95:$Z$100</c:f>
              <c:numCache>
                <c:formatCode>General</c:formatCode>
                <c:ptCount val="6"/>
                <c:pt idx="0">
                  <c:v>1.3738017087820293E-2</c:v>
                </c:pt>
                <c:pt idx="1">
                  <c:v>1.3730029815579116E-2</c:v>
                </c:pt>
                <c:pt idx="2">
                  <c:v>1.3722840054479457E-2</c:v>
                </c:pt>
                <c:pt idx="3">
                  <c:v>1.3716420557341886E-2</c:v>
                </c:pt>
                <c:pt idx="4">
                  <c:v>1.3713218437218153E-2</c:v>
                </c:pt>
                <c:pt idx="5">
                  <c:v>1.3710125683187005E-2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9B-4BF9-8636-6218034E18A6}"/>
            </c:ext>
          </c:extLst>
        </c:ser>
        <c:ser>
          <c:idx val="13"/>
          <c:order val="16"/>
          <c:tx>
            <c:strRef>
              <c:f>Viscosity!$A$143</c:f>
              <c:strCache>
                <c:ptCount val="1"/>
                <c:pt idx="0">
                  <c:v> T = 285 (model [22])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Viscosity!$X$142:$X$153</c:f>
              <c:numCache>
                <c:formatCode>0.00000</c:formatCode>
                <c:ptCount val="12"/>
                <c:pt idx="0">
                  <c:v>71.813299999999998</c:v>
                </c:pt>
                <c:pt idx="1">
                  <c:v>65.260800000000003</c:v>
                </c:pt>
                <c:pt idx="2">
                  <c:v>57.193399999999997</c:v>
                </c:pt>
                <c:pt idx="3">
                  <c:v>48.151800000000001</c:v>
                </c:pt>
                <c:pt idx="4">
                  <c:v>41.260100000000001</c:v>
                </c:pt>
                <c:pt idx="5">
                  <c:v>35.497500000000002</c:v>
                </c:pt>
                <c:pt idx="6">
                  <c:v>30.715499999999999</c:v>
                </c:pt>
                <c:pt idx="7">
                  <c:v>24.663</c:v>
                </c:pt>
                <c:pt idx="8">
                  <c:v>20.037099999999999</c:v>
                </c:pt>
                <c:pt idx="9">
                  <c:v>15.3513</c:v>
                </c:pt>
                <c:pt idx="10">
                  <c:v>11.0594</c:v>
                </c:pt>
                <c:pt idx="11">
                  <c:v>7.05253</c:v>
                </c:pt>
              </c:numCache>
            </c:numRef>
          </c:xVal>
          <c:yVal>
            <c:numRef>
              <c:f>Viscosity!$Z$142:$Z$153</c:f>
              <c:numCache>
                <c:formatCode>General</c:formatCode>
                <c:ptCount val="12"/>
                <c:pt idx="0">
                  <c:v>1.4855845435111561E-2</c:v>
                </c:pt>
                <c:pt idx="1">
                  <c:v>1.4776916400992487E-2</c:v>
                </c:pt>
                <c:pt idx="2">
                  <c:v>1.4687075485568305E-2</c:v>
                </c:pt>
                <c:pt idx="3">
                  <c:v>1.4595907231752372E-2</c:v>
                </c:pt>
                <c:pt idx="4">
                  <c:v>1.4533103624813708E-2</c:v>
                </c:pt>
                <c:pt idx="5">
                  <c:v>1.4484986753249758E-2</c:v>
                </c:pt>
                <c:pt idx="6">
                  <c:v>1.444807438422804E-2</c:v>
                </c:pt>
                <c:pt idx="7">
                  <c:v>1.4405248302902013E-2</c:v>
                </c:pt>
                <c:pt idx="8">
                  <c:v>1.4375428387535248E-2</c:v>
                </c:pt>
                <c:pt idx="9">
                  <c:v>1.4347776074967188E-2</c:v>
                </c:pt>
                <c:pt idx="10">
                  <c:v>1.4324689110174212E-2</c:v>
                </c:pt>
                <c:pt idx="11">
                  <c:v>1.430505737082512E-2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FB-42D5-B2EB-715334D741DA}"/>
            </c:ext>
          </c:extLst>
        </c:ser>
        <c:ser>
          <c:idx val="2"/>
          <c:order val="17"/>
          <c:tx>
            <c:strRef>
              <c:f>Viscosity!$A$78</c:f>
              <c:strCache>
                <c:ptCount val="1"/>
                <c:pt idx="0">
                  <c:v> T = 298 (model [22])</c:v>
                </c:pt>
              </c:strCache>
            </c:strRef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Ref>
              <c:f>Viscosity!$X$77:$X$82</c:f>
              <c:numCache>
                <c:formatCode>General</c:formatCode>
                <c:ptCount val="6"/>
                <c:pt idx="0">
                  <c:v>11.071999999999999</c:v>
                </c:pt>
                <c:pt idx="1">
                  <c:v>9.0779999999999994</c:v>
                </c:pt>
                <c:pt idx="2">
                  <c:v>7.3</c:v>
                </c:pt>
                <c:pt idx="3">
                  <c:v>5.4669999999999996</c:v>
                </c:pt>
                <c:pt idx="4">
                  <c:v>3.67</c:v>
                </c:pt>
                <c:pt idx="5">
                  <c:v>1.7989999999999999</c:v>
                </c:pt>
              </c:numCache>
            </c:numRef>
          </c:xVal>
          <c:yVal>
            <c:numRef>
              <c:f>Viscosity!$Z$77:$Z$82</c:f>
              <c:numCache>
                <c:formatCode>General</c:formatCode>
                <c:ptCount val="6"/>
                <c:pt idx="0">
                  <c:v>1.4967518635993014E-2</c:v>
                </c:pt>
                <c:pt idx="1">
                  <c:v>1.4955273018465524E-2</c:v>
                </c:pt>
                <c:pt idx="2">
                  <c:v>1.494480899872459E-2</c:v>
                </c:pt>
                <c:pt idx="3">
                  <c:v>1.4934431956191216E-2</c:v>
                </c:pt>
                <c:pt idx="4">
                  <c:v>1.4924567484711319E-2</c:v>
                </c:pt>
                <c:pt idx="5">
                  <c:v>1.4914622516203195E-2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9B-4BF9-8636-6218034E18A6}"/>
            </c:ext>
          </c:extLst>
        </c:ser>
        <c:ser>
          <c:idx val="15"/>
          <c:order val="18"/>
          <c:tx>
            <c:strRef>
              <c:f>Viscosity!$A$167</c:f>
              <c:strCache>
                <c:ptCount val="1"/>
                <c:pt idx="0">
                  <c:v> T = 304.77 (model [22])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Viscosity!$X$166:$X$177</c:f>
              <c:numCache>
                <c:formatCode>0.00000</c:formatCode>
                <c:ptCount val="12"/>
                <c:pt idx="0">
                  <c:v>65.043899999999994</c:v>
                </c:pt>
                <c:pt idx="1">
                  <c:v>58.710099999999997</c:v>
                </c:pt>
                <c:pt idx="2">
                  <c:v>50.904000000000003</c:v>
                </c:pt>
                <c:pt idx="3">
                  <c:v>43.692900000000002</c:v>
                </c:pt>
                <c:pt idx="4">
                  <c:v>37.471699999999998</c:v>
                </c:pt>
                <c:pt idx="5">
                  <c:v>32.187399999999997</c:v>
                </c:pt>
                <c:pt idx="6">
                  <c:v>27.6677</c:v>
                </c:pt>
                <c:pt idx="7">
                  <c:v>22.148800000000001</c:v>
                </c:pt>
                <c:pt idx="8">
                  <c:v>17.849299999999999</c:v>
                </c:pt>
                <c:pt idx="9">
                  <c:v>13.415699999999999</c:v>
                </c:pt>
                <c:pt idx="10">
                  <c:v>9.3856999999999999</c:v>
                </c:pt>
                <c:pt idx="11">
                  <c:v>5.6025900000000002</c:v>
                </c:pt>
              </c:numCache>
            </c:numRef>
          </c:xVal>
          <c:yVal>
            <c:numRef>
              <c:f>Viscosity!$Z$166:$Z$177</c:f>
              <c:numCache>
                <c:formatCode>General</c:formatCode>
                <c:ptCount val="12"/>
                <c:pt idx="0">
                  <c:v>1.5811230616595392E-2</c:v>
                </c:pt>
                <c:pt idx="1">
                  <c:v>1.5732782083859909E-2</c:v>
                </c:pt>
                <c:pt idx="2">
                  <c:v>1.5642495035883688E-2</c:v>
                </c:pt>
                <c:pt idx="3">
                  <c:v>1.556529825490903E-2</c:v>
                </c:pt>
                <c:pt idx="4">
                  <c:v>1.5503437546783913E-2</c:v>
                </c:pt>
                <c:pt idx="5">
                  <c:v>1.5454307498773591E-2</c:v>
                </c:pt>
                <c:pt idx="6">
                  <c:v>1.5414754043630899E-2</c:v>
                </c:pt>
                <c:pt idx="7">
                  <c:v>1.5369516930889808E-2</c:v>
                </c:pt>
                <c:pt idx="8">
                  <c:v>1.5336589371273321E-2</c:v>
                </c:pt>
                <c:pt idx="9">
                  <c:v>1.5304741468585195E-2</c:v>
                </c:pt>
                <c:pt idx="10">
                  <c:v>1.5277635805325991E-2</c:v>
                </c:pt>
                <c:pt idx="11">
                  <c:v>1.5253777300529106E-2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9FB-42D5-B2EB-715334D741DA}"/>
            </c:ext>
          </c:extLst>
        </c:ser>
        <c:ser>
          <c:idx val="3"/>
          <c:order val="19"/>
          <c:tx>
            <c:strRef>
              <c:f>Viscosity!$A$84</c:f>
              <c:strCache>
                <c:ptCount val="1"/>
                <c:pt idx="0">
                  <c:v> T = 323 (model [22])</c:v>
                </c:pt>
              </c:strCache>
            </c:strRef>
          </c:tx>
          <c:spPr>
            <a:ln w="19050">
              <a:solidFill>
                <a:srgbClr val="BB11AF"/>
              </a:solidFill>
            </a:ln>
          </c:spPr>
          <c:marker>
            <c:symbol val="none"/>
          </c:marker>
          <c:xVal>
            <c:numRef>
              <c:f>Viscosity!$X$83:$X$89</c:f>
              <c:numCache>
                <c:formatCode>General</c:formatCode>
                <c:ptCount val="7"/>
                <c:pt idx="0">
                  <c:v>10.037000000000001</c:v>
                </c:pt>
                <c:pt idx="1">
                  <c:v>8.3559999999999999</c:v>
                </c:pt>
                <c:pt idx="2">
                  <c:v>6.665</c:v>
                </c:pt>
                <c:pt idx="3">
                  <c:v>5.0529999999999999</c:v>
                </c:pt>
                <c:pt idx="4">
                  <c:v>3.3159999999999998</c:v>
                </c:pt>
                <c:pt idx="5">
                  <c:v>2.4969999999999999</c:v>
                </c:pt>
                <c:pt idx="6">
                  <c:v>1.657</c:v>
                </c:pt>
              </c:numCache>
            </c:numRef>
          </c:xVal>
          <c:yVal>
            <c:numRef>
              <c:f>Viscosity!$Z$83:$Z$89</c:f>
              <c:numCache>
                <c:formatCode>General</c:formatCode>
                <c:ptCount val="7"/>
                <c:pt idx="0">
                  <c:v>1.6165674467050303E-2</c:v>
                </c:pt>
                <c:pt idx="1">
                  <c:v>1.6152770137369675E-2</c:v>
                </c:pt>
                <c:pt idx="2">
                  <c:v>1.6139980559656413E-2</c:v>
                </c:pt>
                <c:pt idx="3">
                  <c:v>1.6128148611832139E-2</c:v>
                </c:pt>
                <c:pt idx="4">
                  <c:v>1.6115591691402878E-2</c:v>
                </c:pt>
                <c:pt idx="5">
                  <c:v>1.610979792017829E-2</c:v>
                </c:pt>
                <c:pt idx="6">
                  <c:v>1.6103972228862784E-2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9B-4BF9-8636-6218034E1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  <c:extLst/>
      </c:scatterChart>
      <c:valAx>
        <c:axId val="68415872"/>
        <c:scaling>
          <c:orientation val="minMax"/>
          <c:max val="73"/>
          <c:min val="1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el-GR" sz="1050" b="1" i="0" u="none" strike="noStrike" baseline="0">
                    <a:effectLst/>
                  </a:rPr>
                  <a:t>ρ</a:t>
                </a:r>
                <a:r>
                  <a:rPr lang="it-IT" sz="1050" b="1" i="0" u="none" strike="noStrike" baseline="0">
                    <a:effectLst/>
                  </a:rPr>
                  <a:t> </a:t>
                </a:r>
                <a:r>
                  <a:rPr lang="it-IT" sz="1050"/>
                  <a:t>[kg/</a:t>
                </a:r>
                <a:r>
                  <a:rPr lang="it-IT" sz="1050" b="1" i="0" u="none" strike="noStrike" baseline="0">
                    <a:effectLst/>
                  </a:rPr>
                  <a:t>m</a:t>
                </a:r>
                <a:r>
                  <a:rPr lang="it-IT" sz="1050" b="1" i="0" u="none" strike="noStrike" baseline="30000">
                    <a:effectLst/>
                  </a:rPr>
                  <a:t>3</a:t>
                </a:r>
                <a:r>
                  <a:rPr lang="it-IT" sz="1050"/>
                  <a:t>]</a:t>
                </a:r>
              </a:p>
            </c:rich>
          </c:tx>
          <c:layout>
            <c:manualLayout>
              <c:xMode val="edge"/>
              <c:yMode val="edge"/>
              <c:x val="0.48418278398824949"/>
              <c:y val="0.938943423099091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0"/>
        <c:crossBetween val="midCat"/>
        <c:majorUnit val="4"/>
      </c:valAx>
      <c:valAx>
        <c:axId val="68417792"/>
        <c:scaling>
          <c:orientation val="minMax"/>
          <c:max val="2.0000000000000004E-2"/>
          <c:min val="1.1000000000000003E-2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el-GR" sz="1050"/>
                  <a:t>η</a:t>
                </a:r>
                <a:r>
                  <a:rPr lang="it-IT" sz="1050"/>
                  <a:t> [mPa</a:t>
                </a:r>
                <a:r>
                  <a:rPr lang="it-IT" sz="1050" baseline="0"/>
                  <a:t> s</a:t>
                </a:r>
                <a:r>
                  <a:rPr lang="it-IT" sz="1050"/>
                  <a:t>]</a:t>
                </a:r>
              </a:p>
            </c:rich>
          </c:tx>
          <c:layout>
            <c:manualLayout>
              <c:xMode val="edge"/>
              <c:yMode val="edge"/>
              <c:x val="1.7515025605512668E-2"/>
              <c:y val="0.396886634306769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.0000000000000002E-3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21919916426760397"/>
          <c:y val="8.4115952172645087E-2"/>
          <c:w val="0.62059389830259459"/>
          <c:h val="0.30527640711577719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6118401866433"/>
          <c:y val="6.8178904962461082E-2"/>
          <c:w val="0.81947875244691393"/>
          <c:h val="0.7914518973898320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Viscosity!$AA$190</c:f>
              <c:strCache>
                <c:ptCount val="1"/>
                <c:pt idx="0">
                  <c:v> model 1 [22]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Viscosity!$W$4:$W$188</c:f>
              <c:numCache>
                <c:formatCode>General</c:formatCode>
                <c:ptCount val="185"/>
                <c:pt idx="0">
                  <c:v>220.005</c:v>
                </c:pt>
                <c:pt idx="1">
                  <c:v>220.005</c:v>
                </c:pt>
                <c:pt idx="2">
                  <c:v>220.005</c:v>
                </c:pt>
                <c:pt idx="3">
                  <c:v>220.005</c:v>
                </c:pt>
                <c:pt idx="4">
                  <c:v>220.005</c:v>
                </c:pt>
                <c:pt idx="5">
                  <c:v>220.005</c:v>
                </c:pt>
                <c:pt idx="6">
                  <c:v>220.005</c:v>
                </c:pt>
                <c:pt idx="7">
                  <c:v>220.005</c:v>
                </c:pt>
                <c:pt idx="8">
                  <c:v>220.005</c:v>
                </c:pt>
                <c:pt idx="9">
                  <c:v>220.005</c:v>
                </c:pt>
                <c:pt idx="10">
                  <c:v>220.005</c:v>
                </c:pt>
                <c:pt idx="11">
                  <c:v>220.005</c:v>
                </c:pt>
                <c:pt idx="12">
                  <c:v>220.005</c:v>
                </c:pt>
                <c:pt idx="13">
                  <c:v>220.005</c:v>
                </c:pt>
                <c:pt idx="14">
                  <c:v>230.005</c:v>
                </c:pt>
                <c:pt idx="15">
                  <c:v>230.005</c:v>
                </c:pt>
                <c:pt idx="16">
                  <c:v>230.005</c:v>
                </c:pt>
                <c:pt idx="17">
                  <c:v>230.005</c:v>
                </c:pt>
                <c:pt idx="18">
                  <c:v>230.005</c:v>
                </c:pt>
                <c:pt idx="19">
                  <c:v>230.005</c:v>
                </c:pt>
                <c:pt idx="20">
                  <c:v>230.005</c:v>
                </c:pt>
                <c:pt idx="21">
                  <c:v>230.005</c:v>
                </c:pt>
                <c:pt idx="22">
                  <c:v>240.00399999999999</c:v>
                </c:pt>
                <c:pt idx="23">
                  <c:v>240.00399999999999</c:v>
                </c:pt>
                <c:pt idx="24">
                  <c:v>240.00399999999999</c:v>
                </c:pt>
                <c:pt idx="25">
                  <c:v>240.00399999999999</c:v>
                </c:pt>
                <c:pt idx="26">
                  <c:v>240.00399999999999</c:v>
                </c:pt>
                <c:pt idx="27">
                  <c:v>240.00399999999999</c:v>
                </c:pt>
                <c:pt idx="28">
                  <c:v>240.00399999999999</c:v>
                </c:pt>
                <c:pt idx="29">
                  <c:v>240.00399999999999</c:v>
                </c:pt>
                <c:pt idx="30">
                  <c:v>240.00399999999999</c:v>
                </c:pt>
                <c:pt idx="31">
                  <c:v>260.005</c:v>
                </c:pt>
                <c:pt idx="32">
                  <c:v>260.005</c:v>
                </c:pt>
                <c:pt idx="33">
                  <c:v>260.005</c:v>
                </c:pt>
                <c:pt idx="34">
                  <c:v>260.005</c:v>
                </c:pt>
                <c:pt idx="35">
                  <c:v>260.005</c:v>
                </c:pt>
                <c:pt idx="36">
                  <c:v>260.005</c:v>
                </c:pt>
                <c:pt idx="37">
                  <c:v>260.005</c:v>
                </c:pt>
                <c:pt idx="38">
                  <c:v>260.005</c:v>
                </c:pt>
                <c:pt idx="39">
                  <c:v>260.005</c:v>
                </c:pt>
                <c:pt idx="40">
                  <c:v>260.005</c:v>
                </c:pt>
                <c:pt idx="41">
                  <c:v>260.005</c:v>
                </c:pt>
                <c:pt idx="42">
                  <c:v>280.01499999999999</c:v>
                </c:pt>
                <c:pt idx="43">
                  <c:v>280.01499999999999</c:v>
                </c:pt>
                <c:pt idx="44">
                  <c:v>280.01499999999999</c:v>
                </c:pt>
                <c:pt idx="45">
                  <c:v>280.01499999999999</c:v>
                </c:pt>
                <c:pt idx="46">
                  <c:v>280.01499999999999</c:v>
                </c:pt>
                <c:pt idx="47">
                  <c:v>280.01499999999999</c:v>
                </c:pt>
                <c:pt idx="48">
                  <c:v>280.01499999999999</c:v>
                </c:pt>
                <c:pt idx="49">
                  <c:v>280.01499999999999</c:v>
                </c:pt>
                <c:pt idx="50">
                  <c:v>300.01499999999999</c:v>
                </c:pt>
                <c:pt idx="51">
                  <c:v>300.01499999999999</c:v>
                </c:pt>
                <c:pt idx="52">
                  <c:v>300.01499999999999</c:v>
                </c:pt>
                <c:pt idx="53">
                  <c:v>300.01499999999999</c:v>
                </c:pt>
                <c:pt idx="54">
                  <c:v>300.01499999999999</c:v>
                </c:pt>
                <c:pt idx="55">
                  <c:v>300.01499999999999</c:v>
                </c:pt>
                <c:pt idx="56">
                  <c:v>300.01499999999999</c:v>
                </c:pt>
                <c:pt idx="57">
                  <c:v>303.05</c:v>
                </c:pt>
                <c:pt idx="58">
                  <c:v>303.05</c:v>
                </c:pt>
                <c:pt idx="59">
                  <c:v>303.05</c:v>
                </c:pt>
                <c:pt idx="60">
                  <c:v>303.05</c:v>
                </c:pt>
                <c:pt idx="61">
                  <c:v>303.05</c:v>
                </c:pt>
                <c:pt idx="62">
                  <c:v>303.05</c:v>
                </c:pt>
                <c:pt idx="63">
                  <c:v>303.05</c:v>
                </c:pt>
                <c:pt idx="64">
                  <c:v>303.05</c:v>
                </c:pt>
                <c:pt idx="65">
                  <c:v>303.05</c:v>
                </c:pt>
                <c:pt idx="66">
                  <c:v>303.05</c:v>
                </c:pt>
                <c:pt idx="67">
                  <c:v>308.14999999999998</c:v>
                </c:pt>
                <c:pt idx="68">
                  <c:v>308.14999999999998</c:v>
                </c:pt>
                <c:pt idx="69">
                  <c:v>308.14999999999998</c:v>
                </c:pt>
                <c:pt idx="70">
                  <c:v>308.14999999999998</c:v>
                </c:pt>
                <c:pt idx="71">
                  <c:v>308.14999999999998</c:v>
                </c:pt>
                <c:pt idx="72">
                  <c:v>308.14999999999998</c:v>
                </c:pt>
                <c:pt idx="73">
                  <c:v>298.15300000000002</c:v>
                </c:pt>
                <c:pt idx="74">
                  <c:v>298.15100000000001</c:v>
                </c:pt>
                <c:pt idx="75">
                  <c:v>298.15100000000001</c:v>
                </c:pt>
                <c:pt idx="76">
                  <c:v>298.15199999999999</c:v>
                </c:pt>
                <c:pt idx="77">
                  <c:v>298.15199999999999</c:v>
                </c:pt>
                <c:pt idx="78">
                  <c:v>298.15100000000001</c:v>
                </c:pt>
                <c:pt idx="79">
                  <c:v>323.15899999999999</c:v>
                </c:pt>
                <c:pt idx="80">
                  <c:v>323.16000000000003</c:v>
                </c:pt>
                <c:pt idx="81">
                  <c:v>323.15899999999999</c:v>
                </c:pt>
                <c:pt idx="82">
                  <c:v>323.16000000000003</c:v>
                </c:pt>
                <c:pt idx="83">
                  <c:v>323.15899999999999</c:v>
                </c:pt>
                <c:pt idx="84">
                  <c:v>323.15899999999999</c:v>
                </c:pt>
                <c:pt idx="85">
                  <c:v>323.16000000000003</c:v>
                </c:pt>
                <c:pt idx="86">
                  <c:v>253.14599999999999</c:v>
                </c:pt>
                <c:pt idx="87">
                  <c:v>253.14599999999999</c:v>
                </c:pt>
                <c:pt idx="88">
                  <c:v>253.14599999999999</c:v>
                </c:pt>
                <c:pt idx="89">
                  <c:v>253.14599999999999</c:v>
                </c:pt>
                <c:pt idx="90">
                  <c:v>253.14599999999999</c:v>
                </c:pt>
                <c:pt idx="91">
                  <c:v>273.16800000000001</c:v>
                </c:pt>
                <c:pt idx="92">
                  <c:v>273.17</c:v>
                </c:pt>
                <c:pt idx="93">
                  <c:v>273.16699999999997</c:v>
                </c:pt>
                <c:pt idx="94">
                  <c:v>273.16899999999998</c:v>
                </c:pt>
                <c:pt idx="95">
                  <c:v>273.16899999999998</c:v>
                </c:pt>
                <c:pt idx="96">
                  <c:v>273.16800000000001</c:v>
                </c:pt>
                <c:pt idx="97">
                  <c:v>220</c:v>
                </c:pt>
                <c:pt idx="98">
                  <c:v>220</c:v>
                </c:pt>
                <c:pt idx="99">
                  <c:v>220</c:v>
                </c:pt>
                <c:pt idx="100">
                  <c:v>220</c:v>
                </c:pt>
                <c:pt idx="101">
                  <c:v>220</c:v>
                </c:pt>
                <c:pt idx="102">
                  <c:v>220</c:v>
                </c:pt>
                <c:pt idx="103">
                  <c:v>220</c:v>
                </c:pt>
                <c:pt idx="104">
                  <c:v>220</c:v>
                </c:pt>
                <c:pt idx="105">
                  <c:v>220</c:v>
                </c:pt>
                <c:pt idx="106">
                  <c:v>220</c:v>
                </c:pt>
                <c:pt idx="107">
                  <c:v>235</c:v>
                </c:pt>
                <c:pt idx="108">
                  <c:v>235</c:v>
                </c:pt>
                <c:pt idx="109">
                  <c:v>235</c:v>
                </c:pt>
                <c:pt idx="110">
                  <c:v>235</c:v>
                </c:pt>
                <c:pt idx="111">
                  <c:v>235</c:v>
                </c:pt>
                <c:pt idx="112">
                  <c:v>235</c:v>
                </c:pt>
                <c:pt idx="113">
                  <c:v>235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270</c:v>
                </c:pt>
                <c:pt idx="126">
                  <c:v>270</c:v>
                </c:pt>
                <c:pt idx="127">
                  <c:v>270</c:v>
                </c:pt>
                <c:pt idx="128">
                  <c:v>270</c:v>
                </c:pt>
                <c:pt idx="129">
                  <c:v>270</c:v>
                </c:pt>
                <c:pt idx="130">
                  <c:v>270</c:v>
                </c:pt>
                <c:pt idx="131">
                  <c:v>270</c:v>
                </c:pt>
                <c:pt idx="132">
                  <c:v>270</c:v>
                </c:pt>
                <c:pt idx="133">
                  <c:v>270</c:v>
                </c:pt>
                <c:pt idx="134">
                  <c:v>270</c:v>
                </c:pt>
                <c:pt idx="135">
                  <c:v>270</c:v>
                </c:pt>
                <c:pt idx="136">
                  <c:v>270</c:v>
                </c:pt>
                <c:pt idx="137">
                  <c:v>270</c:v>
                </c:pt>
                <c:pt idx="138">
                  <c:v>285</c:v>
                </c:pt>
                <c:pt idx="139">
                  <c:v>285</c:v>
                </c:pt>
                <c:pt idx="140">
                  <c:v>285</c:v>
                </c:pt>
                <c:pt idx="141">
                  <c:v>285</c:v>
                </c:pt>
                <c:pt idx="142">
                  <c:v>285</c:v>
                </c:pt>
                <c:pt idx="143">
                  <c:v>285</c:v>
                </c:pt>
                <c:pt idx="144">
                  <c:v>285</c:v>
                </c:pt>
                <c:pt idx="145">
                  <c:v>285</c:v>
                </c:pt>
                <c:pt idx="146">
                  <c:v>285</c:v>
                </c:pt>
                <c:pt idx="147">
                  <c:v>285</c:v>
                </c:pt>
                <c:pt idx="148">
                  <c:v>285</c:v>
                </c:pt>
                <c:pt idx="149">
                  <c:v>285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304.77</c:v>
                </c:pt>
                <c:pt idx="163">
                  <c:v>304.77</c:v>
                </c:pt>
                <c:pt idx="164">
                  <c:v>304.77</c:v>
                </c:pt>
                <c:pt idx="165">
                  <c:v>304.77</c:v>
                </c:pt>
                <c:pt idx="166">
                  <c:v>304.77</c:v>
                </c:pt>
                <c:pt idx="167">
                  <c:v>304.77</c:v>
                </c:pt>
                <c:pt idx="168">
                  <c:v>304.77</c:v>
                </c:pt>
                <c:pt idx="169">
                  <c:v>304.77</c:v>
                </c:pt>
                <c:pt idx="170">
                  <c:v>304.77</c:v>
                </c:pt>
                <c:pt idx="171">
                  <c:v>304.77</c:v>
                </c:pt>
                <c:pt idx="172">
                  <c:v>304.77</c:v>
                </c:pt>
                <c:pt idx="173">
                  <c:v>304.77</c:v>
                </c:pt>
                <c:pt idx="174">
                  <c:v>310</c:v>
                </c:pt>
                <c:pt idx="175">
                  <c:v>310</c:v>
                </c:pt>
                <c:pt idx="176">
                  <c:v>310</c:v>
                </c:pt>
                <c:pt idx="177">
                  <c:v>310</c:v>
                </c:pt>
                <c:pt idx="178">
                  <c:v>310</c:v>
                </c:pt>
                <c:pt idx="179">
                  <c:v>310</c:v>
                </c:pt>
                <c:pt idx="180">
                  <c:v>310</c:v>
                </c:pt>
                <c:pt idx="181">
                  <c:v>310</c:v>
                </c:pt>
                <c:pt idx="182">
                  <c:v>310</c:v>
                </c:pt>
                <c:pt idx="183">
                  <c:v>310</c:v>
                </c:pt>
                <c:pt idx="184">
                  <c:v>310</c:v>
                </c:pt>
              </c:numCache>
            </c:numRef>
          </c:xVal>
          <c:yVal>
            <c:numRef>
              <c:f>Viscosity!$AA$4:$AA$188</c:f>
              <c:numCache>
                <c:formatCode>General</c:formatCode>
                <c:ptCount val="185"/>
                <c:pt idx="0">
                  <c:v>-1.7110253071784194</c:v>
                </c:pt>
                <c:pt idx="1">
                  <c:v>-1.7399521251379235</c:v>
                </c:pt>
                <c:pt idx="2">
                  <c:v>-1.8972933561625343</c:v>
                </c:pt>
                <c:pt idx="3">
                  <c:v>-1.7764772149755443</c:v>
                </c:pt>
                <c:pt idx="4">
                  <c:v>-2.0751963054650413</c:v>
                </c:pt>
                <c:pt idx="5">
                  <c:v>-1.3500914180356638</c:v>
                </c:pt>
                <c:pt idx="6">
                  <c:v>-1.4235284522928788</c:v>
                </c:pt>
                <c:pt idx="7">
                  <c:v>-1.9187895198000162</c:v>
                </c:pt>
                <c:pt idx="8">
                  <c:v>-1.8132390136866339</c:v>
                </c:pt>
                <c:pt idx="9">
                  <c:v>-2.2184168300020812</c:v>
                </c:pt>
                <c:pt idx="10">
                  <c:v>-2.1982992700871953</c:v>
                </c:pt>
                <c:pt idx="11">
                  <c:v>-2.3328377947831274</c:v>
                </c:pt>
                <c:pt idx="12">
                  <c:v>-2.654935434888261</c:v>
                </c:pt>
                <c:pt idx="13">
                  <c:v>-2.235023004072902</c:v>
                </c:pt>
                <c:pt idx="14">
                  <c:v>4.6379667222012609E-2</c:v>
                </c:pt>
                <c:pt idx="15">
                  <c:v>-0.53505884108339896</c:v>
                </c:pt>
                <c:pt idx="16">
                  <c:v>-0.53505884108339896</c:v>
                </c:pt>
                <c:pt idx="17">
                  <c:v>0.12538679050887602</c:v>
                </c:pt>
                <c:pt idx="18">
                  <c:v>0.58453906983169945</c:v>
                </c:pt>
                <c:pt idx="19">
                  <c:v>0.30686763053252747</c:v>
                </c:pt>
                <c:pt idx="20">
                  <c:v>2.31228755878502</c:v>
                </c:pt>
                <c:pt idx="21">
                  <c:v>2.7300552113814045</c:v>
                </c:pt>
                <c:pt idx="22">
                  <c:v>0.11660771229323333</c:v>
                </c:pt>
                <c:pt idx="23">
                  <c:v>0.24356317637381442</c:v>
                </c:pt>
                <c:pt idx="24">
                  <c:v>0.2611343386687856</c:v>
                </c:pt>
                <c:pt idx="25">
                  <c:v>4.9551565834205308E-2</c:v>
                </c:pt>
                <c:pt idx="26">
                  <c:v>-0.10639733230537796</c:v>
                </c:pt>
                <c:pt idx="27">
                  <c:v>0.18671862279210119</c:v>
                </c:pt>
                <c:pt idx="28">
                  <c:v>-3.0375505435505629E-2</c:v>
                </c:pt>
                <c:pt idx="29">
                  <c:v>1.3239368090492307</c:v>
                </c:pt>
                <c:pt idx="30">
                  <c:v>1.4923115263096309</c:v>
                </c:pt>
                <c:pt idx="31">
                  <c:v>0.20236374463267434</c:v>
                </c:pt>
                <c:pt idx="32">
                  <c:v>-0.32299550723367787</c:v>
                </c:pt>
                <c:pt idx="33">
                  <c:v>3.0079129469773314E-2</c:v>
                </c:pt>
                <c:pt idx="34">
                  <c:v>0.24321125984344</c:v>
                </c:pt>
                <c:pt idx="35">
                  <c:v>-0.33550750030255239</c:v>
                </c:pt>
                <c:pt idx="36">
                  <c:v>-0.47718242388126197</c:v>
                </c:pt>
                <c:pt idx="37">
                  <c:v>-0.23535245656828979</c:v>
                </c:pt>
                <c:pt idx="38">
                  <c:v>0.16508836840558389</c:v>
                </c:pt>
                <c:pt idx="39">
                  <c:v>0.20037850748685207</c:v>
                </c:pt>
                <c:pt idx="40">
                  <c:v>0.25266485767951147</c:v>
                </c:pt>
                <c:pt idx="41">
                  <c:v>0.37208985921880067</c:v>
                </c:pt>
                <c:pt idx="42">
                  <c:v>-0.33062325209186838</c:v>
                </c:pt>
                <c:pt idx="43">
                  <c:v>0.1973401425432503</c:v>
                </c:pt>
                <c:pt idx="44">
                  <c:v>1.616404882517045E-2</c:v>
                </c:pt>
                <c:pt idx="45">
                  <c:v>2.7463432332172289E-2</c:v>
                </c:pt>
                <c:pt idx="46">
                  <c:v>-7.0623918356202325E-2</c:v>
                </c:pt>
                <c:pt idx="47">
                  <c:v>-0.11867957860309714</c:v>
                </c:pt>
                <c:pt idx="48">
                  <c:v>-0.23703497146070696</c:v>
                </c:pt>
                <c:pt idx="49">
                  <c:v>0.32016099506301099</c:v>
                </c:pt>
                <c:pt idx="50">
                  <c:v>0.21919808095312437</c:v>
                </c:pt>
                <c:pt idx="51">
                  <c:v>0.8805595318140903</c:v>
                </c:pt>
                <c:pt idx="52">
                  <c:v>0.68831732951116997</c:v>
                </c:pt>
                <c:pt idx="53">
                  <c:v>0.95096851493808154</c:v>
                </c:pt>
                <c:pt idx="54">
                  <c:v>-1.1288305343452814</c:v>
                </c:pt>
                <c:pt idx="55">
                  <c:v>-0.59387833732479722</c:v>
                </c:pt>
                <c:pt idx="56">
                  <c:v>-1.6769217845295203</c:v>
                </c:pt>
                <c:pt idx="57">
                  <c:v>-5.3510280925385461</c:v>
                </c:pt>
                <c:pt idx="58">
                  <c:v>-2.555375764704392</c:v>
                </c:pt>
                <c:pt idx="59">
                  <c:v>-0.44932040118600575</c:v>
                </c:pt>
                <c:pt idx="60">
                  <c:v>-1.2899749101728046</c:v>
                </c:pt>
                <c:pt idx="61">
                  <c:v>-3.5792415964343856E-2</c:v>
                </c:pt>
                <c:pt idx="62">
                  <c:v>0.31591017205515831</c:v>
                </c:pt>
                <c:pt idx="63">
                  <c:v>0.49979325016298742</c:v>
                </c:pt>
                <c:pt idx="64">
                  <c:v>0.31575646402604352</c:v>
                </c:pt>
                <c:pt idx="65">
                  <c:v>0.45192866881315463</c:v>
                </c:pt>
                <c:pt idx="66">
                  <c:v>-0.11881738047149272</c:v>
                </c:pt>
                <c:pt idx="67">
                  <c:v>-0.35923397028692861</c:v>
                </c:pt>
                <c:pt idx="68">
                  <c:v>-0.76339904193244068</c:v>
                </c:pt>
                <c:pt idx="69">
                  <c:v>-2.7078152134555802E-2</c:v>
                </c:pt>
                <c:pt idx="70">
                  <c:v>0.62675186102232627</c:v>
                </c:pt>
                <c:pt idx="71">
                  <c:v>0.64284102708937396</c:v>
                </c:pt>
                <c:pt idx="72">
                  <c:v>0.74851815589219739</c:v>
                </c:pt>
                <c:pt idx="73">
                  <c:v>0.150676721264733</c:v>
                </c:pt>
                <c:pt idx="74">
                  <c:v>0.17598645900947496</c:v>
                </c:pt>
                <c:pt idx="75">
                  <c:v>0.17970906773420586</c:v>
                </c:pt>
                <c:pt idx="76">
                  <c:v>0.15714543753749305</c:v>
                </c:pt>
                <c:pt idx="77">
                  <c:v>0.14471908146896467</c:v>
                </c:pt>
                <c:pt idx="78">
                  <c:v>9.1420147662546816E-2</c:v>
                </c:pt>
                <c:pt idx="79">
                  <c:v>0.23359664589721379</c:v>
                </c:pt>
                <c:pt idx="80">
                  <c:v>0.22815920432909287</c:v>
                </c:pt>
                <c:pt idx="81">
                  <c:v>0.22342622737464554</c:v>
                </c:pt>
                <c:pt idx="82">
                  <c:v>0.18105852433157452</c:v>
                </c:pt>
                <c:pt idx="83">
                  <c:v>0.17150479489604886</c:v>
                </c:pt>
                <c:pt idx="84">
                  <c:v>0.19154126611288189</c:v>
                </c:pt>
                <c:pt idx="85">
                  <c:v>0.16153892811783474</c:v>
                </c:pt>
                <c:pt idx="86">
                  <c:v>0.19923140711320569</c:v>
                </c:pt>
                <c:pt idx="87">
                  <c:v>0.26128125038982558</c:v>
                </c:pt>
                <c:pt idx="88">
                  <c:v>0.18706378847807401</c:v>
                </c:pt>
                <c:pt idx="89">
                  <c:v>0.17195348320213222</c:v>
                </c:pt>
                <c:pt idx="90">
                  <c:v>0.17311931606841546</c:v>
                </c:pt>
                <c:pt idx="91">
                  <c:v>0.10213558598289532</c:v>
                </c:pt>
                <c:pt idx="92">
                  <c:v>0.14609639372075806</c:v>
                </c:pt>
                <c:pt idx="93">
                  <c:v>0.10095597402769525</c:v>
                </c:pt>
                <c:pt idx="94">
                  <c:v>0.11985808278748769</c:v>
                </c:pt>
                <c:pt idx="95">
                  <c:v>7.4570803606169314E-2</c:v>
                </c:pt>
                <c:pt idx="96">
                  <c:v>3.0101292769632922E-2</c:v>
                </c:pt>
                <c:pt idx="97">
                  <c:v>-1.0620539947209784</c:v>
                </c:pt>
                <c:pt idx="98">
                  <c:v>-1.33897070665863</c:v>
                </c:pt>
                <c:pt idx="99">
                  <c:v>-1.2705326607694722</c:v>
                </c:pt>
                <c:pt idx="100">
                  <c:v>-1.2698791208970377</c:v>
                </c:pt>
                <c:pt idx="101">
                  <c:v>-1.6997594211194431</c:v>
                </c:pt>
                <c:pt idx="102">
                  <c:v>-1.4817652660384837</c:v>
                </c:pt>
                <c:pt idx="103">
                  <c:v>-1.4531170992730256</c:v>
                </c:pt>
                <c:pt idx="104">
                  <c:v>-2.4932436496470851</c:v>
                </c:pt>
                <c:pt idx="105">
                  <c:v>-1.6741939733584086</c:v>
                </c:pt>
                <c:pt idx="106">
                  <c:v>-3.0180675275715267</c:v>
                </c:pt>
                <c:pt idx="107">
                  <c:v>-0.59260714331397513</c:v>
                </c:pt>
                <c:pt idx="108">
                  <c:v>-1.0227030793814513</c:v>
                </c:pt>
                <c:pt idx="109">
                  <c:v>-0.62819030068066517</c:v>
                </c:pt>
                <c:pt idx="110">
                  <c:v>-1.1169360730910594</c:v>
                </c:pt>
                <c:pt idx="111">
                  <c:v>-1.2510838043345829</c:v>
                </c:pt>
                <c:pt idx="112">
                  <c:v>-1.4265635072417193</c:v>
                </c:pt>
                <c:pt idx="113">
                  <c:v>-1.37184331008667</c:v>
                </c:pt>
                <c:pt idx="114">
                  <c:v>0.24270609416054917</c:v>
                </c:pt>
                <c:pt idx="115">
                  <c:v>-4.3395931925189479E-2</c:v>
                </c:pt>
                <c:pt idx="116">
                  <c:v>-0.37464817968069447</c:v>
                </c:pt>
                <c:pt idx="117">
                  <c:v>-0.42026249259492471</c:v>
                </c:pt>
                <c:pt idx="118">
                  <c:v>-0.63596720057086287</c:v>
                </c:pt>
                <c:pt idx="119">
                  <c:v>-0.72312410252506809</c:v>
                </c:pt>
                <c:pt idx="120">
                  <c:v>-0.88604091824732578</c:v>
                </c:pt>
                <c:pt idx="121">
                  <c:v>-1.097672209043963</c:v>
                </c:pt>
                <c:pt idx="122">
                  <c:v>-1.2484349556457903</c:v>
                </c:pt>
                <c:pt idx="123">
                  <c:v>-1.6144048932171375</c:v>
                </c:pt>
                <c:pt idx="124">
                  <c:v>-1.8427194165856202</c:v>
                </c:pt>
                <c:pt idx="125">
                  <c:v>-0.56504470759952985</c:v>
                </c:pt>
                <c:pt idx="126">
                  <c:v>-0.45538366289509313</c:v>
                </c:pt>
                <c:pt idx="127">
                  <c:v>-0.25144308372030633</c:v>
                </c:pt>
                <c:pt idx="128">
                  <c:v>-0.14095838285048717</c:v>
                </c:pt>
                <c:pt idx="129">
                  <c:v>-9.8942442090280719E-2</c:v>
                </c:pt>
                <c:pt idx="130">
                  <c:v>-0.1843208633471338</c:v>
                </c:pt>
                <c:pt idx="131">
                  <c:v>-0.28197693162393189</c:v>
                </c:pt>
                <c:pt idx="132">
                  <c:v>-0.61922753842397682</c:v>
                </c:pt>
                <c:pt idx="133">
                  <c:v>-0.64832158423484831</c:v>
                </c:pt>
                <c:pt idx="134">
                  <c:v>-1.3882954856082206</c:v>
                </c:pt>
                <c:pt idx="135">
                  <c:v>-1.5437846652177729</c:v>
                </c:pt>
                <c:pt idx="136">
                  <c:v>-2.6213598453636977</c:v>
                </c:pt>
                <c:pt idx="137">
                  <c:v>-0.95812327070098069</c:v>
                </c:pt>
                <c:pt idx="138">
                  <c:v>0.32376614609035864</c:v>
                </c:pt>
                <c:pt idx="139">
                  <c:v>-0.29560815064860907</c:v>
                </c:pt>
                <c:pt idx="140">
                  <c:v>-0.31184614512603021</c:v>
                </c:pt>
                <c:pt idx="141">
                  <c:v>-2.5470024429101824E-2</c:v>
                </c:pt>
                <c:pt idx="142">
                  <c:v>-4.7837598674680459E-2</c:v>
                </c:pt>
                <c:pt idx="143">
                  <c:v>-0.13300728299063189</c:v>
                </c:pt>
                <c:pt idx="144">
                  <c:v>-0.25788268824415272</c:v>
                </c:pt>
                <c:pt idx="145">
                  <c:v>-0.56462784731085758</c:v>
                </c:pt>
                <c:pt idx="146">
                  <c:v>-0.5901943848211133</c:v>
                </c:pt>
                <c:pt idx="147">
                  <c:v>-0.9611757120203579</c:v>
                </c:pt>
                <c:pt idx="148">
                  <c:v>-1.2239675172741715</c:v>
                </c:pt>
                <c:pt idx="149">
                  <c:v>-1.988004609560547</c:v>
                </c:pt>
                <c:pt idx="150">
                  <c:v>-0.60429826349865934</c:v>
                </c:pt>
                <c:pt idx="151">
                  <c:v>-0.49537280139965012</c:v>
                </c:pt>
                <c:pt idx="152">
                  <c:v>0.13515539091385839</c:v>
                </c:pt>
                <c:pt idx="153">
                  <c:v>-0.12761330769323156</c:v>
                </c:pt>
                <c:pt idx="154">
                  <c:v>-0.10456008778600263</c:v>
                </c:pt>
                <c:pt idx="155">
                  <c:v>-0.23279363526696792</c:v>
                </c:pt>
                <c:pt idx="156">
                  <c:v>-0.32686199486340078</c:v>
                </c:pt>
                <c:pt idx="157">
                  <c:v>-0.56409228716172588</c:v>
                </c:pt>
                <c:pt idx="158">
                  <c:v>-0.81960828864756086</c:v>
                </c:pt>
                <c:pt idx="159">
                  <c:v>-0.96683344915178937</c:v>
                </c:pt>
                <c:pt idx="160">
                  <c:v>-1.2772846986549771</c:v>
                </c:pt>
                <c:pt idx="161">
                  <c:v>-1.5892319178819312</c:v>
                </c:pt>
                <c:pt idx="162">
                  <c:v>-0.4155978821864405</c:v>
                </c:pt>
                <c:pt idx="163">
                  <c:v>-0.23304923783323633</c:v>
                </c:pt>
                <c:pt idx="164">
                  <c:v>3.0607015035906425E-2</c:v>
                </c:pt>
                <c:pt idx="165">
                  <c:v>-0.10005774350530154</c:v>
                </c:pt>
                <c:pt idx="166">
                  <c:v>-0.11172502473567991</c:v>
                </c:pt>
                <c:pt idx="167">
                  <c:v>-0.30412855333173239</c:v>
                </c:pt>
                <c:pt idx="168">
                  <c:v>-0.38638013509272157</c:v>
                </c:pt>
                <c:pt idx="169">
                  <c:v>-0.59862816252975082</c:v>
                </c:pt>
                <c:pt idx="170">
                  <c:v>-0.79362925573358267</c:v>
                </c:pt>
                <c:pt idx="171">
                  <c:v>-1.0402266590874609</c:v>
                </c:pt>
                <c:pt idx="172">
                  <c:v>-1.3361211691087918</c:v>
                </c:pt>
                <c:pt idx="173">
                  <c:v>-2.1340910322896605</c:v>
                </c:pt>
                <c:pt idx="174">
                  <c:v>-0.28115277034716896</c:v>
                </c:pt>
                <c:pt idx="175">
                  <c:v>-8.5978008876112497E-2</c:v>
                </c:pt>
                <c:pt idx="176">
                  <c:v>-7.8814134551757037E-2</c:v>
                </c:pt>
                <c:pt idx="177">
                  <c:v>-0.22841029299328405</c:v>
                </c:pt>
                <c:pt idx="178">
                  <c:v>-0.31137501864200651</c:v>
                </c:pt>
                <c:pt idx="179">
                  <c:v>-0.44033556525188977</c:v>
                </c:pt>
                <c:pt idx="180">
                  <c:v>-0.58895372999973616</c:v>
                </c:pt>
                <c:pt idx="181">
                  <c:v>-0.85783211030022732</c:v>
                </c:pt>
                <c:pt idx="182">
                  <c:v>-1.0764606809428783</c:v>
                </c:pt>
                <c:pt idx="183">
                  <c:v>-1.3838612018273808</c:v>
                </c:pt>
                <c:pt idx="184">
                  <c:v>-1.7336573345612947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49-4E0B-8297-F042D9155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5872"/>
        <c:axId val="68417792"/>
      </c:scatterChart>
      <c:scatterChart>
        <c:scatterStyle val="smoothMarker"/>
        <c:varyColors val="0"/>
        <c:ser>
          <c:idx val="1"/>
          <c:order val="1"/>
          <c:tx>
            <c:strRef>
              <c:f>Viscosity!$AD$190</c:f>
              <c:strCache>
                <c:ptCount val="1"/>
                <c:pt idx="0">
                  <c:v> model 2 [23]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Viscosity!$W$77:$W$188</c:f>
              <c:numCache>
                <c:formatCode>General</c:formatCode>
                <c:ptCount val="112"/>
                <c:pt idx="0">
                  <c:v>298.15300000000002</c:v>
                </c:pt>
                <c:pt idx="1">
                  <c:v>298.15100000000001</c:v>
                </c:pt>
                <c:pt idx="2">
                  <c:v>298.15100000000001</c:v>
                </c:pt>
                <c:pt idx="3">
                  <c:v>298.15199999999999</c:v>
                </c:pt>
                <c:pt idx="4">
                  <c:v>298.15199999999999</c:v>
                </c:pt>
                <c:pt idx="5">
                  <c:v>298.15100000000001</c:v>
                </c:pt>
                <c:pt idx="6">
                  <c:v>323.15899999999999</c:v>
                </c:pt>
                <c:pt idx="7">
                  <c:v>323.16000000000003</c:v>
                </c:pt>
                <c:pt idx="8">
                  <c:v>323.15899999999999</c:v>
                </c:pt>
                <c:pt idx="9">
                  <c:v>323.16000000000003</c:v>
                </c:pt>
                <c:pt idx="10">
                  <c:v>323.15899999999999</c:v>
                </c:pt>
                <c:pt idx="11">
                  <c:v>323.15899999999999</c:v>
                </c:pt>
                <c:pt idx="12">
                  <c:v>323.16000000000003</c:v>
                </c:pt>
                <c:pt idx="13">
                  <c:v>253.14599999999999</c:v>
                </c:pt>
                <c:pt idx="14">
                  <c:v>253.14599999999999</c:v>
                </c:pt>
                <c:pt idx="15">
                  <c:v>253.14599999999999</c:v>
                </c:pt>
                <c:pt idx="16">
                  <c:v>253.14599999999999</c:v>
                </c:pt>
                <c:pt idx="17">
                  <c:v>253.14599999999999</c:v>
                </c:pt>
                <c:pt idx="18">
                  <c:v>273.16800000000001</c:v>
                </c:pt>
                <c:pt idx="19">
                  <c:v>273.17</c:v>
                </c:pt>
                <c:pt idx="20">
                  <c:v>273.16699999999997</c:v>
                </c:pt>
                <c:pt idx="21">
                  <c:v>273.16899999999998</c:v>
                </c:pt>
                <c:pt idx="22">
                  <c:v>273.16899999999998</c:v>
                </c:pt>
                <c:pt idx="23">
                  <c:v>273.16800000000001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235</c:v>
                </c:pt>
                <c:pt idx="35">
                  <c:v>235</c:v>
                </c:pt>
                <c:pt idx="36">
                  <c:v>235</c:v>
                </c:pt>
                <c:pt idx="37">
                  <c:v>235</c:v>
                </c:pt>
                <c:pt idx="38">
                  <c:v>235</c:v>
                </c:pt>
                <c:pt idx="39">
                  <c:v>235</c:v>
                </c:pt>
                <c:pt idx="40">
                  <c:v>235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270</c:v>
                </c:pt>
                <c:pt idx="53">
                  <c:v>270</c:v>
                </c:pt>
                <c:pt idx="54">
                  <c:v>270</c:v>
                </c:pt>
                <c:pt idx="55">
                  <c:v>270</c:v>
                </c:pt>
                <c:pt idx="56">
                  <c:v>270</c:v>
                </c:pt>
                <c:pt idx="57">
                  <c:v>270</c:v>
                </c:pt>
                <c:pt idx="58">
                  <c:v>270</c:v>
                </c:pt>
                <c:pt idx="59">
                  <c:v>270</c:v>
                </c:pt>
                <c:pt idx="60">
                  <c:v>270</c:v>
                </c:pt>
                <c:pt idx="61">
                  <c:v>270</c:v>
                </c:pt>
                <c:pt idx="62">
                  <c:v>270</c:v>
                </c:pt>
                <c:pt idx="63">
                  <c:v>270</c:v>
                </c:pt>
                <c:pt idx="64">
                  <c:v>270</c:v>
                </c:pt>
                <c:pt idx="65">
                  <c:v>285</c:v>
                </c:pt>
                <c:pt idx="66">
                  <c:v>285</c:v>
                </c:pt>
                <c:pt idx="67">
                  <c:v>285</c:v>
                </c:pt>
                <c:pt idx="68">
                  <c:v>285</c:v>
                </c:pt>
                <c:pt idx="69">
                  <c:v>285</c:v>
                </c:pt>
                <c:pt idx="70">
                  <c:v>285</c:v>
                </c:pt>
                <c:pt idx="71">
                  <c:v>285</c:v>
                </c:pt>
                <c:pt idx="72">
                  <c:v>285</c:v>
                </c:pt>
                <c:pt idx="73">
                  <c:v>285</c:v>
                </c:pt>
                <c:pt idx="74">
                  <c:v>285</c:v>
                </c:pt>
                <c:pt idx="75">
                  <c:v>285</c:v>
                </c:pt>
                <c:pt idx="76">
                  <c:v>285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304.77</c:v>
                </c:pt>
                <c:pt idx="90">
                  <c:v>304.77</c:v>
                </c:pt>
                <c:pt idx="91">
                  <c:v>304.77</c:v>
                </c:pt>
                <c:pt idx="92">
                  <c:v>304.77</c:v>
                </c:pt>
                <c:pt idx="93">
                  <c:v>304.77</c:v>
                </c:pt>
                <c:pt idx="94">
                  <c:v>304.77</c:v>
                </c:pt>
                <c:pt idx="95">
                  <c:v>304.77</c:v>
                </c:pt>
                <c:pt idx="96">
                  <c:v>304.77</c:v>
                </c:pt>
                <c:pt idx="97">
                  <c:v>304.77</c:v>
                </c:pt>
                <c:pt idx="98">
                  <c:v>304.77</c:v>
                </c:pt>
                <c:pt idx="99">
                  <c:v>304.77</c:v>
                </c:pt>
                <c:pt idx="100">
                  <c:v>304.77</c:v>
                </c:pt>
                <c:pt idx="101">
                  <c:v>310</c:v>
                </c:pt>
                <c:pt idx="102">
                  <c:v>310</c:v>
                </c:pt>
                <c:pt idx="103">
                  <c:v>310</c:v>
                </c:pt>
                <c:pt idx="104">
                  <c:v>310</c:v>
                </c:pt>
                <c:pt idx="105">
                  <c:v>310</c:v>
                </c:pt>
                <c:pt idx="106">
                  <c:v>310</c:v>
                </c:pt>
                <c:pt idx="107">
                  <c:v>310</c:v>
                </c:pt>
                <c:pt idx="108">
                  <c:v>310</c:v>
                </c:pt>
                <c:pt idx="109">
                  <c:v>310</c:v>
                </c:pt>
                <c:pt idx="110">
                  <c:v>310</c:v>
                </c:pt>
                <c:pt idx="111">
                  <c:v>310</c:v>
                </c:pt>
              </c:numCache>
            </c:numRef>
          </c:xVal>
          <c:yVal>
            <c:numRef>
              <c:f>Viscosity!$AD$77:$AD$188</c:f>
              <c:numCache>
                <c:formatCode>General</c:formatCode>
                <c:ptCount val="112"/>
                <c:pt idx="0">
                  <c:v>1.5870813988536008</c:v>
                </c:pt>
                <c:pt idx="1">
                  <c:v>1.6952741205603328</c:v>
                </c:pt>
                <c:pt idx="2">
                  <c:v>1.770260580898585</c:v>
                </c:pt>
                <c:pt idx="3">
                  <c:v>1.81837833987363</c:v>
                </c:pt>
                <c:pt idx="4">
                  <c:v>1.8730349208787362</c:v>
                </c:pt>
                <c:pt idx="5">
                  <c:v>1.8863665086803054</c:v>
                </c:pt>
                <c:pt idx="6">
                  <c:v>2.0307219903133622</c:v>
                </c:pt>
                <c:pt idx="7">
                  <c:v>2.1070101973061268</c:v>
                </c:pt>
                <c:pt idx="8">
                  <c:v>2.1827796981975833</c:v>
                </c:pt>
                <c:pt idx="9">
                  <c:v>2.2148317497848007</c:v>
                </c:pt>
                <c:pt idx="10">
                  <c:v>2.2844035467288504</c:v>
                </c:pt>
                <c:pt idx="11">
                  <c:v>2.3416558405232881</c:v>
                </c:pt>
                <c:pt idx="12">
                  <c:v>2.348337874100356</c:v>
                </c:pt>
                <c:pt idx="13">
                  <c:v>1.3635044784835666</c:v>
                </c:pt>
                <c:pt idx="14">
                  <c:v>1.451258181400551</c:v>
                </c:pt>
                <c:pt idx="15">
                  <c:v>1.3953973454633364</c:v>
                </c:pt>
                <c:pt idx="16">
                  <c:v>1.3874222473553144</c:v>
                </c:pt>
                <c:pt idx="17">
                  <c:v>1.3953973454633364</c:v>
                </c:pt>
                <c:pt idx="18">
                  <c:v>1.3548027129255011</c:v>
                </c:pt>
                <c:pt idx="19">
                  <c:v>1.459044244508509</c:v>
                </c:pt>
                <c:pt idx="20">
                  <c:v>1.4653308302705206</c:v>
                </c:pt>
                <c:pt idx="21">
                  <c:v>1.5327302563649996</c:v>
                </c:pt>
                <c:pt idx="22">
                  <c:v>1.5105016793549253</c:v>
                </c:pt>
                <c:pt idx="23">
                  <c:v>1.4879113112643836</c:v>
                </c:pt>
                <c:pt idx="24">
                  <c:v>0.11755454112477288</c:v>
                </c:pt>
                <c:pt idx="25">
                  <c:v>-0.18460546744351705</c:v>
                </c:pt>
                <c:pt idx="26">
                  <c:v>-0.13359405435179036</c:v>
                </c:pt>
                <c:pt idx="27">
                  <c:v>-0.15796970487560763</c:v>
                </c:pt>
                <c:pt idx="28">
                  <c:v>-0.6168409854692295</c:v>
                </c:pt>
                <c:pt idx="29">
                  <c:v>-0.42777524829899133</c:v>
                </c:pt>
                <c:pt idx="30">
                  <c:v>-0.42945527444892173</c:v>
                </c:pt>
                <c:pt idx="31">
                  <c:v>-1.5093802502420057</c:v>
                </c:pt>
                <c:pt idx="32">
                  <c:v>-0.70661203236552494</c:v>
                </c:pt>
                <c:pt idx="33">
                  <c:v>-2.0915482000526269</c:v>
                </c:pt>
                <c:pt idx="34">
                  <c:v>0.51083167522523709</c:v>
                </c:pt>
                <c:pt idx="35">
                  <c:v>8.5730574332578025E-2</c:v>
                </c:pt>
                <c:pt idx="36">
                  <c:v>0.48871677660573287</c:v>
                </c:pt>
                <c:pt idx="37">
                  <c:v>-8.1786935694053535E-3</c:v>
                </c:pt>
                <c:pt idx="38">
                  <c:v>-0.15314634158980547</c:v>
                </c:pt>
                <c:pt idx="39">
                  <c:v>-0.34624795302455452</c:v>
                </c:pt>
                <c:pt idx="40">
                  <c:v>-0.3236663174168144</c:v>
                </c:pt>
                <c:pt idx="41">
                  <c:v>0.75460983628761646</c:v>
                </c:pt>
                <c:pt idx="42">
                  <c:v>0.61921488823930659</c:v>
                </c:pt>
                <c:pt idx="43">
                  <c:v>0.38655540301784858</c:v>
                </c:pt>
                <c:pt idx="44">
                  <c:v>0.43020236158069658</c:v>
                </c:pt>
                <c:pt idx="45">
                  <c:v>0.2830231346475135</c:v>
                </c:pt>
                <c:pt idx="46">
                  <c:v>0.26910692788964502</c:v>
                </c:pt>
                <c:pt idx="47">
                  <c:v>0.15732578338990519</c:v>
                </c:pt>
                <c:pt idx="48">
                  <c:v>-1.7050654738684865E-2</c:v>
                </c:pt>
                <c:pt idx="49">
                  <c:v>-0.1381234560088318</c:v>
                </c:pt>
                <c:pt idx="50">
                  <c:v>-0.48098048617423317</c:v>
                </c:pt>
                <c:pt idx="51">
                  <c:v>-0.69569628754476542</c:v>
                </c:pt>
                <c:pt idx="52">
                  <c:v>-1.9157156249617775</c:v>
                </c:pt>
                <c:pt idx="53">
                  <c:v>-1.3802416846859</c:v>
                </c:pt>
                <c:pt idx="54">
                  <c:v>-0.72657425819818822</c:v>
                </c:pt>
                <c:pt idx="55">
                  <c:v>-0.23525523712064514</c:v>
                </c:pt>
                <c:pt idx="56">
                  <c:v>0.11019491707234305</c:v>
                </c:pt>
                <c:pt idx="57">
                  <c:v>0.24960990335553021</c:v>
                </c:pt>
                <c:pt idx="58">
                  <c:v>0.32558278993761353</c:v>
                </c:pt>
                <c:pt idx="59">
                  <c:v>0.1874304167869785</c:v>
                </c:pt>
                <c:pt idx="60">
                  <c:v>0.30605479996097956</c:v>
                </c:pt>
                <c:pt idx="61">
                  <c:v>-0.30266350823525917</c:v>
                </c:pt>
                <c:pt idx="62">
                  <c:v>-0.34952259771672728</c:v>
                </c:pt>
                <c:pt idx="63">
                  <c:v>-1.3502900656215577</c:v>
                </c:pt>
                <c:pt idx="64">
                  <c:v>0.4074392623475343</c:v>
                </c:pt>
                <c:pt idx="65">
                  <c:v>-1.9953834081512607</c:v>
                </c:pt>
                <c:pt idx="66">
                  <c:v>-2.0801923862220524</c:v>
                </c:pt>
                <c:pt idx="67">
                  <c:v>-1.4972613298405857</c:v>
                </c:pt>
                <c:pt idx="68">
                  <c:v>-0.59726002717801763</c:v>
                </c:pt>
                <c:pt idx="69">
                  <c:v>-0.19003504955501818</c:v>
                </c:pt>
                <c:pt idx="70">
                  <c:v>5.6187084507064042E-2</c:v>
                </c:pt>
                <c:pt idx="71">
                  <c:v>0.18638198238299741</c:v>
                </c:pt>
                <c:pt idx="72">
                  <c:v>0.17520363273180162</c:v>
                </c:pt>
                <c:pt idx="73">
                  <c:v>0.35719358725865191</c:v>
                </c:pt>
                <c:pt idx="74">
                  <c:v>0.17537228528502311</c:v>
                </c:pt>
                <c:pt idx="75">
                  <c:v>7.0588030888883727E-2</c:v>
                </c:pt>
                <c:pt idx="76">
                  <c:v>-0.56719155836753266</c:v>
                </c:pt>
                <c:pt idx="77">
                  <c:v>-2.6099289133334902</c:v>
                </c:pt>
                <c:pt idx="78">
                  <c:v>-1.9935421016804447</c:v>
                </c:pt>
                <c:pt idx="79">
                  <c:v>-0.79467339992836694</c:v>
                </c:pt>
                <c:pt idx="80">
                  <c:v>-0.55941718175052901</c:v>
                </c:pt>
                <c:pt idx="81">
                  <c:v>-0.12874616534029171</c:v>
                </c:pt>
                <c:pt idx="82">
                  <c:v>6.3163341329789027E-2</c:v>
                </c:pt>
                <c:pt idx="83">
                  <c:v>0.23502153303256287</c:v>
                </c:pt>
                <c:pt idx="84">
                  <c:v>0.31060190021790746</c:v>
                </c:pt>
                <c:pt idx="85">
                  <c:v>0.29086535024409038</c:v>
                </c:pt>
                <c:pt idx="86">
                  <c:v>0.35847392202433154</c:v>
                </c:pt>
                <c:pt idx="87">
                  <c:v>0.21773533982941648</c:v>
                </c:pt>
                <c:pt idx="88">
                  <c:v>6.0603158978388895E-2</c:v>
                </c:pt>
                <c:pt idx="89">
                  <c:v>-2.2553307887356318</c:v>
                </c:pt>
                <c:pt idx="90">
                  <c:v>-1.5878758923270295</c:v>
                </c:pt>
                <c:pt idx="91">
                  <c:v>-0.75827317245176296</c:v>
                </c:pt>
                <c:pt idx="92">
                  <c:v>-0.39635667788400447</c:v>
                </c:pt>
                <c:pt idx="93">
                  <c:v>-1.0604433628779903E-2</c:v>
                </c:pt>
                <c:pt idx="94">
                  <c:v>0.11405647397395084</c:v>
                </c:pt>
                <c:pt idx="95">
                  <c:v>0.28813538948770373</c:v>
                </c:pt>
                <c:pt idx="96">
                  <c:v>0.36899938055069759</c:v>
                </c:pt>
                <c:pt idx="97">
                  <c:v>0.38716889984861752</c:v>
                </c:pt>
                <c:pt idx="98">
                  <c:v>0.34601453405697946</c:v>
                </c:pt>
                <c:pt idx="99">
                  <c:v>0.22347720057298684</c:v>
                </c:pt>
                <c:pt idx="100">
                  <c:v>-0.43161414692094741</c:v>
                </c:pt>
                <c:pt idx="101">
                  <c:v>-1.8557241819599728</c:v>
                </c:pt>
                <c:pt idx="102">
                  <c:v>-1.0161066737924656</c:v>
                </c:pt>
                <c:pt idx="103">
                  <c:v>-0.46830703829178899</c:v>
                </c:pt>
                <c:pt idx="104">
                  <c:v>-0.18527620035982775</c:v>
                </c:pt>
                <c:pt idx="105">
                  <c:v>7.5929284623537915E-2</c:v>
                </c:pt>
                <c:pt idx="106">
                  <c:v>0.22601829762734785</c:v>
                </c:pt>
                <c:pt idx="107">
                  <c:v>0.3886962503862777</c:v>
                </c:pt>
                <c:pt idx="108">
                  <c:v>0.35448466285509594</c:v>
                </c:pt>
                <c:pt idx="109">
                  <c:v>0.35404253489692733</c:v>
                </c:pt>
                <c:pt idx="110">
                  <c:v>0.2265884173286242</c:v>
                </c:pt>
                <c:pt idx="111">
                  <c:v>3.2356738191395562E-2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B149-4E0B-8297-F042D9155FBF}"/>
            </c:ext>
          </c:extLst>
        </c:ser>
        <c:ser>
          <c:idx val="0"/>
          <c:order val="2"/>
          <c:tx>
            <c:strRef>
              <c:f>Viscosity!$AG$190</c:f>
              <c:strCache>
                <c:ptCount val="1"/>
                <c:pt idx="0">
                  <c:v> model 3 [24]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99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Viscosity!$W$77:$W$188</c:f>
              <c:numCache>
                <c:formatCode>General</c:formatCode>
                <c:ptCount val="112"/>
                <c:pt idx="0">
                  <c:v>298.15300000000002</c:v>
                </c:pt>
                <c:pt idx="1">
                  <c:v>298.15100000000001</c:v>
                </c:pt>
                <c:pt idx="2">
                  <c:v>298.15100000000001</c:v>
                </c:pt>
                <c:pt idx="3">
                  <c:v>298.15199999999999</c:v>
                </c:pt>
                <c:pt idx="4">
                  <c:v>298.15199999999999</c:v>
                </c:pt>
                <c:pt idx="5">
                  <c:v>298.15100000000001</c:v>
                </c:pt>
                <c:pt idx="6">
                  <c:v>323.15899999999999</c:v>
                </c:pt>
                <c:pt idx="7">
                  <c:v>323.16000000000003</c:v>
                </c:pt>
                <c:pt idx="8">
                  <c:v>323.15899999999999</c:v>
                </c:pt>
                <c:pt idx="9">
                  <c:v>323.16000000000003</c:v>
                </c:pt>
                <c:pt idx="10">
                  <c:v>323.15899999999999</c:v>
                </c:pt>
                <c:pt idx="11">
                  <c:v>323.15899999999999</c:v>
                </c:pt>
                <c:pt idx="12">
                  <c:v>323.16000000000003</c:v>
                </c:pt>
                <c:pt idx="13">
                  <c:v>253.14599999999999</c:v>
                </c:pt>
                <c:pt idx="14">
                  <c:v>253.14599999999999</c:v>
                </c:pt>
                <c:pt idx="15">
                  <c:v>253.14599999999999</c:v>
                </c:pt>
                <c:pt idx="16">
                  <c:v>253.14599999999999</c:v>
                </c:pt>
                <c:pt idx="17">
                  <c:v>253.14599999999999</c:v>
                </c:pt>
                <c:pt idx="18">
                  <c:v>273.16800000000001</c:v>
                </c:pt>
                <c:pt idx="19">
                  <c:v>273.17</c:v>
                </c:pt>
                <c:pt idx="20">
                  <c:v>273.16699999999997</c:v>
                </c:pt>
                <c:pt idx="21">
                  <c:v>273.16899999999998</c:v>
                </c:pt>
                <c:pt idx="22">
                  <c:v>273.16899999999998</c:v>
                </c:pt>
                <c:pt idx="23">
                  <c:v>273.16800000000001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235</c:v>
                </c:pt>
                <c:pt idx="35">
                  <c:v>235</c:v>
                </c:pt>
                <c:pt idx="36">
                  <c:v>235</c:v>
                </c:pt>
                <c:pt idx="37">
                  <c:v>235</c:v>
                </c:pt>
                <c:pt idx="38">
                  <c:v>235</c:v>
                </c:pt>
                <c:pt idx="39">
                  <c:v>235</c:v>
                </c:pt>
                <c:pt idx="40">
                  <c:v>235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270</c:v>
                </c:pt>
                <c:pt idx="53">
                  <c:v>270</c:v>
                </c:pt>
                <c:pt idx="54">
                  <c:v>270</c:v>
                </c:pt>
                <c:pt idx="55">
                  <c:v>270</c:v>
                </c:pt>
                <c:pt idx="56">
                  <c:v>270</c:v>
                </c:pt>
                <c:pt idx="57">
                  <c:v>270</c:v>
                </c:pt>
                <c:pt idx="58">
                  <c:v>270</c:v>
                </c:pt>
                <c:pt idx="59">
                  <c:v>270</c:v>
                </c:pt>
                <c:pt idx="60">
                  <c:v>270</c:v>
                </c:pt>
                <c:pt idx="61">
                  <c:v>270</c:v>
                </c:pt>
                <c:pt idx="62">
                  <c:v>270</c:v>
                </c:pt>
                <c:pt idx="63">
                  <c:v>270</c:v>
                </c:pt>
                <c:pt idx="64">
                  <c:v>270</c:v>
                </c:pt>
                <c:pt idx="65">
                  <c:v>285</c:v>
                </c:pt>
                <c:pt idx="66">
                  <c:v>285</c:v>
                </c:pt>
                <c:pt idx="67">
                  <c:v>285</c:v>
                </c:pt>
                <c:pt idx="68">
                  <c:v>285</c:v>
                </c:pt>
                <c:pt idx="69">
                  <c:v>285</c:v>
                </c:pt>
                <c:pt idx="70">
                  <c:v>285</c:v>
                </c:pt>
                <c:pt idx="71">
                  <c:v>285</c:v>
                </c:pt>
                <c:pt idx="72">
                  <c:v>285</c:v>
                </c:pt>
                <c:pt idx="73">
                  <c:v>285</c:v>
                </c:pt>
                <c:pt idx="74">
                  <c:v>285</c:v>
                </c:pt>
                <c:pt idx="75">
                  <c:v>285</c:v>
                </c:pt>
                <c:pt idx="76">
                  <c:v>285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304.77</c:v>
                </c:pt>
                <c:pt idx="90">
                  <c:v>304.77</c:v>
                </c:pt>
                <c:pt idx="91">
                  <c:v>304.77</c:v>
                </c:pt>
                <c:pt idx="92">
                  <c:v>304.77</c:v>
                </c:pt>
                <c:pt idx="93">
                  <c:v>304.77</c:v>
                </c:pt>
                <c:pt idx="94">
                  <c:v>304.77</c:v>
                </c:pt>
                <c:pt idx="95">
                  <c:v>304.77</c:v>
                </c:pt>
                <c:pt idx="96">
                  <c:v>304.77</c:v>
                </c:pt>
                <c:pt idx="97">
                  <c:v>304.77</c:v>
                </c:pt>
                <c:pt idx="98">
                  <c:v>304.77</c:v>
                </c:pt>
                <c:pt idx="99">
                  <c:v>304.77</c:v>
                </c:pt>
                <c:pt idx="100">
                  <c:v>304.77</c:v>
                </c:pt>
                <c:pt idx="101">
                  <c:v>310</c:v>
                </c:pt>
                <c:pt idx="102">
                  <c:v>310</c:v>
                </c:pt>
                <c:pt idx="103">
                  <c:v>310</c:v>
                </c:pt>
                <c:pt idx="104">
                  <c:v>310</c:v>
                </c:pt>
                <c:pt idx="105">
                  <c:v>310</c:v>
                </c:pt>
                <c:pt idx="106">
                  <c:v>310</c:v>
                </c:pt>
                <c:pt idx="107">
                  <c:v>310</c:v>
                </c:pt>
                <c:pt idx="108">
                  <c:v>310</c:v>
                </c:pt>
                <c:pt idx="109">
                  <c:v>310</c:v>
                </c:pt>
                <c:pt idx="110">
                  <c:v>310</c:v>
                </c:pt>
                <c:pt idx="111">
                  <c:v>310</c:v>
                </c:pt>
              </c:numCache>
            </c:numRef>
          </c:xVal>
          <c:yVal>
            <c:numRef>
              <c:f>Viscosity!$AG$77:$AG$188</c:f>
              <c:numCache>
                <c:formatCode>General</c:formatCode>
                <c:ptCount val="112"/>
                <c:pt idx="0">
                  <c:v>-1.0987055957781062</c:v>
                </c:pt>
                <c:pt idx="1">
                  <c:v>-0.99335662311608075</c:v>
                </c:pt>
                <c:pt idx="2">
                  <c:v>-0.92035266299102314</c:v>
                </c:pt>
                <c:pt idx="3">
                  <c:v>-0.87351539638807507</c:v>
                </c:pt>
                <c:pt idx="4">
                  <c:v>-0.82030383651227812</c:v>
                </c:pt>
                <c:pt idx="5">
                  <c:v>-0.80731635638547372</c:v>
                </c:pt>
                <c:pt idx="6">
                  <c:v>-0.94579801285600484</c:v>
                </c:pt>
                <c:pt idx="7">
                  <c:v>-0.87174916056977181</c:v>
                </c:pt>
                <c:pt idx="8">
                  <c:v>-0.79817625132524062</c:v>
                </c:pt>
                <c:pt idx="9">
                  <c:v>-0.76707307731799967</c:v>
                </c:pt>
                <c:pt idx="10">
                  <c:v>-0.69951705316644752</c:v>
                </c:pt>
                <c:pt idx="11">
                  <c:v>-0.64393496805408312</c:v>
                </c:pt>
                <c:pt idx="12">
                  <c:v>-0.6374617161178292</c:v>
                </c:pt>
                <c:pt idx="13">
                  <c:v>-1.1935961884121618</c:v>
                </c:pt>
                <c:pt idx="14">
                  <c:v>-1.1080562512228533</c:v>
                </c:pt>
                <c:pt idx="15">
                  <c:v>-1.1625078839013279</c:v>
                </c:pt>
                <c:pt idx="16">
                  <c:v>-1.1702817939309036</c:v>
                </c:pt>
                <c:pt idx="17">
                  <c:v>-1.1625078839013279</c:v>
                </c:pt>
                <c:pt idx="18">
                  <c:v>-1.1927296451604055</c:v>
                </c:pt>
                <c:pt idx="19">
                  <c:v>-1.09111252008398</c:v>
                </c:pt>
                <c:pt idx="20">
                  <c:v>-1.0849774714228468</c:v>
                </c:pt>
                <c:pt idx="21">
                  <c:v>-1.0192764341888274</c:v>
                </c:pt>
                <c:pt idx="22">
                  <c:v>-1.0409462999625547</c:v>
                </c:pt>
                <c:pt idx="23">
                  <c:v>-1.0629667043762834</c:v>
                </c:pt>
                <c:pt idx="24">
                  <c:v>-2.6512949940024582</c:v>
                </c:pt>
                <c:pt idx="25">
                  <c:v>-2.9450984700616099</c:v>
                </c:pt>
                <c:pt idx="26">
                  <c:v>-2.8954978278189372</c:v>
                </c:pt>
                <c:pt idx="27">
                  <c:v>-2.9191993457300409</c:v>
                </c:pt>
                <c:pt idx="28">
                  <c:v>-3.3653800893066705</c:v>
                </c:pt>
                <c:pt idx="29">
                  <c:v>-3.181543151230374</c:v>
                </c:pt>
                <c:pt idx="30">
                  <c:v>-3.1831767146031669</c:v>
                </c:pt>
                <c:pt idx="31">
                  <c:v>-4.2332353020200877</c:v>
                </c:pt>
                <c:pt idx="32">
                  <c:v>-3.4526684295227446</c:v>
                </c:pt>
                <c:pt idx="33">
                  <c:v>-4.799302824042722</c:v>
                </c:pt>
                <c:pt idx="34">
                  <c:v>-2.123963017277962</c:v>
                </c:pt>
                <c:pt idx="35">
                  <c:v>-2.5379205020474513</c:v>
                </c:pt>
                <c:pt idx="36">
                  <c:v>-2.1454981951197474</c:v>
                </c:pt>
                <c:pt idx="37">
                  <c:v>-2.6293680288960473</c:v>
                </c:pt>
                <c:pt idx="38">
                  <c:v>-2.7705354895811856</c:v>
                </c:pt>
                <c:pt idx="39">
                  <c:v>-2.9585751281674151</c:v>
                </c:pt>
                <c:pt idx="40">
                  <c:v>-2.9365854483982217</c:v>
                </c:pt>
                <c:pt idx="41">
                  <c:v>-1.7981826633420626</c:v>
                </c:pt>
                <c:pt idx="42">
                  <c:v>-1.9301471459414259</c:v>
                </c:pt>
                <c:pt idx="43">
                  <c:v>-2.1569118002483867</c:v>
                </c:pt>
                <c:pt idx="44">
                  <c:v>-2.1143707129566591</c:v>
                </c:pt>
                <c:pt idx="45">
                  <c:v>-2.2578208993305386</c:v>
                </c:pt>
                <c:pt idx="46">
                  <c:v>-2.2713845148938949</c:v>
                </c:pt>
                <c:pt idx="47">
                  <c:v>-2.3803334905455529</c:v>
                </c:pt>
                <c:pt idx="48">
                  <c:v>-2.5502917996764713</c:v>
                </c:pt>
                <c:pt idx="49">
                  <c:v>-2.6682970118854947</c:v>
                </c:pt>
                <c:pt idx="50">
                  <c:v>-3.0024671655251103</c:v>
                </c:pt>
                <c:pt idx="51">
                  <c:v>-3.2117427702814996</c:v>
                </c:pt>
                <c:pt idx="52">
                  <c:v>-4.3756919204189586</c:v>
                </c:pt>
                <c:pt idx="53">
                  <c:v>-3.8536477890906289</c:v>
                </c:pt>
                <c:pt idx="54">
                  <c:v>-3.216374491229312</c:v>
                </c:pt>
                <c:pt idx="55">
                  <c:v>-2.7373778636224357</c:v>
                </c:pt>
                <c:pt idx="56">
                  <c:v>-2.4005916783414034</c:v>
                </c:pt>
                <c:pt idx="57">
                  <c:v>-2.2646732518146884</c:v>
                </c:pt>
                <c:pt idx="58">
                  <c:v>-2.1906057826119558</c:v>
                </c:pt>
                <c:pt idx="59">
                  <c:v>-2.3252932626323903</c:v>
                </c:pt>
                <c:pt idx="60">
                  <c:v>-2.2096440061316436</c:v>
                </c:pt>
                <c:pt idx="61">
                  <c:v>-2.8030955198733509</c:v>
                </c:pt>
                <c:pt idx="62">
                  <c:v>-2.8487793726684774</c:v>
                </c:pt>
                <c:pt idx="63">
                  <c:v>-3.8244473634858536</c:v>
                </c:pt>
                <c:pt idx="64">
                  <c:v>-2.1108022892602114</c:v>
                </c:pt>
                <c:pt idx="65">
                  <c:v>-4.5006299531208906</c:v>
                </c:pt>
                <c:pt idx="66">
                  <c:v>-4.5832709986321483</c:v>
                </c:pt>
                <c:pt idx="67">
                  <c:v>-4.0152411383957265</c:v>
                </c:pt>
                <c:pt idx="68">
                  <c:v>-3.1382461514800344</c:v>
                </c:pt>
                <c:pt idx="69">
                  <c:v>-2.741430877029122</c:v>
                </c:pt>
                <c:pt idx="70">
                  <c:v>-2.5015028051459982</c:v>
                </c:pt>
                <c:pt idx="71">
                  <c:v>-2.3746360190409086</c:v>
                </c:pt>
                <c:pt idx="72">
                  <c:v>-2.3855286217261349</c:v>
                </c:pt>
                <c:pt idx="73">
                  <c:v>-2.2081907919731241</c:v>
                </c:pt>
                <c:pt idx="74">
                  <c:v>-2.3853642803598856</c:v>
                </c:pt>
                <c:pt idx="75">
                  <c:v>-2.4874699834752581</c:v>
                </c:pt>
                <c:pt idx="76">
                  <c:v>-3.1089463089875697</c:v>
                </c:pt>
                <c:pt idx="77">
                  <c:v>-5.1998860729548761</c:v>
                </c:pt>
                <c:pt idx="78">
                  <c:v>-4.5998912345094105</c:v>
                </c:pt>
                <c:pt idx="79">
                  <c:v>-3.432904823661358</c:v>
                </c:pt>
                <c:pt idx="80">
                  <c:v>-3.2039049262749173</c:v>
                </c:pt>
                <c:pt idx="81">
                  <c:v>-2.7846870227944418</c:v>
                </c:pt>
                <c:pt idx="82">
                  <c:v>-2.5978810897767231</c:v>
                </c:pt>
                <c:pt idx="83">
                  <c:v>-2.4305932341366892</c:v>
                </c:pt>
                <c:pt idx="84">
                  <c:v>-2.3570228245469633</c:v>
                </c:pt>
                <c:pt idx="85">
                  <c:v>-2.3762345076802434</c:v>
                </c:pt>
                <c:pt idx="86">
                  <c:v>-2.310423894383657</c:v>
                </c:pt>
                <c:pt idx="87">
                  <c:v>-2.4474197244219758</c:v>
                </c:pt>
                <c:pt idx="88">
                  <c:v>-2.6003731875427341</c:v>
                </c:pt>
                <c:pt idx="89">
                  <c:v>-4.8974243633842729</c:v>
                </c:pt>
                <c:pt idx="90">
                  <c:v>-4.2480111495287858</c:v>
                </c:pt>
                <c:pt idx="91">
                  <c:v>-3.4408330593891421</c:v>
                </c:pt>
                <c:pt idx="92">
                  <c:v>-3.0886993719306908</c:v>
                </c:pt>
                <c:pt idx="93">
                  <c:v>-2.7133742285514244</c:v>
                </c:pt>
                <c:pt idx="94">
                  <c:v>-2.592082975638252</c:v>
                </c:pt>
                <c:pt idx="95">
                  <c:v>-2.4227095114587973</c:v>
                </c:pt>
                <c:pt idx="96">
                  <c:v>-2.3440313197128608</c:v>
                </c:pt>
                <c:pt idx="97">
                  <c:v>-2.3263529327762131</c:v>
                </c:pt>
                <c:pt idx="98">
                  <c:v>-2.366394872833494</c:v>
                </c:pt>
                <c:pt idx="99">
                  <c:v>-2.4856199530348766</c:v>
                </c:pt>
                <c:pt idx="100">
                  <c:v>-3.1230038116806909</c:v>
                </c:pt>
                <c:pt idx="101">
                  <c:v>-4.5613039459613089</c:v>
                </c:pt>
                <c:pt idx="102">
                  <c:v>-3.7448324860035913</c:v>
                </c:pt>
                <c:pt idx="103">
                  <c:v>-3.2121342468521608</c:v>
                </c:pt>
                <c:pt idx="104">
                  <c:v>-2.9369058253251743</c:v>
                </c:pt>
                <c:pt idx="105">
                  <c:v>-2.6829010891223835</c:v>
                </c:pt>
                <c:pt idx="106">
                  <c:v>-2.5369496357775279</c:v>
                </c:pt>
                <c:pt idx="107">
                  <c:v>-2.3787562866632341</c:v>
                </c:pt>
                <c:pt idx="108">
                  <c:v>-2.412024750633238</c:v>
                </c:pt>
                <c:pt idx="109">
                  <c:v>-2.4124546902854993</c:v>
                </c:pt>
                <c:pt idx="110">
                  <c:v>-2.5363952327781578</c:v>
                </c:pt>
                <c:pt idx="111">
                  <c:v>-2.7252724549567762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49-4E0B-8297-F042D9155FBF}"/>
            </c:ext>
          </c:extLst>
        </c:ser>
        <c:ser>
          <c:idx val="3"/>
          <c:order val="3"/>
          <c:tx>
            <c:strRef>
              <c:f>Viscosity!$AJ$190</c:f>
              <c:strCache>
                <c:ptCount val="1"/>
                <c:pt idx="0">
                  <c:v> model 4 [25]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Viscosity!$W$77:$W$188</c:f>
              <c:numCache>
                <c:formatCode>General</c:formatCode>
                <c:ptCount val="112"/>
                <c:pt idx="0">
                  <c:v>298.15300000000002</c:v>
                </c:pt>
                <c:pt idx="1">
                  <c:v>298.15100000000001</c:v>
                </c:pt>
                <c:pt idx="2">
                  <c:v>298.15100000000001</c:v>
                </c:pt>
                <c:pt idx="3">
                  <c:v>298.15199999999999</c:v>
                </c:pt>
                <c:pt idx="4">
                  <c:v>298.15199999999999</c:v>
                </c:pt>
                <c:pt idx="5">
                  <c:v>298.15100000000001</c:v>
                </c:pt>
                <c:pt idx="6">
                  <c:v>323.15899999999999</c:v>
                </c:pt>
                <c:pt idx="7">
                  <c:v>323.16000000000003</c:v>
                </c:pt>
                <c:pt idx="8">
                  <c:v>323.15899999999999</c:v>
                </c:pt>
                <c:pt idx="9">
                  <c:v>323.16000000000003</c:v>
                </c:pt>
                <c:pt idx="10">
                  <c:v>323.15899999999999</c:v>
                </c:pt>
                <c:pt idx="11">
                  <c:v>323.15899999999999</c:v>
                </c:pt>
                <c:pt idx="12">
                  <c:v>323.16000000000003</c:v>
                </c:pt>
                <c:pt idx="13">
                  <c:v>253.14599999999999</c:v>
                </c:pt>
                <c:pt idx="14">
                  <c:v>253.14599999999999</c:v>
                </c:pt>
                <c:pt idx="15">
                  <c:v>253.14599999999999</c:v>
                </c:pt>
                <c:pt idx="16">
                  <c:v>253.14599999999999</c:v>
                </c:pt>
                <c:pt idx="17">
                  <c:v>253.14599999999999</c:v>
                </c:pt>
                <c:pt idx="18">
                  <c:v>273.16800000000001</c:v>
                </c:pt>
                <c:pt idx="19">
                  <c:v>273.17</c:v>
                </c:pt>
                <c:pt idx="20">
                  <c:v>273.16699999999997</c:v>
                </c:pt>
                <c:pt idx="21">
                  <c:v>273.16899999999998</c:v>
                </c:pt>
                <c:pt idx="22">
                  <c:v>273.16899999999998</c:v>
                </c:pt>
                <c:pt idx="23">
                  <c:v>273.16800000000001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235</c:v>
                </c:pt>
                <c:pt idx="35">
                  <c:v>235</c:v>
                </c:pt>
                <c:pt idx="36">
                  <c:v>235</c:v>
                </c:pt>
                <c:pt idx="37">
                  <c:v>235</c:v>
                </c:pt>
                <c:pt idx="38">
                  <c:v>235</c:v>
                </c:pt>
                <c:pt idx="39">
                  <c:v>235</c:v>
                </c:pt>
                <c:pt idx="40">
                  <c:v>235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270</c:v>
                </c:pt>
                <c:pt idx="53">
                  <c:v>270</c:v>
                </c:pt>
                <c:pt idx="54">
                  <c:v>270</c:v>
                </c:pt>
                <c:pt idx="55">
                  <c:v>270</c:v>
                </c:pt>
                <c:pt idx="56">
                  <c:v>270</c:v>
                </c:pt>
                <c:pt idx="57">
                  <c:v>270</c:v>
                </c:pt>
                <c:pt idx="58">
                  <c:v>270</c:v>
                </c:pt>
                <c:pt idx="59">
                  <c:v>270</c:v>
                </c:pt>
                <c:pt idx="60">
                  <c:v>270</c:v>
                </c:pt>
                <c:pt idx="61">
                  <c:v>270</c:v>
                </c:pt>
                <c:pt idx="62">
                  <c:v>270</c:v>
                </c:pt>
                <c:pt idx="63">
                  <c:v>270</c:v>
                </c:pt>
                <c:pt idx="64">
                  <c:v>270</c:v>
                </c:pt>
                <c:pt idx="65">
                  <c:v>285</c:v>
                </c:pt>
                <c:pt idx="66">
                  <c:v>285</c:v>
                </c:pt>
                <c:pt idx="67">
                  <c:v>285</c:v>
                </c:pt>
                <c:pt idx="68">
                  <c:v>285</c:v>
                </c:pt>
                <c:pt idx="69">
                  <c:v>285</c:v>
                </c:pt>
                <c:pt idx="70">
                  <c:v>285</c:v>
                </c:pt>
                <c:pt idx="71">
                  <c:v>285</c:v>
                </c:pt>
                <c:pt idx="72">
                  <c:v>285</c:v>
                </c:pt>
                <c:pt idx="73">
                  <c:v>285</c:v>
                </c:pt>
                <c:pt idx="74">
                  <c:v>285</c:v>
                </c:pt>
                <c:pt idx="75">
                  <c:v>285</c:v>
                </c:pt>
                <c:pt idx="76">
                  <c:v>285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304.77</c:v>
                </c:pt>
                <c:pt idx="90">
                  <c:v>304.77</c:v>
                </c:pt>
                <c:pt idx="91">
                  <c:v>304.77</c:v>
                </c:pt>
                <c:pt idx="92">
                  <c:v>304.77</c:v>
                </c:pt>
                <c:pt idx="93">
                  <c:v>304.77</c:v>
                </c:pt>
                <c:pt idx="94">
                  <c:v>304.77</c:v>
                </c:pt>
                <c:pt idx="95">
                  <c:v>304.77</c:v>
                </c:pt>
                <c:pt idx="96">
                  <c:v>304.77</c:v>
                </c:pt>
                <c:pt idx="97">
                  <c:v>304.77</c:v>
                </c:pt>
                <c:pt idx="98">
                  <c:v>304.77</c:v>
                </c:pt>
                <c:pt idx="99">
                  <c:v>304.77</c:v>
                </c:pt>
                <c:pt idx="100">
                  <c:v>304.77</c:v>
                </c:pt>
                <c:pt idx="101">
                  <c:v>310</c:v>
                </c:pt>
                <c:pt idx="102">
                  <c:v>310</c:v>
                </c:pt>
                <c:pt idx="103">
                  <c:v>310</c:v>
                </c:pt>
                <c:pt idx="104">
                  <c:v>310</c:v>
                </c:pt>
                <c:pt idx="105">
                  <c:v>310</c:v>
                </c:pt>
                <c:pt idx="106">
                  <c:v>310</c:v>
                </c:pt>
                <c:pt idx="107">
                  <c:v>310</c:v>
                </c:pt>
                <c:pt idx="108">
                  <c:v>310</c:v>
                </c:pt>
                <c:pt idx="109">
                  <c:v>310</c:v>
                </c:pt>
                <c:pt idx="110">
                  <c:v>310</c:v>
                </c:pt>
                <c:pt idx="111">
                  <c:v>310</c:v>
                </c:pt>
              </c:numCache>
            </c:numRef>
          </c:xVal>
          <c:yVal>
            <c:numRef>
              <c:f>Viscosity!$AJ$77:$AJ$188</c:f>
              <c:numCache>
                <c:formatCode>General</c:formatCode>
                <c:ptCount val="112"/>
                <c:pt idx="0">
                  <c:v>1.3146127662156322</c:v>
                </c:pt>
                <c:pt idx="1">
                  <c:v>1.4225419001051984</c:v>
                </c:pt>
                <c:pt idx="2">
                  <c:v>1.4973272574520975</c:v>
                </c:pt>
                <c:pt idx="3">
                  <c:v>1.5453026564805583</c:v>
                </c:pt>
                <c:pt idx="4">
                  <c:v>1.5998126491835007</c:v>
                </c:pt>
                <c:pt idx="5">
                  <c:v>1.6131218056956267</c:v>
                </c:pt>
                <c:pt idx="6">
                  <c:v>1.3739591510537754</c:v>
                </c:pt>
                <c:pt idx="7">
                  <c:v>1.4497390867841053</c:v>
                </c:pt>
                <c:pt idx="8">
                  <c:v>1.5250380767632428</c:v>
                </c:pt>
                <c:pt idx="9">
                  <c:v>1.5568665831798627</c:v>
                </c:pt>
                <c:pt idx="10">
                  <c:v>1.6260077814641425</c:v>
                </c:pt>
                <c:pt idx="11">
                  <c:v>1.6828915472476729</c:v>
                </c:pt>
                <c:pt idx="12">
                  <c:v>1.68951331773931</c:v>
                </c:pt>
                <c:pt idx="13">
                  <c:v>1.5104126156977846</c:v>
                </c:pt>
                <c:pt idx="14">
                  <c:v>1.5982935017966795</c:v>
                </c:pt>
                <c:pt idx="15">
                  <c:v>1.5423517056421461</c:v>
                </c:pt>
                <c:pt idx="16">
                  <c:v>1.5343650490662797</c:v>
                </c:pt>
                <c:pt idx="17">
                  <c:v>1.5423517056421461</c:v>
                </c:pt>
                <c:pt idx="18">
                  <c:v>1.3605921145025162</c:v>
                </c:pt>
                <c:pt idx="19">
                  <c:v>1.4648217911330303</c:v>
                </c:pt>
                <c:pt idx="20">
                  <c:v>1.4711354501302147</c:v>
                </c:pt>
                <c:pt idx="21">
                  <c:v>1.5385209101921207</c:v>
                </c:pt>
                <c:pt idx="22">
                  <c:v>1.5162910654332702</c:v>
                </c:pt>
                <c:pt idx="23">
                  <c:v>1.4937083160245583</c:v>
                </c:pt>
                <c:pt idx="24">
                  <c:v>0.33691328070763321</c:v>
                </c:pt>
                <c:pt idx="25">
                  <c:v>3.409123600656238E-2</c:v>
                </c:pt>
                <c:pt idx="26">
                  <c:v>8.5214415704369592E-2</c:v>
                </c:pt>
                <c:pt idx="27">
                  <c:v>6.0785357843548105E-2</c:v>
                </c:pt>
                <c:pt idx="28">
                  <c:v>-0.39909131512310103</c:v>
                </c:pt>
                <c:pt idx="29">
                  <c:v>-0.20961133269893059</c:v>
                </c:pt>
                <c:pt idx="30">
                  <c:v>-0.21129503980591599</c:v>
                </c:pt>
                <c:pt idx="31">
                  <c:v>-1.2935861439230465</c:v>
                </c:pt>
                <c:pt idx="32">
                  <c:v>-0.48905905143903383</c:v>
                </c:pt>
                <c:pt idx="33">
                  <c:v>-1.8770296305591654</c:v>
                </c:pt>
                <c:pt idx="34">
                  <c:v>0.7201955291815143</c:v>
                </c:pt>
                <c:pt idx="35">
                  <c:v>0.29420894357720223</c:v>
                </c:pt>
                <c:pt idx="36">
                  <c:v>0.69803456527404395</c:v>
                </c:pt>
                <c:pt idx="37">
                  <c:v>0.200104062864913</c:v>
                </c:pt>
                <c:pt idx="38">
                  <c:v>5.483444753429699E-2</c:v>
                </c:pt>
                <c:pt idx="39">
                  <c:v>-0.13866939415664753</c:v>
                </c:pt>
                <c:pt idx="40">
                  <c:v>-0.11604072104876265</c:v>
                </c:pt>
                <c:pt idx="41">
                  <c:v>0.91595774465199054</c:v>
                </c:pt>
                <c:pt idx="42">
                  <c:v>0.78034597583780008</c:v>
                </c:pt>
                <c:pt idx="43">
                  <c:v>0.54731391092631487</c:v>
                </c:pt>
                <c:pt idx="44">
                  <c:v>0.5910307655016831</c:v>
                </c:pt>
                <c:pt idx="45">
                  <c:v>0.44361584651968017</c:v>
                </c:pt>
                <c:pt idx="46">
                  <c:v>0.42967735442066057</c:v>
                </c:pt>
                <c:pt idx="47">
                  <c:v>0.31771720417727378</c:v>
                </c:pt>
                <c:pt idx="48">
                  <c:v>0.14306152052725502</c:v>
                </c:pt>
                <c:pt idx="49">
                  <c:v>2.1794833902616668E-2</c:v>
                </c:pt>
                <c:pt idx="50">
                  <c:v>-0.32161124572836342</c:v>
                </c:pt>
                <c:pt idx="51">
                  <c:v>-0.53667089186689398</c:v>
                </c:pt>
                <c:pt idx="52">
                  <c:v>-1.8837304100791494</c:v>
                </c:pt>
                <c:pt idx="53">
                  <c:v>-1.3480818521348767</c:v>
                </c:pt>
                <c:pt idx="54">
                  <c:v>-0.69420126516757141</c:v>
                </c:pt>
                <c:pt idx="55">
                  <c:v>-0.20272202530915817</c:v>
                </c:pt>
                <c:pt idx="56">
                  <c:v>0.14284077993168651</c:v>
                </c:pt>
                <c:pt idx="57">
                  <c:v>0.28230122934204577</c:v>
                </c:pt>
                <c:pt idx="58">
                  <c:v>0.3582988906280285</c:v>
                </c:pt>
                <c:pt idx="59">
                  <c:v>0.22010146608745959</c:v>
                </c:pt>
                <c:pt idx="60">
                  <c:v>0.33876453258784994</c:v>
                </c:pt>
                <c:pt idx="61">
                  <c:v>-0.27015227821270205</c:v>
                </c:pt>
                <c:pt idx="62">
                  <c:v>-0.31702664840968764</c:v>
                </c:pt>
                <c:pt idx="63">
                  <c:v>-1.3181204658690102</c:v>
                </c:pt>
                <c:pt idx="64">
                  <c:v>0.4401820563749731</c:v>
                </c:pt>
                <c:pt idx="65">
                  <c:v>-2.1037619148828508</c:v>
                </c:pt>
                <c:pt idx="66">
                  <c:v>-2.1884771068574325</c:v>
                </c:pt>
                <c:pt idx="67">
                  <c:v>-1.6061906853882288</c:v>
                </c:pt>
                <c:pt idx="68">
                  <c:v>-0.70718465009806719</c:v>
                </c:pt>
                <c:pt idx="69">
                  <c:v>-0.30041000263821088</c:v>
                </c:pt>
                <c:pt idx="70">
                  <c:v>-5.4460153578018353E-2</c:v>
                </c:pt>
                <c:pt idx="71">
                  <c:v>7.5590768135295763E-2</c:v>
                </c:pt>
                <c:pt idx="72">
                  <c:v>6.4424780073635765E-2</c:v>
                </c:pt>
                <c:pt idx="73">
                  <c:v>0.24621348082084105</c:v>
                </c:pt>
                <c:pt idx="74">
                  <c:v>6.4593246122256628E-2</c:v>
                </c:pt>
                <c:pt idx="75">
                  <c:v>-4.0075132497665672E-2</c:v>
                </c:pt>
                <c:pt idx="76">
                  <c:v>-0.67714943253494897</c:v>
                </c:pt>
                <c:pt idx="77">
                  <c:v>-2.8949334938900844</c:v>
                </c:pt>
                <c:pt idx="78">
                  <c:v>-2.2803504910109273</c:v>
                </c:pt>
                <c:pt idx="79">
                  <c:v>-1.084990186651652</c:v>
                </c:pt>
                <c:pt idx="80">
                  <c:v>-0.85042242776988985</c:v>
                </c:pt>
                <c:pt idx="81">
                  <c:v>-0.42101173708916823</c:v>
                </c:pt>
                <c:pt idx="82">
                  <c:v>-0.22966383888536179</c:v>
                </c:pt>
                <c:pt idx="83">
                  <c:v>-5.8308577012035089E-2</c:v>
                </c:pt>
                <c:pt idx="84">
                  <c:v>1.7050610020059535E-2</c:v>
                </c:pt>
                <c:pt idx="85">
                  <c:v>-2.6281824525650516E-3</c:v>
                </c:pt>
                <c:pt idx="86">
                  <c:v>6.4782538022843242E-2</c:v>
                </c:pt>
                <c:pt idx="87">
                  <c:v>-7.5544183495320688E-2</c:v>
                </c:pt>
                <c:pt idx="88">
                  <c:v>-0.23221652905928358</c:v>
                </c:pt>
                <c:pt idx="89">
                  <c:v>-2.6055131909883373</c:v>
                </c:pt>
                <c:pt idx="90">
                  <c:v>-1.9404495345410115</c:v>
                </c:pt>
                <c:pt idx="91">
                  <c:v>-1.1138189693183265</c:v>
                </c:pt>
                <c:pt idx="92">
                  <c:v>-0.75319908548653247</c:v>
                </c:pt>
                <c:pt idx="93">
                  <c:v>-0.36882884649724929</c:v>
                </c:pt>
                <c:pt idx="94">
                  <c:v>-0.24461455205965157</c:v>
                </c:pt>
                <c:pt idx="95">
                  <c:v>-7.1159295854463095E-2</c:v>
                </c:pt>
                <c:pt idx="96">
                  <c:v>9.4149899297193366E-3</c:v>
                </c:pt>
                <c:pt idx="97">
                  <c:v>2.7519414670904234E-2</c:v>
                </c:pt>
                <c:pt idx="98">
                  <c:v>-1.3487510500264276E-2</c:v>
                </c:pt>
                <c:pt idx="99">
                  <c:v>-0.1355858387868244</c:v>
                </c:pt>
                <c:pt idx="100">
                  <c:v>-0.78833024026711407</c:v>
                </c:pt>
                <c:pt idx="101">
                  <c:v>-2.2819687279108027</c:v>
                </c:pt>
                <c:pt idx="102">
                  <c:v>-1.4459977124251993</c:v>
                </c:pt>
                <c:pt idx="103">
                  <c:v>-0.90057719282262072</c:v>
                </c:pt>
                <c:pt idx="104">
                  <c:v>-0.61877556922841725</c:v>
                </c:pt>
                <c:pt idx="105">
                  <c:v>-0.35870451019520094</c:v>
                </c:pt>
                <c:pt idx="106">
                  <c:v>-0.20926733982476706</c:v>
                </c:pt>
                <c:pt idx="107">
                  <c:v>-4.7295903972014164E-2</c:v>
                </c:pt>
                <c:pt idx="108">
                  <c:v>-8.135890919952167E-2</c:v>
                </c:pt>
                <c:pt idx="109">
                  <c:v>-8.1799116978146347E-2</c:v>
                </c:pt>
                <c:pt idx="110">
                  <c:v>-0.20869969617633416</c:v>
                </c:pt>
                <c:pt idx="111">
                  <c:v>-0.40208781930183363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49-4E0B-8297-F042D9155FBF}"/>
            </c:ext>
          </c:extLst>
        </c:ser>
        <c:ser>
          <c:idx val="4"/>
          <c:order val="4"/>
          <c:tx>
            <c:strRef>
              <c:f>Viscosity!$AP$190</c:f>
              <c:strCache>
                <c:ptCount val="1"/>
                <c:pt idx="0">
                  <c:v> model 5 [26]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BB11A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Viscosity!$W$4:$W$76</c:f>
              <c:numCache>
                <c:formatCode>General</c:formatCode>
                <c:ptCount val="73"/>
                <c:pt idx="0">
                  <c:v>220.005</c:v>
                </c:pt>
                <c:pt idx="1">
                  <c:v>220.005</c:v>
                </c:pt>
                <c:pt idx="2">
                  <c:v>220.005</c:v>
                </c:pt>
                <c:pt idx="3">
                  <c:v>220.005</c:v>
                </c:pt>
                <c:pt idx="4">
                  <c:v>220.005</c:v>
                </c:pt>
                <c:pt idx="5">
                  <c:v>220.005</c:v>
                </c:pt>
                <c:pt idx="6">
                  <c:v>220.005</c:v>
                </c:pt>
                <c:pt idx="7">
                  <c:v>220.005</c:v>
                </c:pt>
                <c:pt idx="8">
                  <c:v>220.005</c:v>
                </c:pt>
                <c:pt idx="9">
                  <c:v>220.005</c:v>
                </c:pt>
                <c:pt idx="10">
                  <c:v>220.005</c:v>
                </c:pt>
                <c:pt idx="11">
                  <c:v>220.005</c:v>
                </c:pt>
                <c:pt idx="12">
                  <c:v>220.005</c:v>
                </c:pt>
                <c:pt idx="13">
                  <c:v>220.005</c:v>
                </c:pt>
                <c:pt idx="14">
                  <c:v>230.005</c:v>
                </c:pt>
                <c:pt idx="15">
                  <c:v>230.005</c:v>
                </c:pt>
                <c:pt idx="16">
                  <c:v>230.005</c:v>
                </c:pt>
                <c:pt idx="17">
                  <c:v>230.005</c:v>
                </c:pt>
                <c:pt idx="18">
                  <c:v>230.005</c:v>
                </c:pt>
                <c:pt idx="19">
                  <c:v>230.005</c:v>
                </c:pt>
                <c:pt idx="20">
                  <c:v>230.005</c:v>
                </c:pt>
                <c:pt idx="21">
                  <c:v>230.005</c:v>
                </c:pt>
                <c:pt idx="22">
                  <c:v>240.00399999999999</c:v>
                </c:pt>
                <c:pt idx="23">
                  <c:v>240.00399999999999</c:v>
                </c:pt>
                <c:pt idx="24">
                  <c:v>240.00399999999999</c:v>
                </c:pt>
                <c:pt idx="25">
                  <c:v>240.00399999999999</c:v>
                </c:pt>
                <c:pt idx="26">
                  <c:v>240.00399999999999</c:v>
                </c:pt>
                <c:pt idx="27">
                  <c:v>240.00399999999999</c:v>
                </c:pt>
                <c:pt idx="28">
                  <c:v>240.00399999999999</c:v>
                </c:pt>
                <c:pt idx="29">
                  <c:v>240.00399999999999</c:v>
                </c:pt>
                <c:pt idx="30">
                  <c:v>240.00399999999999</c:v>
                </c:pt>
                <c:pt idx="31">
                  <c:v>260.005</c:v>
                </c:pt>
                <c:pt idx="32">
                  <c:v>260.005</c:v>
                </c:pt>
                <c:pt idx="33">
                  <c:v>260.005</c:v>
                </c:pt>
                <c:pt idx="34">
                  <c:v>260.005</c:v>
                </c:pt>
                <c:pt idx="35">
                  <c:v>260.005</c:v>
                </c:pt>
                <c:pt idx="36">
                  <c:v>260.005</c:v>
                </c:pt>
                <c:pt idx="37">
                  <c:v>260.005</c:v>
                </c:pt>
                <c:pt idx="38">
                  <c:v>260.005</c:v>
                </c:pt>
                <c:pt idx="39">
                  <c:v>260.005</c:v>
                </c:pt>
                <c:pt idx="40">
                  <c:v>260.005</c:v>
                </c:pt>
                <c:pt idx="41">
                  <c:v>260.005</c:v>
                </c:pt>
                <c:pt idx="42">
                  <c:v>280.01499999999999</c:v>
                </c:pt>
                <c:pt idx="43">
                  <c:v>280.01499999999999</c:v>
                </c:pt>
                <c:pt idx="44">
                  <c:v>280.01499999999999</c:v>
                </c:pt>
                <c:pt idx="45">
                  <c:v>280.01499999999999</c:v>
                </c:pt>
                <c:pt idx="46">
                  <c:v>280.01499999999999</c:v>
                </c:pt>
                <c:pt idx="47">
                  <c:v>280.01499999999999</c:v>
                </c:pt>
                <c:pt idx="48">
                  <c:v>280.01499999999999</c:v>
                </c:pt>
                <c:pt idx="49">
                  <c:v>280.01499999999999</c:v>
                </c:pt>
                <c:pt idx="50">
                  <c:v>300.01499999999999</c:v>
                </c:pt>
                <c:pt idx="51">
                  <c:v>300.01499999999999</c:v>
                </c:pt>
                <c:pt idx="52">
                  <c:v>300.01499999999999</c:v>
                </c:pt>
                <c:pt idx="53">
                  <c:v>300.01499999999999</c:v>
                </c:pt>
                <c:pt idx="54">
                  <c:v>300.01499999999999</c:v>
                </c:pt>
                <c:pt idx="55">
                  <c:v>300.01499999999999</c:v>
                </c:pt>
                <c:pt idx="56">
                  <c:v>300.01499999999999</c:v>
                </c:pt>
                <c:pt idx="57">
                  <c:v>303.05</c:v>
                </c:pt>
                <c:pt idx="58">
                  <c:v>303.05</c:v>
                </c:pt>
                <c:pt idx="59">
                  <c:v>303.05</c:v>
                </c:pt>
                <c:pt idx="60">
                  <c:v>303.05</c:v>
                </c:pt>
                <c:pt idx="61">
                  <c:v>303.05</c:v>
                </c:pt>
                <c:pt idx="62">
                  <c:v>303.05</c:v>
                </c:pt>
                <c:pt idx="63">
                  <c:v>303.05</c:v>
                </c:pt>
                <c:pt idx="64">
                  <c:v>303.05</c:v>
                </c:pt>
                <c:pt idx="65">
                  <c:v>303.05</c:v>
                </c:pt>
                <c:pt idx="66">
                  <c:v>303.05</c:v>
                </c:pt>
                <c:pt idx="67">
                  <c:v>308.14999999999998</c:v>
                </c:pt>
                <c:pt idx="68">
                  <c:v>308.14999999999998</c:v>
                </c:pt>
                <c:pt idx="69">
                  <c:v>308.14999999999998</c:v>
                </c:pt>
                <c:pt idx="70">
                  <c:v>308.14999999999998</c:v>
                </c:pt>
                <c:pt idx="71">
                  <c:v>308.14999999999998</c:v>
                </c:pt>
                <c:pt idx="72">
                  <c:v>308.14999999999998</c:v>
                </c:pt>
              </c:numCache>
            </c:numRef>
          </c:xVal>
          <c:yVal>
            <c:numRef>
              <c:f>Viscosity!$AP$4:$AP$76</c:f>
              <c:numCache>
                <c:formatCode>General</c:formatCode>
                <c:ptCount val="73"/>
                <c:pt idx="0">
                  <c:v>3.7621761797008664</c:v>
                </c:pt>
                <c:pt idx="1">
                  <c:v>3.7317002294738071</c:v>
                </c:pt>
                <c:pt idx="2">
                  <c:v>3.5656180143328511</c:v>
                </c:pt>
                <c:pt idx="3">
                  <c:v>3.69316187888252</c:v>
                </c:pt>
                <c:pt idx="4">
                  <c:v>3.3779331424270427</c:v>
                </c:pt>
                <c:pt idx="5">
                  <c:v>4.1456757781230138</c:v>
                </c:pt>
                <c:pt idx="6">
                  <c:v>4.079858633446773</c:v>
                </c:pt>
                <c:pt idx="7">
                  <c:v>3.5890102188902837</c:v>
                </c:pt>
                <c:pt idx="8">
                  <c:v>3.7455344514830946</c:v>
                </c:pt>
                <c:pt idx="9">
                  <c:v>3.372865781986278</c:v>
                </c:pt>
                <c:pt idx="10">
                  <c:v>3.4788233118583083</c:v>
                </c:pt>
                <c:pt idx="11">
                  <c:v>3.3802379886120573</c:v>
                </c:pt>
                <c:pt idx="12">
                  <c:v>3.0392991311926862</c:v>
                </c:pt>
                <c:pt idx="13">
                  <c:v>3.526308557746674</c:v>
                </c:pt>
                <c:pt idx="14">
                  <c:v>3.6029681520153249</c:v>
                </c:pt>
                <c:pt idx="15">
                  <c:v>3.0006915416098248</c:v>
                </c:pt>
                <c:pt idx="16">
                  <c:v>3.0006915416098248</c:v>
                </c:pt>
                <c:pt idx="17">
                  <c:v>3.6841070298463769</c:v>
                </c:pt>
                <c:pt idx="18">
                  <c:v>4.1264801108646854</c:v>
                </c:pt>
                <c:pt idx="19">
                  <c:v>3.8023887156973899</c:v>
                </c:pt>
                <c:pt idx="20">
                  <c:v>5.8576450433838767</c:v>
                </c:pt>
                <c:pt idx="21">
                  <c:v>6.2861991054447541</c:v>
                </c:pt>
                <c:pt idx="22">
                  <c:v>3.2107114094762599</c:v>
                </c:pt>
                <c:pt idx="23">
                  <c:v>3.3412067383534421</c:v>
                </c:pt>
                <c:pt idx="24">
                  <c:v>3.3586816377146622</c:v>
                </c:pt>
                <c:pt idx="25">
                  <c:v>3.1397972065379727</c:v>
                </c:pt>
                <c:pt idx="26">
                  <c:v>2.9298907077927066</c:v>
                </c:pt>
                <c:pt idx="27">
                  <c:v>3.2316760617063478</c:v>
                </c:pt>
                <c:pt idx="28">
                  <c:v>2.9203885172525825</c:v>
                </c:pt>
                <c:pt idx="29">
                  <c:v>4.2442312876359036</c:v>
                </c:pt>
                <c:pt idx="30">
                  <c:v>4.3460887530012462</c:v>
                </c:pt>
                <c:pt idx="31">
                  <c:v>3.9635522060950419</c:v>
                </c:pt>
                <c:pt idx="32">
                  <c:v>3.4175293995965497</c:v>
                </c:pt>
                <c:pt idx="33">
                  <c:v>3.7829065777337023</c:v>
                </c:pt>
                <c:pt idx="34">
                  <c:v>4.0025678774098603</c:v>
                </c:pt>
                <c:pt idx="35">
                  <c:v>3.3982847502645028</c:v>
                </c:pt>
                <c:pt idx="36">
                  <c:v>3.2095621618752106</c:v>
                </c:pt>
                <c:pt idx="37">
                  <c:v>3.3882020128255927</c:v>
                </c:pt>
                <c:pt idx="38">
                  <c:v>3.7455895731065985</c:v>
                </c:pt>
                <c:pt idx="39">
                  <c:v>3.719241738452105</c:v>
                </c:pt>
                <c:pt idx="40">
                  <c:v>3.6832587572085558</c:v>
                </c:pt>
                <c:pt idx="41">
                  <c:v>3.7027104128976132</c:v>
                </c:pt>
                <c:pt idx="42">
                  <c:v>3.350577474026414</c:v>
                </c:pt>
                <c:pt idx="43">
                  <c:v>3.9019735648063176</c:v>
                </c:pt>
                <c:pt idx="44">
                  <c:v>3.7173269973783021</c:v>
                </c:pt>
                <c:pt idx="45">
                  <c:v>3.733845802727815</c:v>
                </c:pt>
                <c:pt idx="46">
                  <c:v>3.6808036637207993</c:v>
                </c:pt>
                <c:pt idx="47">
                  <c:v>3.6683505187557039</c:v>
                </c:pt>
                <c:pt idx="48">
                  <c:v>3.6081445342767515</c:v>
                </c:pt>
                <c:pt idx="49">
                  <c:v>4.2603010608626333</c:v>
                </c:pt>
                <c:pt idx="50">
                  <c:v>-0.34927445334453555</c:v>
                </c:pt>
                <c:pt idx="51">
                  <c:v>0.83601067282768105</c:v>
                </c:pt>
                <c:pt idx="52">
                  <c:v>1.1495244764000641</c:v>
                </c:pt>
                <c:pt idx="53">
                  <c:v>2.0004777101789495</c:v>
                </c:pt>
                <c:pt idx="54">
                  <c:v>0.45158254359428496</c:v>
                </c:pt>
                <c:pt idx="55">
                  <c:v>1.455885023295362</c:v>
                </c:pt>
                <c:pt idx="56">
                  <c:v>0.69495085010794555</c:v>
                </c:pt>
                <c:pt idx="57">
                  <c:v>-8.3489031221591787</c:v>
                </c:pt>
                <c:pt idx="58">
                  <c:v>-4.7852695238636631</c:v>
                </c:pt>
                <c:pt idx="59">
                  <c:v>-2.0684510144594976</c:v>
                </c:pt>
                <c:pt idx="60">
                  <c:v>-2.4088949856285429</c:v>
                </c:pt>
                <c:pt idx="61">
                  <c:v>-0.57062888073946516</c:v>
                </c:pt>
                <c:pt idx="62">
                  <c:v>0.33290702981888431</c:v>
                </c:pt>
                <c:pt idx="63">
                  <c:v>1.0097067827538888</c:v>
                </c:pt>
                <c:pt idx="64">
                  <c:v>1.4376299016087142</c:v>
                </c:pt>
                <c:pt idx="65">
                  <c:v>2.063144370037993</c:v>
                </c:pt>
                <c:pt idx="66">
                  <c:v>1.8717492081481968</c:v>
                </c:pt>
                <c:pt idx="67">
                  <c:v>-3.598187585836595</c:v>
                </c:pt>
                <c:pt idx="68">
                  <c:v>-3.1720511719015234</c:v>
                </c:pt>
                <c:pt idx="69">
                  <c:v>-1.665748081113875</c:v>
                </c:pt>
                <c:pt idx="70">
                  <c:v>-0.24840616490892559</c:v>
                </c:pt>
                <c:pt idx="71">
                  <c:v>0.42973488740985288</c:v>
                </c:pt>
                <c:pt idx="72">
                  <c:v>1.2038538874935345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A-49E0-A7FF-4AC9634D9D12}"/>
            </c:ext>
          </c:extLst>
        </c:ser>
        <c:ser>
          <c:idx val="5"/>
          <c:order val="5"/>
          <c:tx>
            <c:strRef>
              <c:f>Viscosity!$AS$190</c:f>
              <c:strCache>
                <c:ptCount val="1"/>
                <c:pt idx="0">
                  <c:v> model 6 [27]</c:v>
                </c:pt>
              </c:strCache>
            </c:strRef>
          </c:tx>
          <c:spPr>
            <a:ln w="19050">
              <a:noFill/>
            </a:ln>
          </c:spPr>
          <c:marker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Viscosity!$W$4:$W$76</c:f>
              <c:numCache>
                <c:formatCode>General</c:formatCode>
                <c:ptCount val="73"/>
                <c:pt idx="0">
                  <c:v>220.005</c:v>
                </c:pt>
                <c:pt idx="1">
                  <c:v>220.005</c:v>
                </c:pt>
                <c:pt idx="2">
                  <c:v>220.005</c:v>
                </c:pt>
                <c:pt idx="3">
                  <c:v>220.005</c:v>
                </c:pt>
                <c:pt idx="4">
                  <c:v>220.005</c:v>
                </c:pt>
                <c:pt idx="5">
                  <c:v>220.005</c:v>
                </c:pt>
                <c:pt idx="6">
                  <c:v>220.005</c:v>
                </c:pt>
                <c:pt idx="7">
                  <c:v>220.005</c:v>
                </c:pt>
                <c:pt idx="8">
                  <c:v>220.005</c:v>
                </c:pt>
                <c:pt idx="9">
                  <c:v>220.005</c:v>
                </c:pt>
                <c:pt idx="10">
                  <c:v>220.005</c:v>
                </c:pt>
                <c:pt idx="11">
                  <c:v>220.005</c:v>
                </c:pt>
                <c:pt idx="12">
                  <c:v>220.005</c:v>
                </c:pt>
                <c:pt idx="13">
                  <c:v>220.005</c:v>
                </c:pt>
                <c:pt idx="14">
                  <c:v>230.005</c:v>
                </c:pt>
                <c:pt idx="15">
                  <c:v>230.005</c:v>
                </c:pt>
                <c:pt idx="16">
                  <c:v>230.005</c:v>
                </c:pt>
                <c:pt idx="17">
                  <c:v>230.005</c:v>
                </c:pt>
                <c:pt idx="18">
                  <c:v>230.005</c:v>
                </c:pt>
                <c:pt idx="19">
                  <c:v>230.005</c:v>
                </c:pt>
                <c:pt idx="20">
                  <c:v>230.005</c:v>
                </c:pt>
                <c:pt idx="21">
                  <c:v>230.005</c:v>
                </c:pt>
                <c:pt idx="22">
                  <c:v>240.00399999999999</c:v>
                </c:pt>
                <c:pt idx="23">
                  <c:v>240.00399999999999</c:v>
                </c:pt>
                <c:pt idx="24">
                  <c:v>240.00399999999999</c:v>
                </c:pt>
                <c:pt idx="25">
                  <c:v>240.00399999999999</c:v>
                </c:pt>
                <c:pt idx="26">
                  <c:v>240.00399999999999</c:v>
                </c:pt>
                <c:pt idx="27">
                  <c:v>240.00399999999999</c:v>
                </c:pt>
                <c:pt idx="28">
                  <c:v>240.00399999999999</c:v>
                </c:pt>
                <c:pt idx="29">
                  <c:v>240.00399999999999</c:v>
                </c:pt>
                <c:pt idx="30">
                  <c:v>240.00399999999999</c:v>
                </c:pt>
                <c:pt idx="31">
                  <c:v>260.005</c:v>
                </c:pt>
                <c:pt idx="32">
                  <c:v>260.005</c:v>
                </c:pt>
                <c:pt idx="33">
                  <c:v>260.005</c:v>
                </c:pt>
                <c:pt idx="34">
                  <c:v>260.005</c:v>
                </c:pt>
                <c:pt idx="35">
                  <c:v>260.005</c:v>
                </c:pt>
                <c:pt idx="36">
                  <c:v>260.005</c:v>
                </c:pt>
                <c:pt idx="37">
                  <c:v>260.005</c:v>
                </c:pt>
                <c:pt idx="38">
                  <c:v>260.005</c:v>
                </c:pt>
                <c:pt idx="39">
                  <c:v>260.005</c:v>
                </c:pt>
                <c:pt idx="40">
                  <c:v>260.005</c:v>
                </c:pt>
                <c:pt idx="41">
                  <c:v>260.005</c:v>
                </c:pt>
                <c:pt idx="42">
                  <c:v>280.01499999999999</c:v>
                </c:pt>
                <c:pt idx="43">
                  <c:v>280.01499999999999</c:v>
                </c:pt>
                <c:pt idx="44">
                  <c:v>280.01499999999999</c:v>
                </c:pt>
                <c:pt idx="45">
                  <c:v>280.01499999999999</c:v>
                </c:pt>
                <c:pt idx="46">
                  <c:v>280.01499999999999</c:v>
                </c:pt>
                <c:pt idx="47">
                  <c:v>280.01499999999999</c:v>
                </c:pt>
                <c:pt idx="48">
                  <c:v>280.01499999999999</c:v>
                </c:pt>
                <c:pt idx="49">
                  <c:v>280.01499999999999</c:v>
                </c:pt>
                <c:pt idx="50">
                  <c:v>300.01499999999999</c:v>
                </c:pt>
                <c:pt idx="51">
                  <c:v>300.01499999999999</c:v>
                </c:pt>
                <c:pt idx="52">
                  <c:v>300.01499999999999</c:v>
                </c:pt>
                <c:pt idx="53">
                  <c:v>300.01499999999999</c:v>
                </c:pt>
                <c:pt idx="54">
                  <c:v>300.01499999999999</c:v>
                </c:pt>
                <c:pt idx="55">
                  <c:v>300.01499999999999</c:v>
                </c:pt>
                <c:pt idx="56">
                  <c:v>300.01499999999999</c:v>
                </c:pt>
                <c:pt idx="57">
                  <c:v>303.05</c:v>
                </c:pt>
                <c:pt idx="58">
                  <c:v>303.05</c:v>
                </c:pt>
                <c:pt idx="59">
                  <c:v>303.05</c:v>
                </c:pt>
                <c:pt idx="60">
                  <c:v>303.05</c:v>
                </c:pt>
                <c:pt idx="61">
                  <c:v>303.05</c:v>
                </c:pt>
                <c:pt idx="62">
                  <c:v>303.05</c:v>
                </c:pt>
                <c:pt idx="63">
                  <c:v>303.05</c:v>
                </c:pt>
                <c:pt idx="64">
                  <c:v>303.05</c:v>
                </c:pt>
                <c:pt idx="65">
                  <c:v>303.05</c:v>
                </c:pt>
                <c:pt idx="66">
                  <c:v>303.05</c:v>
                </c:pt>
                <c:pt idx="67">
                  <c:v>308.14999999999998</c:v>
                </c:pt>
                <c:pt idx="68">
                  <c:v>308.14999999999998</c:v>
                </c:pt>
                <c:pt idx="69">
                  <c:v>308.14999999999998</c:v>
                </c:pt>
                <c:pt idx="70">
                  <c:v>308.14999999999998</c:v>
                </c:pt>
                <c:pt idx="71">
                  <c:v>308.14999999999998</c:v>
                </c:pt>
                <c:pt idx="72">
                  <c:v>308.14999999999998</c:v>
                </c:pt>
              </c:numCache>
            </c:numRef>
          </c:xVal>
          <c:yVal>
            <c:numRef>
              <c:f>Viscosity!$AS$4:$AS$76</c:f>
              <c:numCache>
                <c:formatCode>General</c:formatCode>
                <c:ptCount val="73"/>
                <c:pt idx="0">
                  <c:v>0.35876614303000154</c:v>
                </c:pt>
                <c:pt idx="1">
                  <c:v>0.329251842771696</c:v>
                </c:pt>
                <c:pt idx="2">
                  <c:v>0.16860456608372956</c:v>
                </c:pt>
                <c:pt idx="3">
                  <c:v>0.29196491653456941</c:v>
                </c:pt>
                <c:pt idx="4">
                  <c:v>-1.2999826095209142E-2</c:v>
                </c:pt>
                <c:pt idx="5">
                  <c:v>0.72834872471722922</c:v>
                </c:pt>
                <c:pt idx="6">
                  <c:v>0.660471121527752</c:v>
                </c:pt>
                <c:pt idx="7">
                  <c:v>0.17879924604883093</c:v>
                </c:pt>
                <c:pt idx="8">
                  <c:v>0.32353217117270988</c:v>
                </c:pt>
                <c:pt idx="9">
                  <c:v>-4.3154524769601188E-2</c:v>
                </c:pt>
                <c:pt idx="10">
                  <c:v>5.1522422036618394E-2</c:v>
                </c:pt>
                <c:pt idx="11">
                  <c:v>-4.7293834165655385E-2</c:v>
                </c:pt>
                <c:pt idx="12">
                  <c:v>-0.37692899557733206</c:v>
                </c:pt>
                <c:pt idx="13">
                  <c:v>9.0772311507725648E-2</c:v>
                </c:pt>
                <c:pt idx="14">
                  <c:v>2.5175569765604524</c:v>
                </c:pt>
                <c:pt idx="15">
                  <c:v>1.9214596508324862</c:v>
                </c:pt>
                <c:pt idx="16">
                  <c:v>1.9214596508324862</c:v>
                </c:pt>
                <c:pt idx="17">
                  <c:v>2.5973200361567241</c:v>
                </c:pt>
                <c:pt idx="18">
                  <c:v>3.0064760149994925</c:v>
                </c:pt>
                <c:pt idx="19">
                  <c:v>2.6422264724644706</c:v>
                </c:pt>
                <c:pt idx="20">
                  <c:v>4.6317289704532429</c:v>
                </c:pt>
                <c:pt idx="21">
                  <c:v>5.00127727765065</c:v>
                </c:pt>
                <c:pt idx="22">
                  <c:v>3.2001897205305805</c:v>
                </c:pt>
                <c:pt idx="23">
                  <c:v>3.330377267106686</c:v>
                </c:pt>
                <c:pt idx="24">
                  <c:v>3.3473593606888241</c:v>
                </c:pt>
                <c:pt idx="25">
                  <c:v>3.1279108319663278</c:v>
                </c:pt>
                <c:pt idx="26">
                  <c:v>2.8787228606444368</c:v>
                </c:pt>
                <c:pt idx="27">
                  <c:v>3.1801582030962692</c:v>
                </c:pt>
                <c:pt idx="28">
                  <c:v>2.7892656722979616</c:v>
                </c:pt>
                <c:pt idx="29">
                  <c:v>4.0329280507012335</c:v>
                </c:pt>
                <c:pt idx="30">
                  <c:v>4.027077538509281</c:v>
                </c:pt>
                <c:pt idx="31">
                  <c:v>4.3331808184769587</c:v>
                </c:pt>
                <c:pt idx="32">
                  <c:v>3.7838424429152493</c:v>
                </c:pt>
                <c:pt idx="33">
                  <c:v>4.1491341278707683</c:v>
                </c:pt>
                <c:pt idx="34">
                  <c:v>4.3674326723349282</c:v>
                </c:pt>
                <c:pt idx="35">
                  <c:v>3.7553967139686764</c:v>
                </c:pt>
                <c:pt idx="36">
                  <c:v>3.5045532552142515</c:v>
                </c:pt>
                <c:pt idx="37">
                  <c:v>3.5743556856906586</c:v>
                </c:pt>
                <c:pt idx="38">
                  <c:v>3.8413527338729181</c:v>
                </c:pt>
                <c:pt idx="39">
                  <c:v>3.710455944053956</c:v>
                </c:pt>
                <c:pt idx="40">
                  <c:v>3.511508122299881</c:v>
                </c:pt>
                <c:pt idx="41">
                  <c:v>3.3103266762772123</c:v>
                </c:pt>
                <c:pt idx="42">
                  <c:v>3.3965694554698391</c:v>
                </c:pt>
                <c:pt idx="43">
                  <c:v>3.9397194332700773</c:v>
                </c:pt>
                <c:pt idx="44">
                  <c:v>3.7479688216568614</c:v>
                </c:pt>
                <c:pt idx="45">
                  <c:v>3.7539120821385179</c:v>
                </c:pt>
                <c:pt idx="46">
                  <c:v>3.5847891835062997</c:v>
                </c:pt>
                <c:pt idx="47">
                  <c:v>3.469605108427984</c:v>
                </c:pt>
                <c:pt idx="48">
                  <c:v>3.1966842724132025</c:v>
                </c:pt>
                <c:pt idx="49">
                  <c:v>3.4610376261794706</c:v>
                </c:pt>
                <c:pt idx="50">
                  <c:v>-0.13198148364704734</c:v>
                </c:pt>
                <c:pt idx="51">
                  <c:v>0.87179754067148607</c:v>
                </c:pt>
                <c:pt idx="52">
                  <c:v>0.98593258438378073</c:v>
                </c:pt>
                <c:pt idx="53">
                  <c:v>1.5686293930385951</c:v>
                </c:pt>
                <c:pt idx="54">
                  <c:v>-0.26969019703521702</c:v>
                </c:pt>
                <c:pt idx="55">
                  <c:v>0.43609751367278909</c:v>
                </c:pt>
                <c:pt idx="56">
                  <c:v>-0.56999866050475956</c:v>
                </c:pt>
                <c:pt idx="57">
                  <c:v>-7.8210011106980613</c:v>
                </c:pt>
                <c:pt idx="58">
                  <c:v>-4.4302392882066819</c:v>
                </c:pt>
                <c:pt idx="59">
                  <c:v>-1.8746897087951653</c:v>
                </c:pt>
                <c:pt idx="60">
                  <c:v>-2.3574054449673079</c:v>
                </c:pt>
                <c:pt idx="61">
                  <c:v>-0.71332915295499699</c:v>
                </c:pt>
                <c:pt idx="62">
                  <c:v>-1.6036600521307794E-2</c:v>
                </c:pt>
                <c:pt idx="63">
                  <c:v>0.45221820496354781</c:v>
                </c:pt>
                <c:pt idx="64">
                  <c:v>0.58228464505501576</c:v>
                </c:pt>
                <c:pt idx="65">
                  <c:v>0.92832525877508865</c:v>
                </c:pt>
                <c:pt idx="66">
                  <c:v>0.48880213004888939</c:v>
                </c:pt>
                <c:pt idx="67">
                  <c:v>-3.5462965650389084</c:v>
                </c:pt>
                <c:pt idx="68">
                  <c:v>-3.3177376478509664</c:v>
                </c:pt>
                <c:pt idx="69">
                  <c:v>-2.0339509555499604</c:v>
                </c:pt>
                <c:pt idx="70">
                  <c:v>-0.87298820552515188</c:v>
                </c:pt>
                <c:pt idx="71">
                  <c:v>-0.44730926321125009</c:v>
                </c:pt>
                <c:pt idx="72">
                  <c:v>3.0121027531540775E-2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AA-49E0-A7FF-4AC9634D9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51919"/>
        <c:axId val="986252751"/>
        <c:extLst/>
      </c:scatterChart>
      <c:valAx>
        <c:axId val="68415872"/>
        <c:scaling>
          <c:orientation val="minMax"/>
          <c:max val="325"/>
          <c:min val="217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it-IT" sz="1050"/>
                  <a:t>T [K]</a:t>
                </a:r>
              </a:p>
            </c:rich>
          </c:tx>
          <c:layout>
            <c:manualLayout>
              <c:xMode val="edge"/>
              <c:yMode val="edge"/>
              <c:x val="0.50538039515893851"/>
              <c:y val="0.937693645852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7792"/>
        <c:crossesAt val="-9"/>
        <c:crossBetween val="midCat"/>
        <c:majorUnit val="6"/>
      </c:valAx>
      <c:valAx>
        <c:axId val="68417792"/>
        <c:scaling>
          <c:orientation val="minMax"/>
          <c:max val="7"/>
          <c:min val="-9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>
                  <a:defRPr sz="1050"/>
                </a:pPr>
                <a:r>
                  <a:rPr lang="it-IT" sz="1050" baseline="0"/>
                  <a:t>E</a:t>
                </a:r>
                <a:r>
                  <a:rPr lang="it-IT" sz="1080" baseline="-25000"/>
                  <a:t>r</a:t>
                </a:r>
                <a:r>
                  <a:rPr lang="it-IT" sz="1080" baseline="0"/>
                  <a:t> </a:t>
                </a:r>
                <a:r>
                  <a:rPr lang="it-IT" sz="1050" baseline="0"/>
                  <a:t>[%]</a:t>
                </a:r>
                <a:endParaRPr lang="it-IT" sz="1050" baseline="-25000"/>
              </a:p>
            </c:rich>
          </c:tx>
          <c:layout>
            <c:manualLayout>
              <c:xMode val="edge"/>
              <c:yMode val="edge"/>
              <c:x val="2.0180380678221671E-2"/>
              <c:y val="0.409377012913679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050"/>
            </a:pPr>
            <a:endParaRPr lang="en-US"/>
          </a:p>
        </c:txPr>
        <c:crossAx val="68415872"/>
        <c:crosses val="autoZero"/>
        <c:crossBetween val="midCat"/>
        <c:majorUnit val="1"/>
      </c:valAx>
      <c:valAx>
        <c:axId val="986252751"/>
        <c:scaling>
          <c:orientation val="minMax"/>
          <c:max val="7"/>
          <c:min val="-9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1919"/>
        <c:crosses val="max"/>
        <c:crossBetween val="midCat"/>
        <c:majorUnit val="1"/>
      </c:valAx>
      <c:valAx>
        <c:axId val="986251919"/>
        <c:scaling>
          <c:orientation val="minMax"/>
          <c:max val="325"/>
          <c:min val="217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6252751"/>
        <c:crossesAt val="0"/>
        <c:crossBetween val="midCat"/>
        <c:majorUnit val="6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67349933028282971"/>
          <c:y val="7.6715496083528692E-2"/>
          <c:w val="0.25775873148599787"/>
          <c:h val="0.1411963786341064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29" Type="http://schemas.openxmlformats.org/officeDocument/2006/relationships/chart" Target="../charts/chart31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Relationship Id="rId30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466725</xdr:colOff>
      <xdr:row>145</xdr:row>
      <xdr:rowOff>161925</xdr:rowOff>
    </xdr:from>
    <xdr:to>
      <xdr:col>26</xdr:col>
      <xdr:colOff>466725</xdr:colOff>
      <xdr:row>167</xdr:row>
      <xdr:rowOff>133350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77</xdr:row>
      <xdr:rowOff>9525</xdr:rowOff>
    </xdr:from>
    <xdr:to>
      <xdr:col>17</xdr:col>
      <xdr:colOff>647701</xdr:colOff>
      <xdr:row>98</xdr:row>
      <xdr:rowOff>123826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104774</xdr:colOff>
      <xdr:row>3</xdr:row>
      <xdr:rowOff>85725</xdr:rowOff>
    </xdr:from>
    <xdr:to>
      <xdr:col>12</xdr:col>
      <xdr:colOff>485775</xdr:colOff>
      <xdr:row>26</xdr:row>
      <xdr:rowOff>114300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142876</xdr:colOff>
      <xdr:row>55</xdr:row>
      <xdr:rowOff>180977</xdr:rowOff>
    </xdr:from>
    <xdr:to>
      <xdr:col>10</xdr:col>
      <xdr:colOff>419100</xdr:colOff>
      <xdr:row>74</xdr:row>
      <xdr:rowOff>76201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247650</xdr:colOff>
      <xdr:row>79</xdr:row>
      <xdr:rowOff>142874</xdr:rowOff>
    </xdr:from>
    <xdr:to>
      <xdr:col>23</xdr:col>
      <xdr:colOff>285750</xdr:colOff>
      <xdr:row>97</xdr:row>
      <xdr:rowOff>95249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438151</xdr:colOff>
      <xdr:row>102</xdr:row>
      <xdr:rowOff>123826</xdr:rowOff>
    </xdr:from>
    <xdr:to>
      <xdr:col>11</xdr:col>
      <xdr:colOff>123825</xdr:colOff>
      <xdr:row>122</xdr:row>
      <xdr:rowOff>85726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447674</xdr:colOff>
      <xdr:row>102</xdr:row>
      <xdr:rowOff>180975</xdr:rowOff>
    </xdr:from>
    <xdr:to>
      <xdr:col>22</xdr:col>
      <xdr:colOff>228599</xdr:colOff>
      <xdr:row>121</xdr:row>
      <xdr:rowOff>9525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238125</xdr:colOff>
      <xdr:row>80</xdr:row>
      <xdr:rowOff>0</xdr:rowOff>
    </xdr:from>
    <xdr:to>
      <xdr:col>11</xdr:col>
      <xdr:colOff>247650</xdr:colOff>
      <xdr:row>98</xdr:row>
      <xdr:rowOff>28575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276226</xdr:colOff>
      <xdr:row>125</xdr:row>
      <xdr:rowOff>104776</xdr:rowOff>
    </xdr:from>
    <xdr:to>
      <xdr:col>10</xdr:col>
      <xdr:colOff>276226</xdr:colOff>
      <xdr:row>143</xdr:row>
      <xdr:rowOff>123825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180975</xdr:colOff>
      <xdr:row>125</xdr:row>
      <xdr:rowOff>95251</xdr:rowOff>
    </xdr:from>
    <xdr:to>
      <xdr:col>22</xdr:col>
      <xdr:colOff>504825</xdr:colOff>
      <xdr:row>143</xdr:row>
      <xdr:rowOff>133350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476250</xdr:colOff>
      <xdr:row>55</xdr:row>
      <xdr:rowOff>76200</xdr:rowOff>
    </xdr:from>
    <xdr:to>
      <xdr:col>23</xdr:col>
      <xdr:colOff>142874</xdr:colOff>
      <xdr:row>73</xdr:row>
      <xdr:rowOff>85725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228600</xdr:colOff>
      <xdr:row>147</xdr:row>
      <xdr:rowOff>133350</xdr:rowOff>
    </xdr:from>
    <xdr:to>
      <xdr:col>12</xdr:col>
      <xdr:colOff>228600</xdr:colOff>
      <xdr:row>167</xdr:row>
      <xdr:rowOff>57150</xdr:rowOff>
    </xdr:to>
    <xdr:graphicFrame macro="">
      <xdr:nvGraphicFramePr>
        <xdr:cNvPr id="20" name="Gra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438151</xdr:colOff>
      <xdr:row>171</xdr:row>
      <xdr:rowOff>123826</xdr:rowOff>
    </xdr:from>
    <xdr:to>
      <xdr:col>11</xdr:col>
      <xdr:colOff>123825</xdr:colOff>
      <xdr:row>191</xdr:row>
      <xdr:rowOff>85726</xdr:rowOff>
    </xdr:to>
    <xdr:graphicFrame macro="">
      <xdr:nvGraphicFramePr>
        <xdr:cNvPr id="21" name="Gra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371475</xdr:colOff>
      <xdr:row>196</xdr:row>
      <xdr:rowOff>104776</xdr:rowOff>
    </xdr:from>
    <xdr:to>
      <xdr:col>11</xdr:col>
      <xdr:colOff>161924</xdr:colOff>
      <xdr:row>214</xdr:row>
      <xdr:rowOff>123825</xdr:rowOff>
    </xdr:to>
    <xdr:graphicFrame macro="">
      <xdr:nvGraphicFramePr>
        <xdr:cNvPr id="23" name="Grafico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142876</xdr:colOff>
      <xdr:row>199</xdr:row>
      <xdr:rowOff>171451</xdr:rowOff>
    </xdr:from>
    <xdr:to>
      <xdr:col>24</xdr:col>
      <xdr:colOff>476250</xdr:colOff>
      <xdr:row>220</xdr:row>
      <xdr:rowOff>57151</xdr:rowOff>
    </xdr:to>
    <xdr:graphicFrame macro="">
      <xdr:nvGraphicFramePr>
        <xdr:cNvPr id="24" name="Grafico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361951</xdr:colOff>
      <xdr:row>219</xdr:row>
      <xdr:rowOff>104776</xdr:rowOff>
    </xdr:from>
    <xdr:to>
      <xdr:col>11</xdr:col>
      <xdr:colOff>161925</xdr:colOff>
      <xdr:row>237</xdr:row>
      <xdr:rowOff>123825</xdr:rowOff>
    </xdr:to>
    <xdr:graphicFrame macro="">
      <xdr:nvGraphicFramePr>
        <xdr:cNvPr id="25" name="Grafico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276226</xdr:colOff>
      <xdr:row>223</xdr:row>
      <xdr:rowOff>180976</xdr:rowOff>
    </xdr:from>
    <xdr:to>
      <xdr:col>23</xdr:col>
      <xdr:colOff>276226</xdr:colOff>
      <xdr:row>241</xdr:row>
      <xdr:rowOff>28576</xdr:rowOff>
    </xdr:to>
    <xdr:graphicFrame macro="">
      <xdr:nvGraphicFramePr>
        <xdr:cNvPr id="26" name="Grafico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352425</xdr:colOff>
      <xdr:row>244</xdr:row>
      <xdr:rowOff>171451</xdr:rowOff>
    </xdr:from>
    <xdr:to>
      <xdr:col>23</xdr:col>
      <xdr:colOff>314325</xdr:colOff>
      <xdr:row>265</xdr:row>
      <xdr:rowOff>1</xdr:rowOff>
    </xdr:to>
    <xdr:graphicFrame macro="">
      <xdr:nvGraphicFramePr>
        <xdr:cNvPr id="29" name="Grafico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114300</xdr:colOff>
      <xdr:row>244</xdr:row>
      <xdr:rowOff>9525</xdr:rowOff>
    </xdr:from>
    <xdr:to>
      <xdr:col>10</xdr:col>
      <xdr:colOff>390525</xdr:colOff>
      <xdr:row>265</xdr:row>
      <xdr:rowOff>0</xdr:rowOff>
    </xdr:to>
    <xdr:graphicFrame macro="">
      <xdr:nvGraphicFramePr>
        <xdr:cNvPr id="28" name="Grafico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190501</xdr:colOff>
      <xdr:row>269</xdr:row>
      <xdr:rowOff>85725</xdr:rowOff>
    </xdr:from>
    <xdr:to>
      <xdr:col>11</xdr:col>
      <xdr:colOff>400051</xdr:colOff>
      <xdr:row>292</xdr:row>
      <xdr:rowOff>76200</xdr:rowOff>
    </xdr:to>
    <xdr:graphicFrame macro="">
      <xdr:nvGraphicFramePr>
        <xdr:cNvPr id="27" name="Grafico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342900</xdr:colOff>
      <xdr:row>270</xdr:row>
      <xdr:rowOff>0</xdr:rowOff>
    </xdr:from>
    <xdr:to>
      <xdr:col>23</xdr:col>
      <xdr:colOff>266700</xdr:colOff>
      <xdr:row>291</xdr:row>
      <xdr:rowOff>1</xdr:rowOff>
    </xdr:to>
    <xdr:graphicFrame macro="">
      <xdr:nvGraphicFramePr>
        <xdr:cNvPr id="30" name="Grafico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114300</xdr:colOff>
      <xdr:row>296</xdr:row>
      <xdr:rowOff>0</xdr:rowOff>
    </xdr:from>
    <xdr:to>
      <xdr:col>11</xdr:col>
      <xdr:colOff>476250</xdr:colOff>
      <xdr:row>317</xdr:row>
      <xdr:rowOff>114301</xdr:rowOff>
    </xdr:to>
    <xdr:graphicFrame macro="">
      <xdr:nvGraphicFramePr>
        <xdr:cNvPr id="31" name="Grafico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</xdr:col>
      <xdr:colOff>314326</xdr:colOff>
      <xdr:row>295</xdr:row>
      <xdr:rowOff>104775</xdr:rowOff>
    </xdr:from>
    <xdr:to>
      <xdr:col>26</xdr:col>
      <xdr:colOff>257176</xdr:colOff>
      <xdr:row>318</xdr:row>
      <xdr:rowOff>114300</xdr:rowOff>
    </xdr:to>
    <xdr:graphicFrame macro="">
      <xdr:nvGraphicFramePr>
        <xdr:cNvPr id="32" name="Grafico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104775</xdr:colOff>
      <xdr:row>320</xdr:row>
      <xdr:rowOff>38100</xdr:rowOff>
    </xdr:from>
    <xdr:to>
      <xdr:col>11</xdr:col>
      <xdr:colOff>533399</xdr:colOff>
      <xdr:row>340</xdr:row>
      <xdr:rowOff>114300</xdr:rowOff>
    </xdr:to>
    <xdr:graphicFrame macro="">
      <xdr:nvGraphicFramePr>
        <xdr:cNvPr id="33" name="Grafico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14</xdr:col>
      <xdr:colOff>123825</xdr:colOff>
      <xdr:row>3</xdr:row>
      <xdr:rowOff>142875</xdr:rowOff>
    </xdr:from>
    <xdr:to>
      <xdr:col>24</xdr:col>
      <xdr:colOff>438150</xdr:colOff>
      <xdr:row>24</xdr:row>
      <xdr:rowOff>19050</xdr:rowOff>
    </xdr:to>
    <xdr:graphicFrame macro="">
      <xdr:nvGraphicFramePr>
        <xdr:cNvPr id="36" name="Grafico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66675</xdr:colOff>
      <xdr:row>30</xdr:row>
      <xdr:rowOff>161926</xdr:rowOff>
    </xdr:from>
    <xdr:to>
      <xdr:col>10</xdr:col>
      <xdr:colOff>447675</xdr:colOff>
      <xdr:row>52</xdr:row>
      <xdr:rowOff>47625</xdr:rowOff>
    </xdr:to>
    <xdr:graphicFrame macro="">
      <xdr:nvGraphicFramePr>
        <xdr:cNvPr id="35" name="Grafico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14</xdr:col>
      <xdr:colOff>133349</xdr:colOff>
      <xdr:row>30</xdr:row>
      <xdr:rowOff>114300</xdr:rowOff>
    </xdr:from>
    <xdr:to>
      <xdr:col>24</xdr:col>
      <xdr:colOff>495300</xdr:colOff>
      <xdr:row>52</xdr:row>
      <xdr:rowOff>152399</xdr:rowOff>
    </xdr:to>
    <xdr:graphicFrame macro="">
      <xdr:nvGraphicFramePr>
        <xdr:cNvPr id="37" name="Grafico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142875</xdr:colOff>
      <xdr:row>174</xdr:row>
      <xdr:rowOff>114300</xdr:rowOff>
    </xdr:from>
    <xdr:to>
      <xdr:col>24</xdr:col>
      <xdr:colOff>504826</xdr:colOff>
      <xdr:row>196</xdr:row>
      <xdr:rowOff>152399</xdr:rowOff>
    </xdr:to>
    <xdr:graphicFrame macro="">
      <xdr:nvGraphicFramePr>
        <xdr:cNvPr id="38" name="Grafico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133350</xdr:colOff>
      <xdr:row>147</xdr:row>
      <xdr:rowOff>114301</xdr:rowOff>
    </xdr:from>
    <xdr:to>
      <xdr:col>25</xdr:col>
      <xdr:colOff>514351</xdr:colOff>
      <xdr:row>170</xdr:row>
      <xdr:rowOff>1</xdr:rowOff>
    </xdr:to>
    <xdr:graphicFrame macro="">
      <xdr:nvGraphicFramePr>
        <xdr:cNvPr id="39" name="Grafico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</xdr:col>
      <xdr:colOff>400050</xdr:colOff>
      <xdr:row>321</xdr:row>
      <xdr:rowOff>57150</xdr:rowOff>
    </xdr:from>
    <xdr:to>
      <xdr:col>23</xdr:col>
      <xdr:colOff>295275</xdr:colOff>
      <xdr:row>342</xdr:row>
      <xdr:rowOff>123825</xdr:rowOff>
    </xdr:to>
    <xdr:graphicFrame macro="">
      <xdr:nvGraphicFramePr>
        <xdr:cNvPr id="40" name="Grafico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66675</xdr:colOff>
      <xdr:row>344</xdr:row>
      <xdr:rowOff>47625</xdr:rowOff>
    </xdr:from>
    <xdr:to>
      <xdr:col>11</xdr:col>
      <xdr:colOff>504824</xdr:colOff>
      <xdr:row>366</xdr:row>
      <xdr:rowOff>142875</xdr:rowOff>
    </xdr:to>
    <xdr:graphicFrame macro="">
      <xdr:nvGraphicFramePr>
        <xdr:cNvPr id="41" name="Grafico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13</xdr:col>
      <xdr:colOff>123825</xdr:colOff>
      <xdr:row>345</xdr:row>
      <xdr:rowOff>28575</xdr:rowOff>
    </xdr:from>
    <xdr:to>
      <xdr:col>23</xdr:col>
      <xdr:colOff>485775</xdr:colOff>
      <xdr:row>366</xdr:row>
      <xdr:rowOff>142876</xdr:rowOff>
    </xdr:to>
    <xdr:graphicFrame macro="">
      <xdr:nvGraphicFramePr>
        <xdr:cNvPr id="34" name="Grafico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313698</xdr:colOff>
      <xdr:row>43</xdr:row>
      <xdr:rowOff>150209</xdr:rowOff>
    </xdr:from>
    <xdr:to>
      <xdr:col>9</xdr:col>
      <xdr:colOff>113835</xdr:colOff>
      <xdr:row>45</xdr:row>
      <xdr:rowOff>21329</xdr:rowOff>
    </xdr:to>
    <xdr:sp macro="" textlink="">
      <xdr:nvSpPr>
        <xdr:cNvPr id="156" name="Rettangolo 155"/>
        <xdr:cNvSpPr/>
      </xdr:nvSpPr>
      <xdr:spPr>
        <a:xfrm>
          <a:off x="5190498" y="8389334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8</xdr:col>
      <xdr:colOff>593354</xdr:colOff>
      <xdr:row>36</xdr:row>
      <xdr:rowOff>142875</xdr:rowOff>
    </xdr:from>
    <xdr:to>
      <xdr:col>11</xdr:col>
      <xdr:colOff>156816</xdr:colOff>
      <xdr:row>39</xdr:row>
      <xdr:rowOff>84100</xdr:rowOff>
    </xdr:to>
    <xdr:sp macro="" textlink="">
      <xdr:nvSpPr>
        <xdr:cNvPr id="157" name="Elaborazione alternativa 156"/>
        <xdr:cNvSpPr/>
      </xdr:nvSpPr>
      <xdr:spPr>
        <a:xfrm>
          <a:off x="5470154" y="7048500"/>
          <a:ext cx="1420837" cy="512725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Input (T,P)</a:t>
          </a:r>
        </a:p>
      </xdr:txBody>
    </xdr:sp>
    <xdr:clientData/>
  </xdr:twoCellAnchor>
  <xdr:twoCellAnchor>
    <xdr:from>
      <xdr:col>8</xdr:col>
      <xdr:colOff>511065</xdr:colOff>
      <xdr:row>47</xdr:row>
      <xdr:rowOff>7660</xdr:rowOff>
    </xdr:from>
    <xdr:to>
      <xdr:col>11</xdr:col>
      <xdr:colOff>228191</xdr:colOff>
      <xdr:row>51</xdr:row>
      <xdr:rowOff>141210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Rombo 157"/>
            <xdr:cNvSpPr/>
          </xdr:nvSpPr>
          <xdr:spPr>
            <a:xfrm>
              <a:off x="5387865" y="9008785"/>
              <a:ext cx="1574501" cy="895550"/>
            </a:xfrm>
            <a:prstGeom prst="diamond">
              <a:avLst/>
            </a:prstGeom>
            <a:noFill/>
            <a:ln>
              <a:solidFill>
                <a:srgbClr val="17375E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it-IT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𝑇</m:t>
                    </m:r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≠</m:t>
                    </m:r>
                    <m:r>
                      <a:rPr lang="it-IT" sz="1500" b="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𝑇</m:t>
                    </m:r>
                    <m:r>
                      <m:rPr>
                        <m:sty m:val="p"/>
                      </m:rPr>
                      <a:rPr lang="it-IT" sz="1500" b="0" i="0" baseline="-25000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t</m:t>
                    </m:r>
                  </m:oMath>
                </m:oMathPara>
              </a14:m>
              <a:endParaRPr lang="en-GB" sz="1500" baseline="-25000">
                <a:solidFill>
                  <a:srgbClr val="17375E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𝑃</m:t>
                    </m:r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≠</m:t>
                    </m:r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𝑃</m:t>
                    </m:r>
                    <m:r>
                      <m:rPr>
                        <m:sty m:val="p"/>
                      </m:rPr>
                      <a:rPr lang="it-IT" sz="1500" i="0" baseline="-25000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t</m:t>
                    </m:r>
                  </m:oMath>
                </m:oMathPara>
              </a14:m>
              <a:endParaRPr lang="en-GB" sz="1500" baseline="-25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158" name="Rombo 157"/>
            <xdr:cNvSpPr/>
          </xdr:nvSpPr>
          <xdr:spPr>
            <a:xfrm>
              <a:off x="5387865" y="9008785"/>
              <a:ext cx="1574501" cy="895550"/>
            </a:xfrm>
            <a:prstGeom prst="diamond">
              <a:avLst/>
            </a:prstGeom>
            <a:noFill/>
            <a:ln>
              <a:solidFill>
                <a:srgbClr val="17375E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it-IT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50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𝑇≠</a:t>
              </a:r>
              <a:r>
                <a:rPr lang="it-IT" sz="1500" b="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𝑇</a:t>
              </a:r>
              <a:r>
                <a:rPr lang="it-IT" sz="1500" b="0" i="0" baseline="-2500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t</a:t>
              </a:r>
              <a:endParaRPr lang="en-GB" sz="1500" baseline="-25000">
                <a:solidFill>
                  <a:srgbClr val="17375E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it-IT" sz="150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𝑃≠𝑃</a:t>
              </a:r>
              <a:r>
                <a:rPr lang="it-IT" sz="1500" i="0" baseline="-2500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t</a:t>
              </a:r>
              <a:endParaRPr lang="en-GB" sz="1500" baseline="-25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  <xdr:twoCellAnchor>
    <xdr:from>
      <xdr:col>8</xdr:col>
      <xdr:colOff>484324</xdr:colOff>
      <xdr:row>52</xdr:row>
      <xdr:rowOff>128350</xdr:rowOff>
    </xdr:from>
    <xdr:to>
      <xdr:col>11</xdr:col>
      <xdr:colOff>251880</xdr:colOff>
      <xdr:row>56</xdr:row>
      <xdr:rowOff>52481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Rombo 158"/>
            <xdr:cNvSpPr/>
          </xdr:nvSpPr>
          <xdr:spPr>
            <a:xfrm>
              <a:off x="5361124" y="10081975"/>
              <a:ext cx="1624931" cy="686131"/>
            </a:xfrm>
            <a:prstGeom prst="diamond">
              <a:avLst/>
            </a:prstGeom>
            <a:noFill/>
            <a:ln>
              <a:solidFill>
                <a:srgbClr val="17375E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it-IT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𝑇</m:t>
                    </m:r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≤</m:t>
                    </m:r>
                    <m:r>
                      <a:rPr lang="it-IT" sz="1500" b="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𝑇</m:t>
                    </m:r>
                    <m:r>
                      <m:rPr>
                        <m:sty m:val="p"/>
                      </m:rPr>
                      <a:rPr lang="it-IT" sz="1500" b="0" i="0" baseline="-25000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t</m:t>
                    </m:r>
                  </m:oMath>
                </m:oMathPara>
              </a14:m>
              <a:endParaRPr lang="en-GB" sz="1500" baseline="-25000">
                <a:solidFill>
                  <a:srgbClr val="17375E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159" name="Rombo 158"/>
            <xdr:cNvSpPr/>
          </xdr:nvSpPr>
          <xdr:spPr>
            <a:xfrm>
              <a:off x="5361124" y="10081975"/>
              <a:ext cx="1624931" cy="686131"/>
            </a:xfrm>
            <a:prstGeom prst="diamond">
              <a:avLst/>
            </a:prstGeom>
            <a:noFill/>
            <a:ln>
              <a:solidFill>
                <a:srgbClr val="17375E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it-IT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50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𝑇≤</a:t>
              </a:r>
              <a:r>
                <a:rPr lang="it-IT" sz="1500" b="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𝑇</a:t>
              </a:r>
              <a:r>
                <a:rPr lang="it-IT" sz="1500" b="0" i="0" baseline="-2500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t</a:t>
              </a:r>
              <a:endParaRPr lang="en-GB" sz="1500" baseline="-25000">
                <a:solidFill>
                  <a:srgbClr val="17375E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  <xdr:twoCellAnchor>
    <xdr:from>
      <xdr:col>5</xdr:col>
      <xdr:colOff>563881</xdr:colOff>
      <xdr:row>52</xdr:row>
      <xdr:rowOff>134960</xdr:rowOff>
    </xdr:from>
    <xdr:to>
      <xdr:col>8</xdr:col>
      <xdr:colOff>264114</xdr:colOff>
      <xdr:row>56</xdr:row>
      <xdr:rowOff>59090</xdr:rowOff>
    </xdr:to>
    <xdr:sp macro="" textlink="">
      <xdr:nvSpPr>
        <xdr:cNvPr id="160" name="Rombo 159"/>
        <xdr:cNvSpPr/>
      </xdr:nvSpPr>
      <xdr:spPr>
        <a:xfrm>
          <a:off x="3611881" y="10088585"/>
          <a:ext cx="1529033" cy="686130"/>
        </a:xfrm>
        <a:prstGeom prst="diamond">
          <a:avLst/>
        </a:prstGeom>
        <a:noFill/>
        <a:ln>
          <a:solidFill>
            <a:srgbClr val="17375E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t-IT" sz="1500">
              <a:solidFill>
                <a:srgbClr val="17375E"/>
              </a:solidFill>
              <a:cs typeface="Arial" panose="020B0604020202020204" pitchFamily="34" charset="0"/>
            </a:rPr>
            <a:t>P&lt;P</a:t>
          </a:r>
          <a:r>
            <a:rPr lang="it-IT" sz="1500" baseline="-25000">
              <a:solidFill>
                <a:srgbClr val="17375E"/>
              </a:solidFill>
              <a:cs typeface="Arial" panose="020B0604020202020204" pitchFamily="34" charset="0"/>
            </a:rPr>
            <a:t>SVE</a:t>
          </a:r>
          <a:endParaRPr lang="en-GB" sz="1500" baseline="-25000">
            <a:solidFill>
              <a:srgbClr val="17375E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505669</xdr:colOff>
      <xdr:row>41</xdr:row>
      <xdr:rowOff>17358</xdr:rowOff>
    </xdr:from>
    <xdr:to>
      <xdr:col>11</xdr:col>
      <xdr:colOff>243782</xdr:colOff>
      <xdr:row>45</xdr:row>
      <xdr:rowOff>188378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Rombo 160"/>
            <xdr:cNvSpPr/>
          </xdr:nvSpPr>
          <xdr:spPr>
            <a:xfrm>
              <a:off x="5382469" y="7875483"/>
              <a:ext cx="1595488" cy="933020"/>
            </a:xfrm>
            <a:prstGeom prst="diamond">
              <a:avLst/>
            </a:prstGeom>
            <a:noFill/>
            <a:ln>
              <a:solidFill>
                <a:srgbClr val="17375E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it-IT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it-IT" sz="1500" b="0" i="1">
                      <a:solidFill>
                        <a:srgbClr val="17375E"/>
                      </a:solidFill>
                      <a:latin typeface="Cambria Math" panose="02040503050406030204" pitchFamily="18" charset="0"/>
                      <a:cs typeface="Arial" panose="020B0604020202020204" pitchFamily="34" charset="0"/>
                    </a:rPr>
                    <m:t>𝑇</m:t>
                  </m:r>
                  <m:r>
                    <a:rPr lang="it-IT" sz="1500" b="0" i="1">
                      <a:solidFill>
                        <a:srgbClr val="17375E"/>
                      </a:solidFill>
                      <a:latin typeface="Cambria Math" panose="02040503050406030204" pitchFamily="18" charset="0"/>
                      <a:cs typeface="Arial" panose="020B0604020202020204" pitchFamily="34" charset="0"/>
                    </a:rPr>
                    <m:t>,</m:t>
                  </m:r>
                  <m:r>
                    <a:rPr lang="it-IT" sz="1500" i="1">
                      <a:solidFill>
                        <a:srgbClr val="17375E"/>
                      </a:solidFill>
                      <a:latin typeface="Cambria Math" panose="02040503050406030204" pitchFamily="18" charset="0"/>
                      <a:cs typeface="Arial" panose="020B0604020202020204" pitchFamily="34" charset="0"/>
                    </a:rPr>
                    <m:t>𝑃</m:t>
                  </m:r>
                  <m:r>
                    <a:rPr lang="it-IT" sz="1500" i="1">
                      <a:solidFill>
                        <a:srgbClr val="17375E"/>
                      </a:solidFill>
                      <a:latin typeface="Cambria Math" panose="02040503050406030204" pitchFamily="18" charset="0"/>
                      <a:cs typeface="Arial" panose="020B0604020202020204" pitchFamily="34" charset="0"/>
                    </a:rPr>
                    <m:t>∈</m:t>
                  </m:r>
                </m:oMath>
              </a14:m>
              <a:r>
                <a:rPr lang="en-GB" sz="1500">
                  <a:solidFill>
                    <a:srgbClr val="17375E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range?</a:t>
              </a:r>
              <a:endParaRPr lang="en-GB" sz="1500"/>
            </a:p>
          </xdr:txBody>
        </xdr:sp>
      </mc:Choice>
      <mc:Fallback xmlns="">
        <xdr:sp macro="" textlink="">
          <xdr:nvSpPr>
            <xdr:cNvPr id="161" name="Rombo 160"/>
            <xdr:cNvSpPr/>
          </xdr:nvSpPr>
          <xdr:spPr>
            <a:xfrm>
              <a:off x="5382469" y="7875483"/>
              <a:ext cx="1595488" cy="933020"/>
            </a:xfrm>
            <a:prstGeom prst="diamond">
              <a:avLst/>
            </a:prstGeom>
            <a:noFill/>
            <a:ln>
              <a:solidFill>
                <a:srgbClr val="17375E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it-IT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500" b="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𝑇,</a:t>
              </a:r>
              <a:r>
                <a:rPr lang="it-IT" sz="150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𝑃∈</a:t>
              </a:r>
              <a:r>
                <a:rPr lang="en-GB" sz="1500">
                  <a:solidFill>
                    <a:srgbClr val="17375E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range?</a:t>
              </a:r>
              <a:endParaRPr lang="en-GB" sz="1500"/>
            </a:p>
          </xdr:txBody>
        </xdr:sp>
      </mc:Fallback>
    </mc:AlternateContent>
    <xdr:clientData/>
  </xdr:twoCellAnchor>
  <xdr:twoCellAnchor>
    <xdr:from>
      <xdr:col>10</xdr:col>
      <xdr:colOff>84213</xdr:colOff>
      <xdr:row>39</xdr:row>
      <xdr:rowOff>84100</xdr:rowOff>
    </xdr:from>
    <xdr:to>
      <xdr:col>10</xdr:col>
      <xdr:colOff>84573</xdr:colOff>
      <xdr:row>41</xdr:row>
      <xdr:rowOff>17358</xdr:rowOff>
    </xdr:to>
    <xdr:cxnSp macro="">
      <xdr:nvCxnSpPr>
        <xdr:cNvPr id="163" name="Connettore 2 162"/>
        <xdr:cNvCxnSpPr>
          <a:stCxn id="157" idx="2"/>
          <a:endCxn id="161" idx="0"/>
        </xdr:cNvCxnSpPr>
      </xdr:nvCxnSpPr>
      <xdr:spPr>
        <a:xfrm flipH="1">
          <a:off x="6180213" y="7561225"/>
          <a:ext cx="360" cy="314258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79116</xdr:colOff>
      <xdr:row>45</xdr:row>
      <xdr:rowOff>188378</xdr:rowOff>
    </xdr:from>
    <xdr:to>
      <xdr:col>10</xdr:col>
      <xdr:colOff>84213</xdr:colOff>
      <xdr:row>47</xdr:row>
      <xdr:rowOff>7660</xdr:rowOff>
    </xdr:to>
    <xdr:cxnSp macro="">
      <xdr:nvCxnSpPr>
        <xdr:cNvPr id="164" name="Connettore 2 163"/>
        <xdr:cNvCxnSpPr>
          <a:stCxn id="161" idx="2"/>
          <a:endCxn id="158" idx="0"/>
        </xdr:cNvCxnSpPr>
      </xdr:nvCxnSpPr>
      <xdr:spPr>
        <a:xfrm flipH="1">
          <a:off x="6175116" y="8808503"/>
          <a:ext cx="5097" cy="200282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228191</xdr:colOff>
      <xdr:row>49</xdr:row>
      <xdr:rowOff>68559</xdr:rowOff>
    </xdr:from>
    <xdr:to>
      <xdr:col>11</xdr:col>
      <xdr:colOff>514094</xdr:colOff>
      <xdr:row>49</xdr:row>
      <xdr:rowOff>74435</xdr:rowOff>
    </xdr:to>
    <xdr:cxnSp macro="">
      <xdr:nvCxnSpPr>
        <xdr:cNvPr id="165" name="Connettore 2 164"/>
        <xdr:cNvCxnSpPr>
          <a:stCxn id="158" idx="3"/>
          <a:endCxn id="189" idx="1"/>
        </xdr:cNvCxnSpPr>
      </xdr:nvCxnSpPr>
      <xdr:spPr>
        <a:xfrm flipV="1">
          <a:off x="6962366" y="9450684"/>
          <a:ext cx="285903" cy="5876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188338</xdr:colOff>
      <xdr:row>48</xdr:row>
      <xdr:rowOff>53859</xdr:rowOff>
    </xdr:from>
    <xdr:to>
      <xdr:col>11</xdr:col>
      <xdr:colOff>598075</xdr:colOff>
      <xdr:row>49</xdr:row>
      <xdr:rowOff>115479</xdr:rowOff>
    </xdr:to>
    <xdr:sp macro="" textlink="">
      <xdr:nvSpPr>
        <xdr:cNvPr id="166" name="Rettangolo 165"/>
        <xdr:cNvSpPr/>
      </xdr:nvSpPr>
      <xdr:spPr>
        <a:xfrm>
          <a:off x="6922513" y="9245484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8</xdr:col>
      <xdr:colOff>264555</xdr:colOff>
      <xdr:row>53</xdr:row>
      <xdr:rowOff>27907</xdr:rowOff>
    </xdr:from>
    <xdr:to>
      <xdr:col>9</xdr:col>
      <xdr:colOff>64692</xdr:colOff>
      <xdr:row>54</xdr:row>
      <xdr:rowOff>89527</xdr:rowOff>
    </xdr:to>
    <xdr:sp macro="" textlink="">
      <xdr:nvSpPr>
        <xdr:cNvPr id="167" name="Rettangolo 166"/>
        <xdr:cNvSpPr/>
      </xdr:nvSpPr>
      <xdr:spPr>
        <a:xfrm>
          <a:off x="5141355" y="10172032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386002</xdr:colOff>
      <xdr:row>60</xdr:row>
      <xdr:rowOff>102442</xdr:rowOff>
    </xdr:from>
    <xdr:to>
      <xdr:col>10</xdr:col>
      <xdr:colOff>148890</xdr:colOff>
      <xdr:row>61</xdr:row>
      <xdr:rowOff>164062</xdr:rowOff>
    </xdr:to>
    <xdr:sp macro="" textlink="">
      <xdr:nvSpPr>
        <xdr:cNvPr id="168" name="Rettangolo 167"/>
        <xdr:cNvSpPr/>
      </xdr:nvSpPr>
      <xdr:spPr>
        <a:xfrm>
          <a:off x="5872402" y="11580067"/>
          <a:ext cx="372488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383170</xdr:colOff>
      <xdr:row>45</xdr:row>
      <xdr:rowOff>155227</xdr:rowOff>
    </xdr:from>
    <xdr:to>
      <xdr:col>10</xdr:col>
      <xdr:colOff>183307</xdr:colOff>
      <xdr:row>47</xdr:row>
      <xdr:rowOff>26347</xdr:rowOff>
    </xdr:to>
    <xdr:sp macro="" textlink="">
      <xdr:nvSpPr>
        <xdr:cNvPr id="169" name="Rettangolo 168"/>
        <xdr:cNvSpPr/>
      </xdr:nvSpPr>
      <xdr:spPr>
        <a:xfrm>
          <a:off x="5869570" y="8775352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10</xdr:col>
      <xdr:colOff>77590</xdr:colOff>
      <xdr:row>51</xdr:row>
      <xdr:rowOff>141210</xdr:rowOff>
    </xdr:from>
    <xdr:to>
      <xdr:col>10</xdr:col>
      <xdr:colOff>79116</xdr:colOff>
      <xdr:row>52</xdr:row>
      <xdr:rowOff>128350</xdr:rowOff>
    </xdr:to>
    <xdr:cxnSp macro="">
      <xdr:nvCxnSpPr>
        <xdr:cNvPr id="170" name="Connettore 2 169"/>
        <xdr:cNvCxnSpPr>
          <a:stCxn id="158" idx="2"/>
          <a:endCxn id="159" idx="0"/>
        </xdr:cNvCxnSpPr>
      </xdr:nvCxnSpPr>
      <xdr:spPr>
        <a:xfrm flipH="1">
          <a:off x="6173590" y="9904335"/>
          <a:ext cx="1526" cy="177640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264114</xdr:colOff>
      <xdr:row>54</xdr:row>
      <xdr:rowOff>90416</xdr:rowOff>
    </xdr:from>
    <xdr:to>
      <xdr:col>8</xdr:col>
      <xdr:colOff>484324</xdr:colOff>
      <xdr:row>54</xdr:row>
      <xdr:rowOff>97025</xdr:rowOff>
    </xdr:to>
    <xdr:cxnSp macro="">
      <xdr:nvCxnSpPr>
        <xdr:cNvPr id="171" name="Connettore 2 170"/>
        <xdr:cNvCxnSpPr>
          <a:stCxn id="159" idx="1"/>
          <a:endCxn id="160" idx="3"/>
        </xdr:cNvCxnSpPr>
      </xdr:nvCxnSpPr>
      <xdr:spPr>
        <a:xfrm flipH="1">
          <a:off x="5140914" y="10425041"/>
          <a:ext cx="220210" cy="6609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104465</xdr:colOff>
      <xdr:row>56</xdr:row>
      <xdr:rowOff>59090</xdr:rowOff>
    </xdr:from>
    <xdr:to>
      <xdr:col>7</xdr:col>
      <xdr:colOff>109198</xdr:colOff>
      <xdr:row>57</xdr:row>
      <xdr:rowOff>103780</xdr:rowOff>
    </xdr:to>
    <xdr:cxnSp macro="">
      <xdr:nvCxnSpPr>
        <xdr:cNvPr id="172" name="Connettore 2 171"/>
        <xdr:cNvCxnSpPr>
          <a:stCxn id="160" idx="2"/>
          <a:endCxn id="220" idx="0"/>
        </xdr:cNvCxnSpPr>
      </xdr:nvCxnSpPr>
      <xdr:spPr>
        <a:xfrm flipH="1">
          <a:off x="4371665" y="10774715"/>
          <a:ext cx="4733" cy="235190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460762</xdr:colOff>
      <xdr:row>56</xdr:row>
      <xdr:rowOff>12735</xdr:rowOff>
    </xdr:from>
    <xdr:to>
      <xdr:col>7</xdr:col>
      <xdr:colOff>260899</xdr:colOff>
      <xdr:row>57</xdr:row>
      <xdr:rowOff>74355</xdr:rowOff>
    </xdr:to>
    <xdr:sp macro="" textlink="">
      <xdr:nvSpPr>
        <xdr:cNvPr id="173" name="Rettangolo 172"/>
        <xdr:cNvSpPr/>
      </xdr:nvSpPr>
      <xdr:spPr>
        <a:xfrm>
          <a:off x="4118362" y="10728360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5</xdr:col>
      <xdr:colOff>302298</xdr:colOff>
      <xdr:row>54</xdr:row>
      <xdr:rowOff>94677</xdr:rowOff>
    </xdr:from>
    <xdr:to>
      <xdr:col>5</xdr:col>
      <xdr:colOff>563881</xdr:colOff>
      <xdr:row>54</xdr:row>
      <xdr:rowOff>97025</xdr:rowOff>
    </xdr:to>
    <xdr:cxnSp macro="">
      <xdr:nvCxnSpPr>
        <xdr:cNvPr id="174" name="Connettore 2 173"/>
        <xdr:cNvCxnSpPr>
          <a:stCxn id="160" idx="1"/>
          <a:endCxn id="175" idx="3"/>
        </xdr:cNvCxnSpPr>
      </xdr:nvCxnSpPr>
      <xdr:spPr>
        <a:xfrm flipH="1" flipV="1">
          <a:off x="3350298" y="10429302"/>
          <a:ext cx="261583" cy="2348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103554</xdr:colOff>
      <xdr:row>52</xdr:row>
      <xdr:rowOff>132612</xdr:rowOff>
    </xdr:from>
    <xdr:to>
      <xdr:col>5</xdr:col>
      <xdr:colOff>302298</xdr:colOff>
      <xdr:row>56</xdr:row>
      <xdr:rowOff>56742</xdr:rowOff>
    </xdr:to>
    <xdr:sp macro="" textlink="">
      <xdr:nvSpPr>
        <xdr:cNvPr id="175" name="Rombo 174"/>
        <xdr:cNvSpPr/>
      </xdr:nvSpPr>
      <xdr:spPr>
        <a:xfrm>
          <a:off x="1932354" y="10086237"/>
          <a:ext cx="1417944" cy="686130"/>
        </a:xfrm>
        <a:prstGeom prst="diamond">
          <a:avLst/>
        </a:prstGeom>
        <a:noFill/>
        <a:ln>
          <a:solidFill>
            <a:srgbClr val="17375E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t-IT" sz="1500">
              <a:solidFill>
                <a:srgbClr val="17375E"/>
              </a:solidFill>
              <a:cs typeface="Arial" panose="020B0604020202020204" pitchFamily="34" charset="0"/>
            </a:rPr>
            <a:t>P&gt;P</a:t>
          </a:r>
          <a:r>
            <a:rPr lang="it-IT" sz="1500" baseline="-25000">
              <a:solidFill>
                <a:srgbClr val="17375E"/>
              </a:solidFill>
              <a:cs typeface="Arial" panose="020B0604020202020204" pitchFamily="34" charset="0"/>
            </a:rPr>
            <a:t>SVE</a:t>
          </a:r>
          <a:endParaRPr lang="en-GB" sz="1500" baseline="-25000">
            <a:solidFill>
              <a:srgbClr val="17375E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198247</xdr:colOff>
      <xdr:row>51</xdr:row>
      <xdr:rowOff>127294</xdr:rowOff>
    </xdr:from>
    <xdr:to>
      <xdr:col>4</xdr:col>
      <xdr:colOff>202926</xdr:colOff>
      <xdr:row>52</xdr:row>
      <xdr:rowOff>132612</xdr:rowOff>
    </xdr:to>
    <xdr:cxnSp macro="">
      <xdr:nvCxnSpPr>
        <xdr:cNvPr id="176" name="Connettore 2 175"/>
        <xdr:cNvCxnSpPr>
          <a:stCxn id="175" idx="0"/>
          <a:endCxn id="223" idx="2"/>
        </xdr:cNvCxnSpPr>
      </xdr:nvCxnSpPr>
      <xdr:spPr>
        <a:xfrm flipH="1" flipV="1">
          <a:off x="2636647" y="9890419"/>
          <a:ext cx="4679" cy="195818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541144</xdr:colOff>
      <xdr:row>51</xdr:row>
      <xdr:rowOff>132478</xdr:rowOff>
    </xdr:from>
    <xdr:to>
      <xdr:col>4</xdr:col>
      <xdr:colOff>341281</xdr:colOff>
      <xdr:row>53</xdr:row>
      <xdr:rowOff>3598</xdr:rowOff>
    </xdr:to>
    <xdr:sp macro="" textlink="">
      <xdr:nvSpPr>
        <xdr:cNvPr id="177" name="Rettangolo 176"/>
        <xdr:cNvSpPr/>
      </xdr:nvSpPr>
      <xdr:spPr>
        <a:xfrm>
          <a:off x="2369944" y="9895603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5</xdr:col>
      <xdr:colOff>350137</xdr:colOff>
      <xdr:row>53</xdr:row>
      <xdr:rowOff>47746</xdr:rowOff>
    </xdr:from>
    <xdr:to>
      <xdr:col>6</xdr:col>
      <xdr:colOff>150274</xdr:colOff>
      <xdr:row>54</xdr:row>
      <xdr:rowOff>109366</xdr:rowOff>
    </xdr:to>
    <xdr:sp macro="" textlink="">
      <xdr:nvSpPr>
        <xdr:cNvPr id="178" name="Rettangolo 177"/>
        <xdr:cNvSpPr/>
      </xdr:nvSpPr>
      <xdr:spPr>
        <a:xfrm>
          <a:off x="3398137" y="10191871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469162</xdr:colOff>
      <xdr:row>54</xdr:row>
      <xdr:rowOff>93342</xdr:rowOff>
    </xdr:from>
    <xdr:to>
      <xdr:col>3</xdr:col>
      <xdr:colOff>103554</xdr:colOff>
      <xdr:row>54</xdr:row>
      <xdr:rowOff>94677</xdr:rowOff>
    </xdr:to>
    <xdr:cxnSp macro="">
      <xdr:nvCxnSpPr>
        <xdr:cNvPr id="179" name="Connettore 2 178"/>
        <xdr:cNvCxnSpPr>
          <a:stCxn id="175" idx="1"/>
          <a:endCxn id="180" idx="3"/>
        </xdr:cNvCxnSpPr>
      </xdr:nvCxnSpPr>
      <xdr:spPr>
        <a:xfrm flipH="1" flipV="1">
          <a:off x="1688362" y="10427967"/>
          <a:ext cx="243992" cy="1335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439346</xdr:colOff>
      <xdr:row>53</xdr:row>
      <xdr:rowOff>63217</xdr:rowOff>
    </xdr:from>
    <xdr:to>
      <xdr:col>2</xdr:col>
      <xdr:colOff>469162</xdr:colOff>
      <xdr:row>55</xdr:row>
      <xdr:rowOff>123467</xdr:rowOff>
    </xdr:to>
    <xdr:sp macro="" textlink="">
      <xdr:nvSpPr>
        <xdr:cNvPr id="180" name="Elaborazione alternativa 179"/>
        <xdr:cNvSpPr/>
      </xdr:nvSpPr>
      <xdr:spPr>
        <a:xfrm>
          <a:off x="1048946" y="10207342"/>
          <a:ext cx="639416" cy="441250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SVE</a:t>
          </a:r>
        </a:p>
      </xdr:txBody>
    </xdr:sp>
    <xdr:clientData/>
  </xdr:twoCellAnchor>
  <xdr:twoCellAnchor>
    <xdr:from>
      <xdr:col>2</xdr:col>
      <xdr:colOff>509642</xdr:colOff>
      <xdr:row>53</xdr:row>
      <xdr:rowOff>43909</xdr:rowOff>
    </xdr:from>
    <xdr:to>
      <xdr:col>3</xdr:col>
      <xdr:colOff>309779</xdr:colOff>
      <xdr:row>54</xdr:row>
      <xdr:rowOff>105529</xdr:rowOff>
    </xdr:to>
    <xdr:sp macro="" textlink="">
      <xdr:nvSpPr>
        <xdr:cNvPr id="181" name="Rettangolo 180"/>
        <xdr:cNvSpPr/>
      </xdr:nvSpPr>
      <xdr:spPr>
        <a:xfrm>
          <a:off x="1728842" y="10188034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10</xdr:col>
      <xdr:colOff>75984</xdr:colOff>
      <xdr:row>56</xdr:row>
      <xdr:rowOff>52481</xdr:rowOff>
    </xdr:from>
    <xdr:to>
      <xdr:col>10</xdr:col>
      <xdr:colOff>77590</xdr:colOff>
      <xdr:row>57</xdr:row>
      <xdr:rowOff>34161</xdr:rowOff>
    </xdr:to>
    <xdr:cxnSp macro="">
      <xdr:nvCxnSpPr>
        <xdr:cNvPr id="182" name="Connettore 2 181"/>
        <xdr:cNvCxnSpPr>
          <a:stCxn id="159" idx="2"/>
          <a:endCxn id="183" idx="0"/>
        </xdr:cNvCxnSpPr>
      </xdr:nvCxnSpPr>
      <xdr:spPr>
        <a:xfrm flipH="1">
          <a:off x="6171984" y="10768106"/>
          <a:ext cx="1606" cy="172180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503678</xdr:colOff>
      <xdr:row>57</xdr:row>
      <xdr:rowOff>34161</xdr:rowOff>
    </xdr:from>
    <xdr:to>
      <xdr:col>11</xdr:col>
      <xdr:colOff>229315</xdr:colOff>
      <xdr:row>60</xdr:row>
      <xdr:rowOff>148792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Rombo 182"/>
            <xdr:cNvSpPr/>
          </xdr:nvSpPr>
          <xdr:spPr>
            <a:xfrm>
              <a:off x="5380478" y="10940286"/>
              <a:ext cx="1583012" cy="686131"/>
            </a:xfrm>
            <a:prstGeom prst="diamond">
              <a:avLst/>
            </a:prstGeom>
            <a:noFill/>
            <a:ln>
              <a:solidFill>
                <a:srgbClr val="17375E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it-IT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𝑇</m:t>
                    </m:r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≠</m:t>
                    </m:r>
                    <m:r>
                      <a:rPr lang="it-IT" sz="1500" b="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𝑇</m:t>
                    </m:r>
                    <m:r>
                      <m:rPr>
                        <m:sty m:val="p"/>
                      </m:rPr>
                      <a:rPr lang="it-IT" sz="1500" b="0" i="0" baseline="-25000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c</m:t>
                    </m:r>
                  </m:oMath>
                </m:oMathPara>
              </a14:m>
              <a:endParaRPr lang="en-GB" sz="1500" baseline="-25000">
                <a:solidFill>
                  <a:srgbClr val="17375E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𝑃</m:t>
                    </m:r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≠</m:t>
                    </m:r>
                    <m:r>
                      <a:rPr lang="it-IT" sz="1500" i="1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𝑃</m:t>
                    </m:r>
                    <m:r>
                      <m:rPr>
                        <m:sty m:val="p"/>
                      </m:rPr>
                      <a:rPr lang="it-IT" sz="1500" i="0" baseline="-25000">
                        <a:solidFill>
                          <a:srgbClr val="17375E"/>
                        </a:solidFill>
                        <a:latin typeface="Cambria Math" panose="02040503050406030204" pitchFamily="18" charset="0"/>
                        <a:cs typeface="Arial" panose="020B0604020202020204" pitchFamily="34" charset="0"/>
                      </a:rPr>
                      <m:t>c</m:t>
                    </m:r>
                  </m:oMath>
                </m:oMathPara>
              </a14:m>
              <a:endParaRPr lang="en-GB" sz="1500" baseline="-25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183" name="Rombo 182"/>
            <xdr:cNvSpPr/>
          </xdr:nvSpPr>
          <xdr:spPr>
            <a:xfrm>
              <a:off x="5380478" y="10940286"/>
              <a:ext cx="1583012" cy="686131"/>
            </a:xfrm>
            <a:prstGeom prst="diamond">
              <a:avLst/>
            </a:prstGeom>
            <a:noFill/>
            <a:ln>
              <a:solidFill>
                <a:srgbClr val="17375E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it-IT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50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𝑇≠</a:t>
              </a:r>
              <a:r>
                <a:rPr lang="it-IT" sz="1500" b="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𝑇</a:t>
              </a:r>
              <a:r>
                <a:rPr lang="it-IT" sz="1500" b="0" i="0" baseline="-2500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c</a:t>
              </a:r>
              <a:endParaRPr lang="en-GB" sz="1500" baseline="-25000">
                <a:solidFill>
                  <a:srgbClr val="17375E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it-IT" sz="1500" i="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𝑃≠𝑃</a:t>
              </a:r>
              <a:r>
                <a:rPr lang="it-IT" sz="1500" i="0" baseline="-25000">
                  <a:solidFill>
                    <a:srgbClr val="17375E"/>
                  </a:solidFill>
                  <a:latin typeface="Cambria Math" panose="02040503050406030204" pitchFamily="18" charset="0"/>
                  <a:cs typeface="Arial" panose="020B0604020202020204" pitchFamily="34" charset="0"/>
                </a:rPr>
                <a:t>c</a:t>
              </a:r>
              <a:endParaRPr lang="en-GB" sz="1500" baseline="-25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229315</xdr:colOff>
      <xdr:row>58</xdr:row>
      <xdr:rowOff>185055</xdr:rowOff>
    </xdr:from>
    <xdr:to>
      <xdr:col>11</xdr:col>
      <xdr:colOff>521482</xdr:colOff>
      <xdr:row>58</xdr:row>
      <xdr:rowOff>186727</xdr:rowOff>
    </xdr:to>
    <xdr:cxnSp macro="">
      <xdr:nvCxnSpPr>
        <xdr:cNvPr id="184" name="Connettore 2 183"/>
        <xdr:cNvCxnSpPr>
          <a:stCxn id="183" idx="3"/>
          <a:endCxn id="188" idx="1"/>
        </xdr:cNvCxnSpPr>
      </xdr:nvCxnSpPr>
      <xdr:spPr>
        <a:xfrm flipV="1">
          <a:off x="6963490" y="11281680"/>
          <a:ext cx="292167" cy="1672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409577</xdr:colOff>
      <xdr:row>51</xdr:row>
      <xdr:rowOff>87440</xdr:rowOff>
    </xdr:from>
    <xdr:to>
      <xdr:col>10</xdr:col>
      <xdr:colOff>209714</xdr:colOff>
      <xdr:row>52</xdr:row>
      <xdr:rowOff>149060</xdr:rowOff>
    </xdr:to>
    <xdr:sp macro="" textlink="">
      <xdr:nvSpPr>
        <xdr:cNvPr id="185" name="Rettangolo 184"/>
        <xdr:cNvSpPr/>
      </xdr:nvSpPr>
      <xdr:spPr>
        <a:xfrm>
          <a:off x="5895977" y="9850565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10</xdr:col>
      <xdr:colOff>73709</xdr:colOff>
      <xdr:row>60</xdr:row>
      <xdr:rowOff>148792</xdr:rowOff>
    </xdr:from>
    <xdr:to>
      <xdr:col>10</xdr:col>
      <xdr:colOff>75984</xdr:colOff>
      <xdr:row>61</xdr:row>
      <xdr:rowOff>144310</xdr:rowOff>
    </xdr:to>
    <xdr:cxnSp macro="">
      <xdr:nvCxnSpPr>
        <xdr:cNvPr id="186" name="Connettore 2 185"/>
        <xdr:cNvCxnSpPr>
          <a:stCxn id="183" idx="2"/>
          <a:endCxn id="190" idx="0"/>
        </xdr:cNvCxnSpPr>
      </xdr:nvCxnSpPr>
      <xdr:spPr>
        <a:xfrm flipH="1">
          <a:off x="6169709" y="11626417"/>
          <a:ext cx="2275" cy="186018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172334</xdr:colOff>
      <xdr:row>57</xdr:row>
      <xdr:rowOff>125061</xdr:rowOff>
    </xdr:from>
    <xdr:to>
      <xdr:col>11</xdr:col>
      <xdr:colOff>582071</xdr:colOff>
      <xdr:row>58</xdr:row>
      <xdr:rowOff>186681</xdr:rowOff>
    </xdr:to>
    <xdr:sp macro="" textlink="">
      <xdr:nvSpPr>
        <xdr:cNvPr id="187" name="Rettangolo 186"/>
        <xdr:cNvSpPr/>
      </xdr:nvSpPr>
      <xdr:spPr>
        <a:xfrm>
          <a:off x="6906509" y="11031186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521482</xdr:colOff>
      <xdr:row>57</xdr:row>
      <xdr:rowOff>120365</xdr:rowOff>
    </xdr:from>
    <xdr:to>
      <xdr:col>13</xdr:col>
      <xdr:colOff>321027</xdr:colOff>
      <xdr:row>60</xdr:row>
      <xdr:rowOff>59245</xdr:rowOff>
    </xdr:to>
    <xdr:sp macro="" textlink="">
      <xdr:nvSpPr>
        <xdr:cNvPr id="188" name="Elaborazione alternativa 187"/>
        <xdr:cNvSpPr/>
      </xdr:nvSpPr>
      <xdr:spPr>
        <a:xfrm>
          <a:off x="7255657" y="11026490"/>
          <a:ext cx="1018745" cy="510380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Critical point</a:t>
          </a:r>
        </a:p>
      </xdr:txBody>
    </xdr:sp>
    <xdr:clientData/>
  </xdr:twoCellAnchor>
  <xdr:twoCellAnchor>
    <xdr:from>
      <xdr:col>11</xdr:col>
      <xdr:colOff>514094</xdr:colOff>
      <xdr:row>48</xdr:row>
      <xdr:rowOff>2696</xdr:rowOff>
    </xdr:from>
    <xdr:to>
      <xdr:col>13</xdr:col>
      <xdr:colOff>311502</xdr:colOff>
      <xdr:row>50</xdr:row>
      <xdr:rowOff>134421</xdr:rowOff>
    </xdr:to>
    <xdr:sp macro="" textlink="">
      <xdr:nvSpPr>
        <xdr:cNvPr id="189" name="Elaborazione alternativa 188"/>
        <xdr:cNvSpPr/>
      </xdr:nvSpPr>
      <xdr:spPr>
        <a:xfrm>
          <a:off x="7248269" y="9194321"/>
          <a:ext cx="1016608" cy="512725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Triple point</a:t>
          </a:r>
        </a:p>
      </xdr:txBody>
    </xdr:sp>
    <xdr:clientData/>
  </xdr:twoCellAnchor>
  <xdr:twoCellAnchor>
    <xdr:from>
      <xdr:col>8</xdr:col>
      <xdr:colOff>528392</xdr:colOff>
      <xdr:row>61</xdr:row>
      <xdr:rowOff>144310</xdr:rowOff>
    </xdr:from>
    <xdr:to>
      <xdr:col>11</xdr:col>
      <xdr:colOff>200050</xdr:colOff>
      <xdr:row>65</xdr:row>
      <xdr:rowOff>68440</xdr:rowOff>
    </xdr:to>
    <xdr:sp macro="" textlink="">
      <xdr:nvSpPr>
        <xdr:cNvPr id="190" name="Rombo 189"/>
        <xdr:cNvSpPr/>
      </xdr:nvSpPr>
      <xdr:spPr>
        <a:xfrm>
          <a:off x="5405192" y="11812435"/>
          <a:ext cx="1529033" cy="686130"/>
        </a:xfrm>
        <a:prstGeom prst="diamond">
          <a:avLst/>
        </a:prstGeom>
        <a:noFill/>
        <a:ln>
          <a:solidFill>
            <a:srgbClr val="17375E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t-IT" sz="1500">
              <a:solidFill>
                <a:srgbClr val="17375E"/>
              </a:solidFill>
              <a:cs typeface="Arial" panose="020B0604020202020204" pitchFamily="34" charset="0"/>
            </a:rPr>
            <a:t>T &gt;T</a:t>
          </a:r>
          <a:r>
            <a:rPr lang="it-IT" sz="1500" baseline="-25000">
              <a:solidFill>
                <a:srgbClr val="17375E"/>
              </a:solidFill>
              <a:cs typeface="Arial" panose="020B0604020202020204" pitchFamily="34" charset="0"/>
            </a:rPr>
            <a:t>c</a:t>
          </a:r>
          <a:endParaRPr lang="en-GB" sz="1500" baseline="-25000">
            <a:solidFill>
              <a:srgbClr val="17375E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200050</xdr:colOff>
      <xdr:row>63</xdr:row>
      <xdr:rowOff>106375</xdr:rowOff>
    </xdr:from>
    <xdr:to>
      <xdr:col>11</xdr:col>
      <xdr:colOff>520481</xdr:colOff>
      <xdr:row>63</xdr:row>
      <xdr:rowOff>113774</xdr:rowOff>
    </xdr:to>
    <xdr:cxnSp macro="">
      <xdr:nvCxnSpPr>
        <xdr:cNvPr id="191" name="Connettore 2 190"/>
        <xdr:cNvCxnSpPr>
          <a:stCxn id="190" idx="3"/>
          <a:endCxn id="192" idx="1"/>
        </xdr:cNvCxnSpPr>
      </xdr:nvCxnSpPr>
      <xdr:spPr>
        <a:xfrm>
          <a:off x="6934225" y="12155500"/>
          <a:ext cx="320431" cy="7399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520481</xdr:colOff>
      <xdr:row>62</xdr:row>
      <xdr:rowOff>47911</xdr:rowOff>
    </xdr:from>
    <xdr:to>
      <xdr:col>13</xdr:col>
      <xdr:colOff>307370</xdr:colOff>
      <xdr:row>64</xdr:row>
      <xdr:rowOff>179636</xdr:rowOff>
    </xdr:to>
    <xdr:sp macro="" textlink="">
      <xdr:nvSpPr>
        <xdr:cNvPr id="192" name="Elaborazione alternativa 191"/>
        <xdr:cNvSpPr/>
      </xdr:nvSpPr>
      <xdr:spPr>
        <a:xfrm>
          <a:off x="7254656" y="11906536"/>
          <a:ext cx="1006089" cy="512725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Critical region</a:t>
          </a:r>
        </a:p>
      </xdr:txBody>
    </xdr:sp>
    <xdr:clientData/>
  </xdr:twoCellAnchor>
  <xdr:twoCellAnchor>
    <xdr:from>
      <xdr:col>11</xdr:col>
      <xdr:colOff>171497</xdr:colOff>
      <xdr:row>62</xdr:row>
      <xdr:rowOff>86964</xdr:rowOff>
    </xdr:from>
    <xdr:to>
      <xdr:col>11</xdr:col>
      <xdr:colOff>581234</xdr:colOff>
      <xdr:row>63</xdr:row>
      <xdr:rowOff>148584</xdr:rowOff>
    </xdr:to>
    <xdr:sp macro="" textlink="">
      <xdr:nvSpPr>
        <xdr:cNvPr id="193" name="Rettangolo 192"/>
        <xdr:cNvSpPr/>
      </xdr:nvSpPr>
      <xdr:spPr>
        <a:xfrm>
          <a:off x="6905672" y="11945589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377173</xdr:colOff>
      <xdr:row>56</xdr:row>
      <xdr:rowOff>4138</xdr:rowOff>
    </xdr:from>
    <xdr:to>
      <xdr:col>10</xdr:col>
      <xdr:colOff>177310</xdr:colOff>
      <xdr:row>57</xdr:row>
      <xdr:rowOff>65758</xdr:rowOff>
    </xdr:to>
    <xdr:sp macro="" textlink="">
      <xdr:nvSpPr>
        <xdr:cNvPr id="194" name="Rettangolo 193"/>
        <xdr:cNvSpPr/>
      </xdr:nvSpPr>
      <xdr:spPr>
        <a:xfrm>
          <a:off x="5863573" y="10719763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8</xdr:col>
      <xdr:colOff>517747</xdr:colOff>
      <xdr:row>66</xdr:row>
      <xdr:rowOff>77301</xdr:rowOff>
    </xdr:from>
    <xdr:to>
      <xdr:col>11</xdr:col>
      <xdr:colOff>202406</xdr:colOff>
      <xdr:row>70</xdr:row>
      <xdr:rowOff>1431</xdr:rowOff>
    </xdr:to>
    <xdr:sp macro="" textlink="">
      <xdr:nvSpPr>
        <xdr:cNvPr id="195" name="Rombo 194"/>
        <xdr:cNvSpPr/>
      </xdr:nvSpPr>
      <xdr:spPr>
        <a:xfrm>
          <a:off x="5394547" y="12697926"/>
          <a:ext cx="1542034" cy="686130"/>
        </a:xfrm>
        <a:prstGeom prst="diamond">
          <a:avLst/>
        </a:prstGeom>
        <a:noFill/>
        <a:ln>
          <a:solidFill>
            <a:srgbClr val="17375E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t-IT" sz="1500">
              <a:solidFill>
                <a:srgbClr val="17375E"/>
              </a:solidFill>
              <a:cs typeface="Arial" panose="020B0604020202020204" pitchFamily="34" charset="0"/>
            </a:rPr>
            <a:t>P&lt;P</a:t>
          </a:r>
          <a:r>
            <a:rPr lang="it-IT" sz="1500" baseline="-25000">
              <a:solidFill>
                <a:srgbClr val="17375E"/>
              </a:solidFill>
              <a:cs typeface="Arial" panose="020B0604020202020204" pitchFamily="34" charset="0"/>
            </a:rPr>
            <a:t>VLE</a:t>
          </a:r>
          <a:endParaRPr lang="en-GB" sz="1500" baseline="-25000">
            <a:solidFill>
              <a:srgbClr val="17375E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69564</xdr:colOff>
      <xdr:row>65</xdr:row>
      <xdr:rowOff>68440</xdr:rowOff>
    </xdr:from>
    <xdr:to>
      <xdr:col>10</xdr:col>
      <xdr:colOff>73709</xdr:colOff>
      <xdr:row>66</xdr:row>
      <xdr:rowOff>77301</xdr:rowOff>
    </xdr:to>
    <xdr:cxnSp macro="">
      <xdr:nvCxnSpPr>
        <xdr:cNvPr id="196" name="Connettore 2 195"/>
        <xdr:cNvCxnSpPr>
          <a:stCxn id="190" idx="2"/>
          <a:endCxn id="195" idx="0"/>
        </xdr:cNvCxnSpPr>
      </xdr:nvCxnSpPr>
      <xdr:spPr>
        <a:xfrm flipH="1">
          <a:off x="6165564" y="12498565"/>
          <a:ext cx="4145" cy="199361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374826</xdr:colOff>
      <xdr:row>65</xdr:row>
      <xdr:rowOff>2724</xdr:rowOff>
    </xdr:from>
    <xdr:to>
      <xdr:col>10</xdr:col>
      <xdr:colOff>174963</xdr:colOff>
      <xdr:row>66</xdr:row>
      <xdr:rowOff>64344</xdr:rowOff>
    </xdr:to>
    <xdr:sp macro="" textlink="">
      <xdr:nvSpPr>
        <xdr:cNvPr id="197" name="Rettangolo 196"/>
        <xdr:cNvSpPr/>
      </xdr:nvSpPr>
      <xdr:spPr>
        <a:xfrm>
          <a:off x="5861226" y="12432849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520071</xdr:colOff>
      <xdr:row>66</xdr:row>
      <xdr:rowOff>178229</xdr:rowOff>
    </xdr:from>
    <xdr:to>
      <xdr:col>13</xdr:col>
      <xdr:colOff>321027</xdr:colOff>
      <xdr:row>69</xdr:row>
      <xdr:rowOff>95644</xdr:rowOff>
    </xdr:to>
    <xdr:sp macro="" textlink="">
      <xdr:nvSpPr>
        <xdr:cNvPr id="198" name="Elaborazione alternativa 197"/>
        <xdr:cNvSpPr/>
      </xdr:nvSpPr>
      <xdr:spPr>
        <a:xfrm>
          <a:off x="7254246" y="12798854"/>
          <a:ext cx="1020156" cy="488915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Vapor phase</a:t>
          </a:r>
        </a:p>
      </xdr:txBody>
    </xdr:sp>
    <xdr:clientData/>
  </xdr:twoCellAnchor>
  <xdr:twoCellAnchor>
    <xdr:from>
      <xdr:col>11</xdr:col>
      <xdr:colOff>202406</xdr:colOff>
      <xdr:row>68</xdr:row>
      <xdr:rowOff>39366</xdr:rowOff>
    </xdr:from>
    <xdr:to>
      <xdr:col>11</xdr:col>
      <xdr:colOff>520071</xdr:colOff>
      <xdr:row>68</xdr:row>
      <xdr:rowOff>41687</xdr:rowOff>
    </xdr:to>
    <xdr:cxnSp macro="">
      <xdr:nvCxnSpPr>
        <xdr:cNvPr id="199" name="Connettore 2 198"/>
        <xdr:cNvCxnSpPr>
          <a:stCxn id="195" idx="3"/>
          <a:endCxn id="198" idx="1"/>
        </xdr:cNvCxnSpPr>
      </xdr:nvCxnSpPr>
      <xdr:spPr>
        <a:xfrm>
          <a:off x="6936581" y="13040991"/>
          <a:ext cx="317665" cy="2321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169572</xdr:colOff>
      <xdr:row>67</xdr:row>
      <xdr:rowOff>5158</xdr:rowOff>
    </xdr:from>
    <xdr:to>
      <xdr:col>11</xdr:col>
      <xdr:colOff>579309</xdr:colOff>
      <xdr:row>68</xdr:row>
      <xdr:rowOff>66778</xdr:rowOff>
    </xdr:to>
    <xdr:sp macro="" textlink="">
      <xdr:nvSpPr>
        <xdr:cNvPr id="200" name="Rettangolo 199"/>
        <xdr:cNvSpPr/>
      </xdr:nvSpPr>
      <xdr:spPr>
        <a:xfrm>
          <a:off x="6903747" y="12816283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411316</xdr:colOff>
      <xdr:row>69</xdr:row>
      <xdr:rowOff>167935</xdr:rowOff>
    </xdr:from>
    <xdr:to>
      <xdr:col>10</xdr:col>
      <xdr:colOff>211453</xdr:colOff>
      <xdr:row>71</xdr:row>
      <xdr:rowOff>39055</xdr:rowOff>
    </xdr:to>
    <xdr:sp macro="" textlink="">
      <xdr:nvSpPr>
        <xdr:cNvPr id="203" name="Rettangolo 202"/>
        <xdr:cNvSpPr/>
      </xdr:nvSpPr>
      <xdr:spPr>
        <a:xfrm>
          <a:off x="5897716" y="13360060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8</xdr:col>
      <xdr:colOff>530166</xdr:colOff>
      <xdr:row>71</xdr:row>
      <xdr:rowOff>65440</xdr:rowOff>
    </xdr:from>
    <xdr:to>
      <xdr:col>11</xdr:col>
      <xdr:colOff>201824</xdr:colOff>
      <xdr:row>74</xdr:row>
      <xdr:rowOff>180070</xdr:rowOff>
    </xdr:to>
    <xdr:sp macro="" textlink="">
      <xdr:nvSpPr>
        <xdr:cNvPr id="206" name="Rombo 205"/>
        <xdr:cNvSpPr/>
      </xdr:nvSpPr>
      <xdr:spPr>
        <a:xfrm>
          <a:off x="5406966" y="13638565"/>
          <a:ext cx="1529033" cy="686130"/>
        </a:xfrm>
        <a:prstGeom prst="diamond">
          <a:avLst/>
        </a:prstGeom>
        <a:noFill/>
        <a:ln>
          <a:solidFill>
            <a:srgbClr val="17375E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t-IT" sz="1500">
              <a:solidFill>
                <a:srgbClr val="17375E"/>
              </a:solidFill>
              <a:cs typeface="Arial" panose="020B0604020202020204" pitchFamily="34" charset="0"/>
            </a:rPr>
            <a:t>P&gt;P</a:t>
          </a:r>
          <a:r>
            <a:rPr lang="it-IT" sz="1500" baseline="-25000">
              <a:solidFill>
                <a:srgbClr val="17375E"/>
              </a:solidFill>
              <a:cs typeface="Arial" panose="020B0604020202020204" pitchFamily="34" charset="0"/>
            </a:rPr>
            <a:t>VLE</a:t>
          </a:r>
          <a:endParaRPr lang="en-GB" sz="1500" baseline="-25000">
            <a:solidFill>
              <a:srgbClr val="17375E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69564</xdr:colOff>
      <xdr:row>70</xdr:row>
      <xdr:rowOff>1431</xdr:rowOff>
    </xdr:from>
    <xdr:to>
      <xdr:col>10</xdr:col>
      <xdr:colOff>75483</xdr:colOff>
      <xdr:row>71</xdr:row>
      <xdr:rowOff>65440</xdr:rowOff>
    </xdr:to>
    <xdr:cxnSp macro="">
      <xdr:nvCxnSpPr>
        <xdr:cNvPr id="207" name="Connettore 2 206"/>
        <xdr:cNvCxnSpPr>
          <a:stCxn id="195" idx="2"/>
          <a:endCxn id="206" idx="0"/>
        </xdr:cNvCxnSpPr>
      </xdr:nvCxnSpPr>
      <xdr:spPr>
        <a:xfrm>
          <a:off x="6165564" y="13384056"/>
          <a:ext cx="5919" cy="254509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201824</xdr:colOff>
      <xdr:row>73</xdr:row>
      <xdr:rowOff>27505</xdr:rowOff>
    </xdr:from>
    <xdr:to>
      <xdr:col>11</xdr:col>
      <xdr:colOff>542409</xdr:colOff>
      <xdr:row>73</xdr:row>
      <xdr:rowOff>29680</xdr:rowOff>
    </xdr:to>
    <xdr:cxnSp macro="">
      <xdr:nvCxnSpPr>
        <xdr:cNvPr id="209" name="Connettore 2 208"/>
        <xdr:cNvCxnSpPr>
          <a:stCxn id="206" idx="3"/>
          <a:endCxn id="210" idx="1"/>
        </xdr:cNvCxnSpPr>
      </xdr:nvCxnSpPr>
      <xdr:spPr>
        <a:xfrm>
          <a:off x="6935999" y="13981630"/>
          <a:ext cx="340585" cy="2175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542409</xdr:colOff>
      <xdr:row>72</xdr:row>
      <xdr:rowOff>5100</xdr:rowOff>
    </xdr:from>
    <xdr:to>
      <xdr:col>12</xdr:col>
      <xdr:colOff>572225</xdr:colOff>
      <xdr:row>74</xdr:row>
      <xdr:rowOff>54259</xdr:rowOff>
    </xdr:to>
    <xdr:sp macro="" textlink="">
      <xdr:nvSpPr>
        <xdr:cNvPr id="210" name="Elaborazione alternativa 209"/>
        <xdr:cNvSpPr/>
      </xdr:nvSpPr>
      <xdr:spPr>
        <a:xfrm>
          <a:off x="7276584" y="13768725"/>
          <a:ext cx="639416" cy="430159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VLE</a:t>
          </a:r>
        </a:p>
      </xdr:txBody>
    </xdr:sp>
    <xdr:clientData/>
  </xdr:twoCellAnchor>
  <xdr:twoCellAnchor>
    <xdr:from>
      <xdr:col>11</xdr:col>
      <xdr:colOff>153996</xdr:colOff>
      <xdr:row>71</xdr:row>
      <xdr:rowOff>190365</xdr:rowOff>
    </xdr:from>
    <xdr:to>
      <xdr:col>11</xdr:col>
      <xdr:colOff>563733</xdr:colOff>
      <xdr:row>73</xdr:row>
      <xdr:rowOff>61485</xdr:rowOff>
    </xdr:to>
    <xdr:sp macro="" textlink="">
      <xdr:nvSpPr>
        <xdr:cNvPr id="218" name="Rettangolo 217"/>
        <xdr:cNvSpPr/>
      </xdr:nvSpPr>
      <xdr:spPr>
        <a:xfrm>
          <a:off x="6888171" y="13763490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6</xdr:col>
      <xdr:colOff>203987</xdr:colOff>
      <xdr:row>57</xdr:row>
      <xdr:rowOff>103780</xdr:rowOff>
    </xdr:from>
    <xdr:to>
      <xdr:col>8</xdr:col>
      <xdr:colOff>4943</xdr:colOff>
      <xdr:row>60</xdr:row>
      <xdr:rowOff>21195</xdr:rowOff>
    </xdr:to>
    <xdr:sp macro="" textlink="">
      <xdr:nvSpPr>
        <xdr:cNvPr id="220" name="Elaborazione alternativa 219"/>
        <xdr:cNvSpPr/>
      </xdr:nvSpPr>
      <xdr:spPr>
        <a:xfrm>
          <a:off x="3861587" y="11009905"/>
          <a:ext cx="1020156" cy="488915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Vapor phase</a:t>
          </a:r>
        </a:p>
      </xdr:txBody>
    </xdr:sp>
    <xdr:clientData/>
  </xdr:twoCellAnchor>
  <xdr:twoCellAnchor>
    <xdr:from>
      <xdr:col>3</xdr:col>
      <xdr:colOff>297769</xdr:colOff>
      <xdr:row>49</xdr:row>
      <xdr:rowOff>19379</xdr:rowOff>
    </xdr:from>
    <xdr:to>
      <xdr:col>5</xdr:col>
      <xdr:colOff>98725</xdr:colOff>
      <xdr:row>51</xdr:row>
      <xdr:rowOff>127294</xdr:rowOff>
    </xdr:to>
    <xdr:sp macro="" textlink="">
      <xdr:nvSpPr>
        <xdr:cNvPr id="223" name="Elaborazione alternativa 222"/>
        <xdr:cNvSpPr/>
      </xdr:nvSpPr>
      <xdr:spPr>
        <a:xfrm>
          <a:off x="2126569" y="9401504"/>
          <a:ext cx="1020156" cy="488915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Solid phase</a:t>
          </a:r>
        </a:p>
      </xdr:txBody>
    </xdr:sp>
    <xdr:clientData/>
  </xdr:twoCellAnchor>
  <xdr:twoCellAnchor>
    <xdr:from>
      <xdr:col>8</xdr:col>
      <xdr:colOff>206983</xdr:colOff>
      <xdr:row>43</xdr:row>
      <xdr:rowOff>102868</xdr:rowOff>
    </xdr:from>
    <xdr:to>
      <xdr:col>8</xdr:col>
      <xdr:colOff>505669</xdr:colOff>
      <xdr:row>43</xdr:row>
      <xdr:rowOff>103963</xdr:rowOff>
    </xdr:to>
    <xdr:cxnSp macro="">
      <xdr:nvCxnSpPr>
        <xdr:cNvPr id="231" name="Connettore 2 230"/>
        <xdr:cNvCxnSpPr>
          <a:stCxn id="161" idx="1"/>
          <a:endCxn id="234" idx="3"/>
        </xdr:cNvCxnSpPr>
      </xdr:nvCxnSpPr>
      <xdr:spPr>
        <a:xfrm flipH="1">
          <a:off x="5083783" y="8341993"/>
          <a:ext cx="298686" cy="1095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42</xdr:row>
      <xdr:rowOff>38100</xdr:rowOff>
    </xdr:from>
    <xdr:to>
      <xdr:col>8</xdr:col>
      <xdr:colOff>206983</xdr:colOff>
      <xdr:row>44</xdr:row>
      <xdr:rowOff>169825</xdr:rowOff>
    </xdr:to>
    <xdr:sp macro="" textlink="">
      <xdr:nvSpPr>
        <xdr:cNvPr id="234" name="Elaborazione alternativa 233"/>
        <xdr:cNvSpPr/>
      </xdr:nvSpPr>
      <xdr:spPr>
        <a:xfrm>
          <a:off x="4067175" y="8086725"/>
          <a:ext cx="1016608" cy="512725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Warning</a:t>
          </a:r>
        </a:p>
      </xdr:txBody>
    </xdr:sp>
    <xdr:clientData/>
  </xdr:twoCellAnchor>
  <xdr:twoCellAnchor>
    <xdr:from>
      <xdr:col>7</xdr:col>
      <xdr:colOff>308278</xdr:colOff>
      <xdr:row>38</xdr:row>
      <xdr:rowOff>18239</xdr:rowOff>
    </xdr:from>
    <xdr:to>
      <xdr:col>8</xdr:col>
      <xdr:colOff>593353</xdr:colOff>
      <xdr:row>42</xdr:row>
      <xdr:rowOff>38101</xdr:rowOff>
    </xdr:to>
    <xdr:cxnSp macro="">
      <xdr:nvCxnSpPr>
        <xdr:cNvPr id="237" name="Connettore 4 236"/>
        <xdr:cNvCxnSpPr>
          <a:stCxn id="234" idx="0"/>
          <a:endCxn id="157" idx="1"/>
        </xdr:cNvCxnSpPr>
      </xdr:nvCxnSpPr>
      <xdr:spPr>
        <a:xfrm rot="5400000" flipH="1" flipV="1">
          <a:off x="4631885" y="7248457"/>
          <a:ext cx="781862" cy="894675"/>
        </a:xfrm>
        <a:prstGeom prst="bentConnector2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75046</xdr:colOff>
      <xdr:row>74</xdr:row>
      <xdr:rowOff>180070</xdr:rowOff>
    </xdr:from>
    <xdr:to>
      <xdr:col>10</xdr:col>
      <xdr:colOff>75483</xdr:colOff>
      <xdr:row>76</xdr:row>
      <xdr:rowOff>67785</xdr:rowOff>
    </xdr:to>
    <xdr:cxnSp macro="">
      <xdr:nvCxnSpPr>
        <xdr:cNvPr id="283" name="Connettore 2 282"/>
        <xdr:cNvCxnSpPr>
          <a:stCxn id="206" idx="2"/>
          <a:endCxn id="284" idx="0"/>
        </xdr:cNvCxnSpPr>
      </xdr:nvCxnSpPr>
      <xdr:spPr>
        <a:xfrm flipH="1">
          <a:off x="6171046" y="14324695"/>
          <a:ext cx="437" cy="268715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515442</xdr:colOff>
      <xdr:row>76</xdr:row>
      <xdr:rowOff>67785</xdr:rowOff>
    </xdr:from>
    <xdr:to>
      <xdr:col>11</xdr:col>
      <xdr:colOff>215675</xdr:colOff>
      <xdr:row>79</xdr:row>
      <xdr:rowOff>182415</xdr:rowOff>
    </xdr:to>
    <xdr:sp macro="" textlink="">
      <xdr:nvSpPr>
        <xdr:cNvPr id="284" name="Rombo 283"/>
        <xdr:cNvSpPr/>
      </xdr:nvSpPr>
      <xdr:spPr>
        <a:xfrm>
          <a:off x="5392242" y="14593410"/>
          <a:ext cx="1557608" cy="686130"/>
        </a:xfrm>
        <a:prstGeom prst="diamond">
          <a:avLst/>
        </a:prstGeom>
        <a:noFill/>
        <a:ln>
          <a:solidFill>
            <a:srgbClr val="17375E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t-IT" sz="1500">
              <a:solidFill>
                <a:srgbClr val="17375E"/>
              </a:solidFill>
              <a:cs typeface="Arial" panose="020B0604020202020204" pitchFamily="34" charset="0"/>
            </a:rPr>
            <a:t>P&lt;P</a:t>
          </a:r>
          <a:r>
            <a:rPr lang="it-IT" sz="1500" baseline="-25000">
              <a:solidFill>
                <a:srgbClr val="17375E"/>
              </a:solidFill>
              <a:cs typeface="Arial" panose="020B0604020202020204" pitchFamily="34" charset="0"/>
            </a:rPr>
            <a:t>SLE</a:t>
          </a:r>
          <a:endParaRPr lang="en-GB" sz="1500" baseline="-25000">
            <a:solidFill>
              <a:srgbClr val="17375E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456226</xdr:colOff>
      <xdr:row>74</xdr:row>
      <xdr:rowOff>153292</xdr:rowOff>
    </xdr:from>
    <xdr:to>
      <xdr:col>10</xdr:col>
      <xdr:colOff>256363</xdr:colOff>
      <xdr:row>76</xdr:row>
      <xdr:rowOff>24412</xdr:rowOff>
    </xdr:to>
    <xdr:sp macro="" textlink="">
      <xdr:nvSpPr>
        <xdr:cNvPr id="285" name="Rettangolo 284"/>
        <xdr:cNvSpPr/>
      </xdr:nvSpPr>
      <xdr:spPr>
        <a:xfrm>
          <a:off x="5942626" y="14297917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215675</xdr:colOff>
      <xdr:row>78</xdr:row>
      <xdr:rowOff>20293</xdr:rowOff>
    </xdr:from>
    <xdr:to>
      <xdr:col>11</xdr:col>
      <xdr:colOff>535747</xdr:colOff>
      <xdr:row>78</xdr:row>
      <xdr:rowOff>29850</xdr:rowOff>
    </xdr:to>
    <xdr:cxnSp macro="">
      <xdr:nvCxnSpPr>
        <xdr:cNvPr id="286" name="Connettore 2 285"/>
        <xdr:cNvCxnSpPr>
          <a:stCxn id="284" idx="3"/>
          <a:endCxn id="288" idx="1"/>
        </xdr:cNvCxnSpPr>
      </xdr:nvCxnSpPr>
      <xdr:spPr>
        <a:xfrm flipV="1">
          <a:off x="6949850" y="14926918"/>
          <a:ext cx="320072" cy="9557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175819</xdr:colOff>
      <xdr:row>76</xdr:row>
      <xdr:rowOff>181874</xdr:rowOff>
    </xdr:from>
    <xdr:to>
      <xdr:col>11</xdr:col>
      <xdr:colOff>585556</xdr:colOff>
      <xdr:row>78</xdr:row>
      <xdr:rowOff>52994</xdr:rowOff>
    </xdr:to>
    <xdr:sp macro="" textlink="">
      <xdr:nvSpPr>
        <xdr:cNvPr id="287" name="Rettangolo 286"/>
        <xdr:cNvSpPr/>
      </xdr:nvSpPr>
      <xdr:spPr>
        <a:xfrm>
          <a:off x="6909994" y="14707499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535747</xdr:colOff>
      <xdr:row>76</xdr:row>
      <xdr:rowOff>156835</xdr:rowOff>
    </xdr:from>
    <xdr:to>
      <xdr:col>13</xdr:col>
      <xdr:colOff>336703</xdr:colOff>
      <xdr:row>79</xdr:row>
      <xdr:rowOff>74250</xdr:rowOff>
    </xdr:to>
    <xdr:sp macro="" textlink="">
      <xdr:nvSpPr>
        <xdr:cNvPr id="288" name="Elaborazione alternativa 287"/>
        <xdr:cNvSpPr/>
      </xdr:nvSpPr>
      <xdr:spPr>
        <a:xfrm>
          <a:off x="7269922" y="14682460"/>
          <a:ext cx="1020156" cy="488915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Liquid phase</a:t>
          </a:r>
        </a:p>
      </xdr:txBody>
    </xdr:sp>
    <xdr:clientData/>
  </xdr:twoCellAnchor>
  <xdr:twoCellAnchor>
    <xdr:from>
      <xdr:col>10</xdr:col>
      <xdr:colOff>75046</xdr:colOff>
      <xdr:row>79</xdr:row>
      <xdr:rowOff>182415</xdr:rowOff>
    </xdr:from>
    <xdr:to>
      <xdr:col>10</xdr:col>
      <xdr:colOff>78997</xdr:colOff>
      <xdr:row>81</xdr:row>
      <xdr:rowOff>38100</xdr:rowOff>
    </xdr:to>
    <xdr:cxnSp macro="">
      <xdr:nvCxnSpPr>
        <xdr:cNvPr id="289" name="Connettore 2 288"/>
        <xdr:cNvCxnSpPr>
          <a:stCxn id="284" idx="2"/>
          <a:endCxn id="291" idx="0"/>
        </xdr:cNvCxnSpPr>
      </xdr:nvCxnSpPr>
      <xdr:spPr>
        <a:xfrm>
          <a:off x="6171046" y="15279540"/>
          <a:ext cx="3951" cy="236685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79</xdr:row>
      <xdr:rowOff>142875</xdr:rowOff>
    </xdr:from>
    <xdr:to>
      <xdr:col>10</xdr:col>
      <xdr:colOff>285912</xdr:colOff>
      <xdr:row>81</xdr:row>
      <xdr:rowOff>13995</xdr:rowOff>
    </xdr:to>
    <xdr:sp macro="" textlink="">
      <xdr:nvSpPr>
        <xdr:cNvPr id="290" name="Rettangolo 289"/>
        <xdr:cNvSpPr/>
      </xdr:nvSpPr>
      <xdr:spPr>
        <a:xfrm>
          <a:off x="5943600" y="15240000"/>
          <a:ext cx="438312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8</xdr:col>
      <xdr:colOff>581025</xdr:colOff>
      <xdr:row>81</xdr:row>
      <xdr:rowOff>38100</xdr:rowOff>
    </xdr:from>
    <xdr:to>
      <xdr:col>11</xdr:col>
      <xdr:colOff>157994</xdr:colOff>
      <xdr:row>84</xdr:row>
      <xdr:rowOff>152730</xdr:rowOff>
    </xdr:to>
    <xdr:sp macro="" textlink="">
      <xdr:nvSpPr>
        <xdr:cNvPr id="291" name="Rombo 290"/>
        <xdr:cNvSpPr/>
      </xdr:nvSpPr>
      <xdr:spPr>
        <a:xfrm>
          <a:off x="5457825" y="15516225"/>
          <a:ext cx="1434344" cy="686130"/>
        </a:xfrm>
        <a:prstGeom prst="diamond">
          <a:avLst/>
        </a:prstGeom>
        <a:noFill/>
        <a:ln>
          <a:solidFill>
            <a:srgbClr val="17375E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t-IT" sz="1500">
              <a:solidFill>
                <a:srgbClr val="17375E"/>
              </a:solidFill>
              <a:cs typeface="Arial" panose="020B0604020202020204" pitchFamily="34" charset="0"/>
            </a:rPr>
            <a:t>P&gt;P</a:t>
          </a:r>
          <a:r>
            <a:rPr lang="it-IT" sz="1500" baseline="-25000">
              <a:solidFill>
                <a:srgbClr val="17375E"/>
              </a:solidFill>
              <a:cs typeface="Arial" panose="020B0604020202020204" pitchFamily="34" charset="0"/>
            </a:rPr>
            <a:t>SLE</a:t>
          </a:r>
          <a:endParaRPr lang="en-GB" sz="1500" baseline="-25000">
            <a:solidFill>
              <a:srgbClr val="17375E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157994</xdr:colOff>
      <xdr:row>82</xdr:row>
      <xdr:rowOff>180313</xdr:rowOff>
    </xdr:from>
    <xdr:to>
      <xdr:col>11</xdr:col>
      <xdr:colOff>523875</xdr:colOff>
      <xdr:row>83</xdr:row>
      <xdr:rowOff>165</xdr:rowOff>
    </xdr:to>
    <xdr:cxnSp macro="">
      <xdr:nvCxnSpPr>
        <xdr:cNvPr id="292" name="Connettore 2 291"/>
        <xdr:cNvCxnSpPr>
          <a:stCxn id="291" idx="3"/>
          <a:endCxn id="294" idx="1"/>
        </xdr:cNvCxnSpPr>
      </xdr:nvCxnSpPr>
      <xdr:spPr>
        <a:xfrm flipV="1">
          <a:off x="6892169" y="15848938"/>
          <a:ext cx="365881" cy="10352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192085</xdr:colOff>
      <xdr:row>81</xdr:row>
      <xdr:rowOff>151387</xdr:rowOff>
    </xdr:from>
    <xdr:to>
      <xdr:col>11</xdr:col>
      <xdr:colOff>601822</xdr:colOff>
      <xdr:row>83</xdr:row>
      <xdr:rowOff>22507</xdr:rowOff>
    </xdr:to>
    <xdr:sp macro="" textlink="">
      <xdr:nvSpPr>
        <xdr:cNvPr id="293" name="Rettangolo 292"/>
        <xdr:cNvSpPr/>
      </xdr:nvSpPr>
      <xdr:spPr>
        <a:xfrm>
          <a:off x="6926260" y="15629512"/>
          <a:ext cx="409737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Y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523875</xdr:colOff>
      <xdr:row>81</xdr:row>
      <xdr:rowOff>126355</xdr:rowOff>
    </xdr:from>
    <xdr:to>
      <xdr:col>13</xdr:col>
      <xdr:colOff>324831</xdr:colOff>
      <xdr:row>84</xdr:row>
      <xdr:rowOff>43770</xdr:rowOff>
    </xdr:to>
    <xdr:sp macro="" textlink="">
      <xdr:nvSpPr>
        <xdr:cNvPr id="294" name="Elaborazione alternativa 293"/>
        <xdr:cNvSpPr/>
      </xdr:nvSpPr>
      <xdr:spPr>
        <a:xfrm>
          <a:off x="7258050" y="15604480"/>
          <a:ext cx="1020156" cy="488915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Solid phase</a:t>
          </a:r>
        </a:p>
      </xdr:txBody>
    </xdr:sp>
    <xdr:clientData/>
  </xdr:twoCellAnchor>
  <xdr:twoCellAnchor>
    <xdr:from>
      <xdr:col>9</xdr:col>
      <xdr:colOff>353902</xdr:colOff>
      <xdr:row>86</xdr:row>
      <xdr:rowOff>28693</xdr:rowOff>
    </xdr:from>
    <xdr:to>
      <xdr:col>10</xdr:col>
      <xdr:colOff>412293</xdr:colOff>
      <xdr:row>88</xdr:row>
      <xdr:rowOff>66875</xdr:rowOff>
    </xdr:to>
    <xdr:sp macro="" textlink="">
      <xdr:nvSpPr>
        <xdr:cNvPr id="295" name="Elaborazione alternativa 294"/>
        <xdr:cNvSpPr/>
      </xdr:nvSpPr>
      <xdr:spPr>
        <a:xfrm>
          <a:off x="5840302" y="16459318"/>
          <a:ext cx="667991" cy="419182"/>
        </a:xfrm>
        <a:prstGeom prst="flowChartAlternateProcess">
          <a:avLst/>
        </a:prstGeom>
        <a:noFill/>
        <a:ln w="28575">
          <a:solidFill>
            <a:srgbClr val="FF66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500" b="1">
              <a:solidFill>
                <a:srgbClr val="FF6600"/>
              </a:solidFill>
              <a:latin typeface="Arial" panose="020B0604020202020204" pitchFamily="34" charset="0"/>
              <a:cs typeface="Arial" panose="020B0604020202020204" pitchFamily="34" charset="0"/>
            </a:rPr>
            <a:t>SLE</a:t>
          </a:r>
        </a:p>
      </xdr:txBody>
    </xdr:sp>
    <xdr:clientData/>
  </xdr:twoCellAnchor>
  <xdr:twoCellAnchor>
    <xdr:from>
      <xdr:col>10</xdr:col>
      <xdr:colOff>78298</xdr:colOff>
      <xdr:row>84</xdr:row>
      <xdr:rowOff>152730</xdr:rowOff>
    </xdr:from>
    <xdr:to>
      <xdr:col>10</xdr:col>
      <xdr:colOff>78997</xdr:colOff>
      <xdr:row>86</xdr:row>
      <xdr:rowOff>28693</xdr:rowOff>
    </xdr:to>
    <xdr:cxnSp macro="">
      <xdr:nvCxnSpPr>
        <xdr:cNvPr id="296" name="Connettore 2 295"/>
        <xdr:cNvCxnSpPr>
          <a:stCxn id="291" idx="2"/>
          <a:endCxn id="295" idx="0"/>
        </xdr:cNvCxnSpPr>
      </xdr:nvCxnSpPr>
      <xdr:spPr>
        <a:xfrm flipH="1">
          <a:off x="6174298" y="16202355"/>
          <a:ext cx="699" cy="256963"/>
        </a:xfrm>
        <a:prstGeom prst="straightConnector1">
          <a:avLst/>
        </a:prstGeom>
        <a:ln>
          <a:solidFill>
            <a:srgbClr val="17375E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408374</xdr:colOff>
      <xdr:row>84</xdr:row>
      <xdr:rowOff>154907</xdr:rowOff>
    </xdr:from>
    <xdr:to>
      <xdr:col>10</xdr:col>
      <xdr:colOff>237086</xdr:colOff>
      <xdr:row>86</xdr:row>
      <xdr:rowOff>26027</xdr:rowOff>
    </xdr:to>
    <xdr:sp macro="" textlink="">
      <xdr:nvSpPr>
        <xdr:cNvPr id="297" name="Rettangolo 296"/>
        <xdr:cNvSpPr/>
      </xdr:nvSpPr>
      <xdr:spPr>
        <a:xfrm>
          <a:off x="5894774" y="16204532"/>
          <a:ext cx="438312" cy="252120"/>
        </a:xfrm>
        <a:prstGeom prst="rect">
          <a:avLst/>
        </a:prstGeom>
        <a:effectLst/>
      </xdr:spPr>
      <xdr:txBody>
        <a:bodyPr wrap="square">
          <a:spAutoFit/>
        </a:bodyPr>
        <a:lstStyle>
          <a:defPPr>
            <a:defRPr lang="it-IT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ct val="110000"/>
            </a:lnSpc>
            <a:spcAft>
              <a:spcPts val="0"/>
            </a:spcAft>
            <a:tabLst>
              <a:tab pos="4508500" algn="r"/>
            </a:tabLst>
          </a:pPr>
          <a:r>
            <a:rPr lang="en-GB" sz="1000">
              <a:solidFill>
                <a:srgbClr val="002060"/>
              </a:solidFill>
              <a:latin typeface="Arial" panose="020B0604020202020204" pitchFamily="34" charset="0"/>
              <a:cs typeface="Times New Roman" panose="02020603050405020304" pitchFamily="18" charset="0"/>
            </a:rPr>
            <a:t>N</a:t>
          </a:r>
          <a:endParaRPr lang="it-IT" sz="1000">
            <a:solidFill>
              <a:srgbClr val="00206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B4:W408"/>
  <sheetViews>
    <sheetView topLeftCell="A39" workbookViewId="0">
      <selection activeCell="O89" sqref="O89"/>
    </sheetView>
  </sheetViews>
  <sheetFormatPr defaultRowHeight="15" x14ac:dyDescent="0.25"/>
  <cols>
    <col min="1" max="1" width="9.5703125" customWidth="1"/>
    <col min="5" max="5" width="9.7109375" customWidth="1"/>
    <col min="6" max="6" width="13.7109375" customWidth="1"/>
  </cols>
  <sheetData>
    <row r="4" spans="6:19" x14ac:dyDescent="0.25">
      <c r="I4" s="1" t="s">
        <v>3</v>
      </c>
      <c r="J4">
        <v>304.12819999999999</v>
      </c>
      <c r="S4" s="1"/>
    </row>
    <row r="5" spans="6:19" x14ac:dyDescent="0.25">
      <c r="H5" s="1" t="s">
        <v>1</v>
      </c>
      <c r="J5">
        <v>304.12819999999999</v>
      </c>
      <c r="K5" s="1" t="s">
        <v>4</v>
      </c>
      <c r="L5" s="1" t="s">
        <v>5</v>
      </c>
      <c r="M5" s="1" t="s">
        <v>6</v>
      </c>
      <c r="O5" s="1" t="s">
        <v>7</v>
      </c>
      <c r="P5" s="1" t="s">
        <v>8</v>
      </c>
      <c r="Q5" s="1" t="s">
        <v>9</v>
      </c>
      <c r="S5" s="1" t="s">
        <v>17</v>
      </c>
    </row>
    <row r="6" spans="6:19" x14ac:dyDescent="0.25">
      <c r="H6" s="2">
        <v>217</v>
      </c>
      <c r="J6">
        <v>304.12819999999999</v>
      </c>
      <c r="K6">
        <f>J4/H6</f>
        <v>1.4015124423963132</v>
      </c>
      <c r="L6">
        <f>K6^-1</f>
        <v>0.71351489273273583</v>
      </c>
      <c r="M6">
        <f>1-L6</f>
        <v>0.28648510726726417</v>
      </c>
      <c r="O6">
        <f>M6^1.5</f>
        <v>0.15333915849708246</v>
      </c>
      <c r="P6">
        <f>M6^2</f>
        <v>8.2073716685935855E-2</v>
      </c>
      <c r="Q6">
        <f>M6^4</f>
        <v>6.7360949706432652E-3</v>
      </c>
      <c r="S6">
        <v>7.3773</v>
      </c>
    </row>
    <row r="7" spans="6:19" x14ac:dyDescent="0.25">
      <c r="H7" s="2">
        <v>220</v>
      </c>
      <c r="J7">
        <v>304.12819999999999</v>
      </c>
      <c r="K7">
        <f>J4/H7</f>
        <v>1.3824009090909091</v>
      </c>
      <c r="L7">
        <f t="shared" ref="L7:L36" si="0">K7^-1</f>
        <v>0.72337915392258922</v>
      </c>
      <c r="M7">
        <f t="shared" ref="M7:M36" si="1">1-L7</f>
        <v>0.27662084607741078</v>
      </c>
      <c r="O7">
        <f t="shared" ref="O7:O36" si="2">M7^1.5</f>
        <v>0.1454880617238434</v>
      </c>
      <c r="P7">
        <f t="shared" ref="P7:P36" si="3">M7^2</f>
        <v>7.6519092484582579E-2</v>
      </c>
      <c r="Q7">
        <f t="shared" ref="Q7:Q36" si="4">M7^4</f>
        <v>5.8551715146641023E-3</v>
      </c>
      <c r="S7">
        <v>7.3773</v>
      </c>
    </row>
    <row r="8" spans="6:19" x14ac:dyDescent="0.25">
      <c r="F8" s="8">
        <v>225</v>
      </c>
      <c r="H8" s="8">
        <v>225</v>
      </c>
      <c r="J8">
        <v>304.12819999999999</v>
      </c>
      <c r="K8">
        <f>J4/H8</f>
        <v>1.3516808888888889</v>
      </c>
      <c r="L8">
        <f t="shared" si="0"/>
        <v>0.7398195892390117</v>
      </c>
      <c r="M8">
        <f t="shared" si="1"/>
        <v>0.2601804107609883</v>
      </c>
      <c r="O8">
        <f t="shared" si="2"/>
        <v>0.13271251898624237</v>
      </c>
      <c r="P8">
        <f t="shared" si="3"/>
        <v>6.7693846143756592E-2</v>
      </c>
      <c r="Q8">
        <f t="shared" si="4"/>
        <v>4.5824568057345888E-3</v>
      </c>
      <c r="S8">
        <v>7.3773</v>
      </c>
    </row>
    <row r="9" spans="6:19" x14ac:dyDescent="0.25">
      <c r="F9" s="8">
        <v>230</v>
      </c>
      <c r="H9" s="8">
        <v>230</v>
      </c>
      <c r="J9">
        <v>304.12819999999999</v>
      </c>
      <c r="K9">
        <f>J4/H9</f>
        <v>1.3222965217391305</v>
      </c>
      <c r="L9">
        <f t="shared" si="0"/>
        <v>0.75626002455543417</v>
      </c>
      <c r="M9">
        <f t="shared" si="1"/>
        <v>0.24373997544456583</v>
      </c>
      <c r="O9">
        <f t="shared" si="2"/>
        <v>0.12033449633903512</v>
      </c>
      <c r="P9">
        <f t="shared" si="3"/>
        <v>5.9409175629717551E-2</v>
      </c>
      <c r="Q9">
        <f t="shared" si="4"/>
        <v>3.5294501490026257E-3</v>
      </c>
      <c r="S9">
        <v>7.3773</v>
      </c>
    </row>
    <row r="10" spans="6:19" x14ac:dyDescent="0.25">
      <c r="F10" s="8">
        <v>235</v>
      </c>
      <c r="H10" s="8">
        <v>235</v>
      </c>
      <c r="K10">
        <f>J4/H10</f>
        <v>1.2941625531914893</v>
      </c>
      <c r="L10">
        <f t="shared" si="0"/>
        <v>0.77270045987185665</v>
      </c>
      <c r="M10">
        <f t="shared" si="1"/>
        <v>0.22729954012814335</v>
      </c>
      <c r="O10">
        <f t="shared" si="2"/>
        <v>0.1083671958615969</v>
      </c>
      <c r="P10">
        <f t="shared" si="3"/>
        <v>5.1665080942465448E-2</v>
      </c>
      <c r="Q10">
        <f t="shared" si="4"/>
        <v>2.6692805887915064E-3</v>
      </c>
      <c r="S10">
        <v>7.3773</v>
      </c>
    </row>
    <row r="11" spans="6:19" x14ac:dyDescent="0.25">
      <c r="F11" s="8">
        <v>240</v>
      </c>
      <c r="H11" s="8">
        <v>240</v>
      </c>
      <c r="K11">
        <f>J4/H11</f>
        <v>1.2672008333333333</v>
      </c>
      <c r="L11">
        <f t="shared" si="0"/>
        <v>0.78914089518827912</v>
      </c>
      <c r="M11">
        <f t="shared" si="1"/>
        <v>0.21085910481172088</v>
      </c>
      <c r="O11">
        <f t="shared" si="2"/>
        <v>9.6825230075333849E-2</v>
      </c>
      <c r="P11">
        <f t="shared" si="3"/>
        <v>4.4461562082000292E-2</v>
      </c>
      <c r="Q11">
        <f t="shared" si="4"/>
        <v>1.9768305027715663E-3</v>
      </c>
      <c r="S11">
        <v>7.3773</v>
      </c>
    </row>
    <row r="12" spans="6:19" x14ac:dyDescent="0.25">
      <c r="F12" s="8">
        <v>245</v>
      </c>
      <c r="H12" s="8">
        <v>245</v>
      </c>
      <c r="K12">
        <f>J4/H12</f>
        <v>1.2413395918367347</v>
      </c>
      <c r="L12">
        <f t="shared" si="0"/>
        <v>0.8055813305047016</v>
      </c>
      <c r="M12">
        <f t="shared" si="1"/>
        <v>0.1944186694952984</v>
      </c>
      <c r="O12">
        <f t="shared" si="2"/>
        <v>8.57248926749659E-2</v>
      </c>
      <c r="P12">
        <f t="shared" si="3"/>
        <v>3.7798619048322074E-2</v>
      </c>
      <c r="Q12">
        <f t="shared" si="4"/>
        <v>1.4287356019601764E-3</v>
      </c>
      <c r="S12">
        <v>7.3773</v>
      </c>
    </row>
    <row r="13" spans="6:19" x14ac:dyDescent="0.25">
      <c r="F13" s="8">
        <v>250</v>
      </c>
      <c r="H13" s="8">
        <v>250</v>
      </c>
      <c r="K13">
        <f>J4/H13</f>
        <v>1.2165128000000001</v>
      </c>
      <c r="L13">
        <f t="shared" si="0"/>
        <v>0.82202176582112407</v>
      </c>
      <c r="M13">
        <f t="shared" si="1"/>
        <v>0.17797823417887593</v>
      </c>
      <c r="O13">
        <f t="shared" si="2"/>
        <v>7.5084508176741893E-2</v>
      </c>
      <c r="P13">
        <f t="shared" si="3"/>
        <v>3.1676251841430803E-2</v>
      </c>
      <c r="Q13">
        <f t="shared" si="4"/>
        <v>1.0033849307217483E-3</v>
      </c>
      <c r="S13">
        <v>7.3773</v>
      </c>
    </row>
    <row r="14" spans="6:19" x14ac:dyDescent="0.25">
      <c r="F14" s="8">
        <v>255</v>
      </c>
      <c r="H14" s="8">
        <v>255</v>
      </c>
      <c r="K14">
        <f>J4/H14</f>
        <v>1.1926596078431373</v>
      </c>
      <c r="L14">
        <f t="shared" si="0"/>
        <v>0.83846220113754655</v>
      </c>
      <c r="M14">
        <f t="shared" si="1"/>
        <v>0.16153779886245345</v>
      </c>
      <c r="O14">
        <f t="shared" si="2"/>
        <v>6.4924892802576115E-2</v>
      </c>
      <c r="P14">
        <f t="shared" si="3"/>
        <v>2.6094460461326466E-2</v>
      </c>
      <c r="Q14">
        <f t="shared" si="4"/>
        <v>6.809208667677303E-4</v>
      </c>
      <c r="S14">
        <v>7.3773</v>
      </c>
    </row>
    <row r="15" spans="6:19" x14ac:dyDescent="0.25">
      <c r="F15" s="8">
        <v>260</v>
      </c>
      <c r="H15" s="8">
        <v>260</v>
      </c>
      <c r="K15">
        <f>J4/H15</f>
        <v>1.1697238461538462</v>
      </c>
      <c r="L15">
        <f t="shared" si="0"/>
        <v>0.85490263645396902</v>
      </c>
      <c r="M15">
        <f t="shared" si="1"/>
        <v>0.14509736354603098</v>
      </c>
      <c r="O15">
        <f t="shared" si="2"/>
        <v>5.5269976752673061E-2</v>
      </c>
      <c r="P15">
        <f t="shared" si="3"/>
        <v>2.105324490800908E-2</v>
      </c>
      <c r="Q15">
        <f t="shared" si="4"/>
        <v>4.4323912115661025E-4</v>
      </c>
      <c r="S15">
        <v>7.3773</v>
      </c>
    </row>
    <row r="16" spans="6:19" x14ac:dyDescent="0.25">
      <c r="F16" s="8">
        <v>265</v>
      </c>
      <c r="H16" s="8">
        <v>265</v>
      </c>
      <c r="K16">
        <f>J4/H16</f>
        <v>1.1476535849056604</v>
      </c>
      <c r="L16">
        <f t="shared" si="0"/>
        <v>0.87134307177039161</v>
      </c>
      <c r="M16">
        <f t="shared" si="1"/>
        <v>0.12865692822960839</v>
      </c>
      <c r="O16">
        <f t="shared" si="2"/>
        <v>4.6147668812698828E-2</v>
      </c>
      <c r="P16">
        <f t="shared" si="3"/>
        <v>1.6552605181478604E-2</v>
      </c>
      <c r="Q16">
        <f t="shared" si="4"/>
        <v>2.7398873829391235E-4</v>
      </c>
      <c r="S16">
        <v>7.3773</v>
      </c>
    </row>
    <row r="17" spans="6:19" x14ac:dyDescent="0.25">
      <c r="F17" s="8">
        <v>270</v>
      </c>
      <c r="H17" s="8">
        <v>270</v>
      </c>
      <c r="K17">
        <f>J4/H17</f>
        <v>1.1264007407407408</v>
      </c>
      <c r="L17">
        <f t="shared" si="0"/>
        <v>0.88778350708681397</v>
      </c>
      <c r="M17">
        <f t="shared" si="1"/>
        <v>0.11221649291318603</v>
      </c>
      <c r="O17">
        <f t="shared" si="2"/>
        <v>3.7591100269888787E-2</v>
      </c>
      <c r="P17">
        <f t="shared" si="3"/>
        <v>1.2592541281735131E-2</v>
      </c>
      <c r="Q17">
        <f t="shared" si="4"/>
        <v>1.5857209593220345E-4</v>
      </c>
      <c r="S17">
        <v>7.3773</v>
      </c>
    </row>
    <row r="18" spans="6:19" x14ac:dyDescent="0.25">
      <c r="F18" s="8">
        <v>275</v>
      </c>
      <c r="H18" s="8">
        <v>275</v>
      </c>
      <c r="K18">
        <f>J4/H18</f>
        <v>1.1059207272727272</v>
      </c>
      <c r="L18">
        <f t="shared" si="0"/>
        <v>0.90422394240323667</v>
      </c>
      <c r="M18">
        <f t="shared" si="1"/>
        <v>9.5776057596763331E-2</v>
      </c>
      <c r="O18">
        <f t="shared" si="2"/>
        <v>2.9640493795855472E-2</v>
      </c>
      <c r="P18">
        <f t="shared" si="3"/>
        <v>9.1730532087785262E-3</v>
      </c>
      <c r="Q18">
        <f t="shared" si="4"/>
        <v>8.4144905171082009E-5</v>
      </c>
      <c r="S18">
        <v>7.3773</v>
      </c>
    </row>
    <row r="19" spans="6:19" x14ac:dyDescent="0.25">
      <c r="F19" s="8"/>
      <c r="H19" s="8">
        <v>280</v>
      </c>
      <c r="K19">
        <f>J4/H19</f>
        <v>1.0861721428571429</v>
      </c>
      <c r="L19">
        <f t="shared" si="0"/>
        <v>0.92066437771965892</v>
      </c>
      <c r="M19">
        <f t="shared" si="1"/>
        <v>7.9335622280341078E-2</v>
      </c>
      <c r="O19">
        <f t="shared" si="2"/>
        <v>2.2346131432280765E-2</v>
      </c>
      <c r="P19">
        <f t="shared" si="3"/>
        <v>6.2941409626089519E-3</v>
      </c>
      <c r="Q19">
        <f t="shared" si="4"/>
        <v>3.9616210457191945E-5</v>
      </c>
      <c r="S19">
        <v>7.3773</v>
      </c>
    </row>
    <row r="20" spans="6:19" x14ac:dyDescent="0.25">
      <c r="F20" s="8"/>
      <c r="H20" s="8">
        <v>285</v>
      </c>
      <c r="K20">
        <f>J4/H20</f>
        <v>1.0671164912280702</v>
      </c>
      <c r="L20">
        <f t="shared" si="0"/>
        <v>0.93710481303608151</v>
      </c>
      <c r="M20">
        <f t="shared" si="1"/>
        <v>6.2895186963918492E-2</v>
      </c>
      <c r="O20">
        <f t="shared" si="2"/>
        <v>1.5773429124287908E-2</v>
      </c>
      <c r="P20">
        <f t="shared" si="3"/>
        <v>3.9558045432262628E-3</v>
      </c>
      <c r="Q20">
        <f t="shared" si="4"/>
        <v>1.5648389584209541E-5</v>
      </c>
      <c r="S20">
        <v>7.3773</v>
      </c>
    </row>
    <row r="21" spans="6:19" x14ac:dyDescent="0.25">
      <c r="F21" s="8"/>
      <c r="H21" s="8">
        <v>290</v>
      </c>
      <c r="K21">
        <f>J4/H21</f>
        <v>1.0487179310344827</v>
      </c>
      <c r="L21">
        <f t="shared" si="0"/>
        <v>0.95354524835250398</v>
      </c>
      <c r="M21">
        <f t="shared" si="1"/>
        <v>4.6454751647496018E-2</v>
      </c>
      <c r="O21">
        <f t="shared" si="2"/>
        <v>1.0012561898481456E-2</v>
      </c>
      <c r="P21">
        <f t="shared" si="3"/>
        <v>2.158043950630534E-3</v>
      </c>
      <c r="Q21">
        <f t="shared" si="4"/>
        <v>4.6571536928530429E-6</v>
      </c>
      <c r="S21">
        <v>7.3773</v>
      </c>
    </row>
    <row r="22" spans="6:19" x14ac:dyDescent="0.25">
      <c r="F22" s="8"/>
      <c r="H22" s="8">
        <v>295</v>
      </c>
      <c r="K22">
        <f>J4/H22</f>
        <v>1.0309430508474575</v>
      </c>
      <c r="L22">
        <f t="shared" si="0"/>
        <v>0.96998568366892657</v>
      </c>
      <c r="M22">
        <f t="shared" si="1"/>
        <v>3.0014316331073432E-2</v>
      </c>
      <c r="O22">
        <f t="shared" si="2"/>
        <v>5.1998723583365674E-3</v>
      </c>
      <c r="P22">
        <f t="shared" si="3"/>
        <v>9.008591848217413E-4</v>
      </c>
      <c r="Q22">
        <f t="shared" si="4"/>
        <v>8.1154727087769229E-7</v>
      </c>
      <c r="S22">
        <v>7.3773</v>
      </c>
    </row>
    <row r="23" spans="6:19" x14ac:dyDescent="0.25">
      <c r="H23" s="8">
        <v>297</v>
      </c>
      <c r="K23">
        <f>J4/H23</f>
        <v>1.0240006734006735</v>
      </c>
      <c r="L23">
        <f t="shared" si="0"/>
        <v>0.97656185779549542</v>
      </c>
      <c r="M23">
        <f t="shared" si="1"/>
        <v>2.3438142204504575E-2</v>
      </c>
      <c r="O23">
        <f t="shared" si="2"/>
        <v>3.5882672170415332E-3</v>
      </c>
      <c r="P23">
        <f t="shared" si="3"/>
        <v>5.4934650999857856E-4</v>
      </c>
      <c r="Q23">
        <f t="shared" si="4"/>
        <v>3.0178158804761838E-7</v>
      </c>
      <c r="S23">
        <v>7.3773</v>
      </c>
    </row>
    <row r="24" spans="6:19" x14ac:dyDescent="0.25">
      <c r="H24" s="8">
        <v>299</v>
      </c>
      <c r="K24">
        <f>J4/H24</f>
        <v>1.0171511705685619</v>
      </c>
      <c r="L24">
        <f t="shared" si="0"/>
        <v>0.9831380319220645</v>
      </c>
      <c r="M24">
        <f t="shared" si="1"/>
        <v>1.6861968077935496E-2</v>
      </c>
      <c r="O24">
        <f t="shared" si="2"/>
        <v>2.1895879491495261E-3</v>
      </c>
      <c r="P24">
        <f t="shared" si="3"/>
        <v>2.8432596746131569E-4</v>
      </c>
      <c r="Q24">
        <f t="shared" si="4"/>
        <v>8.0841255772813142E-8</v>
      </c>
      <c r="S24">
        <v>7.3773</v>
      </c>
    </row>
    <row r="25" spans="6:19" x14ac:dyDescent="0.25">
      <c r="H25" s="8">
        <v>300</v>
      </c>
      <c r="K25">
        <f>J4/H25</f>
        <v>1.0137606666666665</v>
      </c>
      <c r="L25">
        <f t="shared" si="0"/>
        <v>0.98642611898534904</v>
      </c>
      <c r="M25">
        <f t="shared" si="1"/>
        <v>1.3573881014650957E-2</v>
      </c>
      <c r="O25">
        <f t="shared" si="2"/>
        <v>1.5814521533729872E-3</v>
      </c>
      <c r="P25">
        <f t="shared" si="3"/>
        <v>1.8425024579990171E-4</v>
      </c>
      <c r="Q25">
        <f t="shared" si="4"/>
        <v>3.3948153077324195E-8</v>
      </c>
      <c r="S25">
        <v>7.3773</v>
      </c>
    </row>
    <row r="26" spans="6:19" x14ac:dyDescent="0.25">
      <c r="H26" s="8">
        <v>301</v>
      </c>
      <c r="K26">
        <f>J4/H26</f>
        <v>1.0103926910299004</v>
      </c>
      <c r="L26">
        <f t="shared" si="0"/>
        <v>0.98971420604863336</v>
      </c>
      <c r="M26">
        <f t="shared" si="1"/>
        <v>1.028579395136664E-2</v>
      </c>
      <c r="O26">
        <f t="shared" si="2"/>
        <v>1.0431739423603713E-3</v>
      </c>
      <c r="P26">
        <f t="shared" si="3"/>
        <v>1.0579755720997055E-4</v>
      </c>
      <c r="Q26">
        <f t="shared" si="4"/>
        <v>1.1193123111596992E-8</v>
      </c>
      <c r="S26">
        <v>7.3773</v>
      </c>
    </row>
    <row r="27" spans="6:19" x14ac:dyDescent="0.25">
      <c r="H27" s="8">
        <v>302</v>
      </c>
      <c r="K27">
        <f>J4/H27</f>
        <v>1.0070470198675496</v>
      </c>
      <c r="L27">
        <f t="shared" si="0"/>
        <v>0.99300229311191801</v>
      </c>
      <c r="M27">
        <f t="shared" si="1"/>
        <v>6.9977068880819893E-3</v>
      </c>
      <c r="O27">
        <f t="shared" si="2"/>
        <v>5.8537425888195824E-4</v>
      </c>
      <c r="P27">
        <f t="shared" si="3"/>
        <v>4.8967901691510121E-5</v>
      </c>
      <c r="Q27">
        <f t="shared" si="4"/>
        <v>2.3978553960693999E-9</v>
      </c>
      <c r="S27">
        <v>7.3773</v>
      </c>
    </row>
    <row r="28" spans="6:19" x14ac:dyDescent="0.25">
      <c r="H28" s="8">
        <v>302.5</v>
      </c>
      <c r="K28">
        <f>J6/H28</f>
        <v>1.0053824793388431</v>
      </c>
      <c r="L28">
        <f t="shared" si="0"/>
        <v>0.99464633664356006</v>
      </c>
      <c r="M28">
        <f t="shared" si="1"/>
        <v>5.3536633564399416E-3</v>
      </c>
      <c r="O28">
        <f t="shared" si="2"/>
        <v>3.9172075985600383E-4</v>
      </c>
      <c r="P28">
        <f t="shared" si="3"/>
        <v>2.8661711334087782E-5</v>
      </c>
      <c r="Q28">
        <f t="shared" si="4"/>
        <v>8.21493696598576E-10</v>
      </c>
      <c r="S28">
        <v>7.3773</v>
      </c>
    </row>
    <row r="29" spans="6:19" x14ac:dyDescent="0.25">
      <c r="H29" s="8">
        <v>303</v>
      </c>
      <c r="K29">
        <f>J7/H29</f>
        <v>1.0037234323432342</v>
      </c>
      <c r="L29">
        <f t="shared" si="0"/>
        <v>0.99629038017520255</v>
      </c>
      <c r="M29">
        <f t="shared" si="1"/>
        <v>3.7096198247974499E-3</v>
      </c>
      <c r="O29">
        <f t="shared" si="2"/>
        <v>2.2594051053337694E-4</v>
      </c>
      <c r="P29">
        <f t="shared" si="3"/>
        <v>1.3761279244530262E-5</v>
      </c>
      <c r="Q29">
        <f t="shared" si="4"/>
        <v>1.8937280644593939E-10</v>
      </c>
      <c r="S29">
        <v>7.3773</v>
      </c>
    </row>
    <row r="30" spans="6:19" x14ac:dyDescent="0.25">
      <c r="H30" s="8">
        <v>303.39999999999998</v>
      </c>
      <c r="K30">
        <f>J8/H30</f>
        <v>1.0024001318391562</v>
      </c>
      <c r="L30">
        <f t="shared" si="0"/>
        <v>0.99760561500051625</v>
      </c>
      <c r="M30">
        <f t="shared" si="1"/>
        <v>2.3943849994837452E-3</v>
      </c>
      <c r="O30">
        <f t="shared" si="2"/>
        <v>1.1716313250041512E-4</v>
      </c>
      <c r="P30">
        <f t="shared" si="3"/>
        <v>5.7330795257527747E-6</v>
      </c>
      <c r="Q30">
        <f t="shared" si="4"/>
        <v>3.2868200848605657E-11</v>
      </c>
      <c r="S30">
        <v>7.3773</v>
      </c>
    </row>
    <row r="31" spans="6:19" x14ac:dyDescent="0.25">
      <c r="H31" s="8">
        <v>303.60000000000002</v>
      </c>
      <c r="K31">
        <f>J9/H31</f>
        <v>1.0017397891963109</v>
      </c>
      <c r="L31">
        <f t="shared" si="0"/>
        <v>0.99826323241317316</v>
      </c>
      <c r="M31">
        <f t="shared" si="1"/>
        <v>1.7367675868268373E-3</v>
      </c>
      <c r="O31">
        <f t="shared" si="2"/>
        <v>7.237899657359481E-5</v>
      </c>
      <c r="P31">
        <f t="shared" si="3"/>
        <v>3.0163616506523158E-6</v>
      </c>
      <c r="Q31">
        <f t="shared" si="4"/>
        <v>9.098437607525963E-12</v>
      </c>
      <c r="S31">
        <v>7.3773</v>
      </c>
    </row>
    <row r="32" spans="6:19" x14ac:dyDescent="0.25">
      <c r="H32" s="8">
        <v>303.8</v>
      </c>
      <c r="K32">
        <f>J4/H32</f>
        <v>1.0010803159973667</v>
      </c>
      <c r="L32">
        <f t="shared" si="0"/>
        <v>0.99892084982583007</v>
      </c>
      <c r="M32">
        <f t="shared" si="1"/>
        <v>1.0791501741699294E-3</v>
      </c>
      <c r="O32">
        <f t="shared" si="2"/>
        <v>3.5450537778465918E-5</v>
      </c>
      <c r="P32">
        <f t="shared" si="3"/>
        <v>1.1645650984109889E-6</v>
      </c>
      <c r="Q32">
        <f t="shared" si="4"/>
        <v>1.3562118684369964E-12</v>
      </c>
      <c r="S32">
        <v>7.3773</v>
      </c>
    </row>
    <row r="33" spans="8:19" x14ac:dyDescent="0.25">
      <c r="H33" s="8">
        <v>303.89999999999998</v>
      </c>
      <c r="K33">
        <f>J5/H33</f>
        <v>1.0007509049029286</v>
      </c>
      <c r="L33">
        <f t="shared" si="0"/>
        <v>0.99924965853215841</v>
      </c>
      <c r="M33">
        <f t="shared" si="1"/>
        <v>7.5034146784158651E-4</v>
      </c>
      <c r="O33">
        <f t="shared" si="2"/>
        <v>2.0553624725900261E-5</v>
      </c>
      <c r="P33">
        <f t="shared" si="3"/>
        <v>5.6301231836266663E-7</v>
      </c>
      <c r="Q33">
        <f t="shared" si="4"/>
        <v>3.1698287062810471E-13</v>
      </c>
      <c r="S33">
        <v>7.3773</v>
      </c>
    </row>
    <row r="34" spans="8:19" x14ac:dyDescent="0.25">
      <c r="H34" s="8">
        <v>304</v>
      </c>
      <c r="K34">
        <f>J6/H34</f>
        <v>1.0004217105263158</v>
      </c>
      <c r="L34">
        <f t="shared" si="0"/>
        <v>0.99957846723848698</v>
      </c>
      <c r="M34">
        <f t="shared" si="1"/>
        <v>4.2153276151302155E-4</v>
      </c>
      <c r="O34">
        <f t="shared" si="2"/>
        <v>8.6546000014208928E-6</v>
      </c>
      <c r="P34">
        <f t="shared" si="3"/>
        <v>1.7768986902879391E-7</v>
      </c>
      <c r="Q34">
        <f t="shared" si="4"/>
        <v>3.1573689555469934E-14</v>
      </c>
      <c r="S34">
        <v>7.3773</v>
      </c>
    </row>
    <row r="35" spans="8:19" x14ac:dyDescent="0.25">
      <c r="H35" s="8">
        <v>304.10000000000002</v>
      </c>
      <c r="K35">
        <f>J7/H35</f>
        <v>1.0000927326537323</v>
      </c>
      <c r="L35">
        <f t="shared" si="0"/>
        <v>0.99990727594481532</v>
      </c>
      <c r="M35">
        <f t="shared" si="1"/>
        <v>9.2724055184678633E-5</v>
      </c>
      <c r="O35">
        <f t="shared" si="2"/>
        <v>8.9287081006764696E-7</v>
      </c>
      <c r="P35">
        <f t="shared" si="3"/>
        <v>8.5977504098913283E-9</v>
      </c>
      <c r="Q35">
        <f t="shared" si="4"/>
        <v>7.3921312110786505E-17</v>
      </c>
      <c r="S35">
        <v>7.3773</v>
      </c>
    </row>
    <row r="36" spans="8:19" x14ac:dyDescent="0.25">
      <c r="H36" s="3">
        <v>304.12819999999999</v>
      </c>
      <c r="K36">
        <f>J4/H36</f>
        <v>1</v>
      </c>
      <c r="L36">
        <f t="shared" si="0"/>
        <v>1</v>
      </c>
      <c r="M36">
        <f t="shared" si="1"/>
        <v>0</v>
      </c>
      <c r="O36">
        <f t="shared" si="2"/>
        <v>0</v>
      </c>
      <c r="P36">
        <f t="shared" si="3"/>
        <v>0</v>
      </c>
      <c r="Q36">
        <f t="shared" si="4"/>
        <v>0</v>
      </c>
      <c r="S36">
        <v>7.3773</v>
      </c>
    </row>
    <row r="37" spans="8:19" x14ac:dyDescent="0.25">
      <c r="H37" s="3"/>
    </row>
    <row r="38" spans="8:19" x14ac:dyDescent="0.25">
      <c r="P38" s="1" t="s">
        <v>1</v>
      </c>
      <c r="Q38" s="1" t="s">
        <v>18</v>
      </c>
    </row>
    <row r="39" spans="8:19" x14ac:dyDescent="0.25">
      <c r="H39" s="1" t="s">
        <v>10</v>
      </c>
      <c r="I39" s="1" t="s">
        <v>11</v>
      </c>
      <c r="J39" s="1" t="s">
        <v>12</v>
      </c>
      <c r="K39" s="1" t="s">
        <v>13</v>
      </c>
      <c r="M39" s="1" t="s">
        <v>14</v>
      </c>
      <c r="O39" s="5" t="s">
        <v>15</v>
      </c>
      <c r="P39" s="3">
        <v>216.59200000000001</v>
      </c>
      <c r="Q39">
        <v>0.51795000000000002</v>
      </c>
    </row>
    <row r="40" spans="8:19" x14ac:dyDescent="0.25">
      <c r="H40">
        <f>-7.0602087*M6</f>
        <v>-2.0226446467487715</v>
      </c>
      <c r="I40">
        <f>1.9391218*O6</f>
        <v>0.29734330503534784</v>
      </c>
      <c r="J40">
        <f t="shared" ref="J40:J52" si="5">-1.6463597*P6</f>
        <v>-0.13512285958094236</v>
      </c>
      <c r="K40">
        <f t="shared" ref="K40:K52" si="6">-3.2995634*Q6</f>
        <v>-2.2226172424058593E-2</v>
      </c>
      <c r="M40">
        <f>K6*(SUM(H40,I40,J40,K40))</f>
        <v>-2.6385579234484413</v>
      </c>
      <c r="O40">
        <f>EXP(M40)</f>
        <v>7.1464252206488485E-2</v>
      </c>
      <c r="P40" s="2">
        <v>217</v>
      </c>
      <c r="Q40">
        <f>S6*O40</f>
        <v>0.52721322780292745</v>
      </c>
      <c r="R40" s="2"/>
    </row>
    <row r="41" spans="8:19" x14ac:dyDescent="0.25">
      <c r="H41">
        <f t="shared" ref="H41:H70" si="7">-7.0602087*M7</f>
        <v>-1.9530009040770964</v>
      </c>
      <c r="I41">
        <f t="shared" ref="I41:I70" si="8">1.9391218*O7</f>
        <v>0.28211907212845033</v>
      </c>
      <c r="J41">
        <f t="shared" si="5"/>
        <v>-0.12597795014718963</v>
      </c>
      <c r="K41">
        <f t="shared" si="6"/>
        <v>-1.9319509630508234E-2</v>
      </c>
      <c r="M41">
        <f t="shared" ref="M41:M70" si="9">K7*(SUM(H41,I41,J41,K41))</f>
        <v>-2.5106879039545813</v>
      </c>
      <c r="O41">
        <f t="shared" ref="O41:O70" si="10">EXP(M41)</f>
        <v>8.1212353721874603E-2</v>
      </c>
      <c r="P41" s="2">
        <v>220</v>
      </c>
      <c r="Q41">
        <f t="shared" ref="Q41:Q70" si="11">S7*O41</f>
        <v>0.59912789711238545</v>
      </c>
      <c r="R41" s="2"/>
    </row>
    <row r="42" spans="8:19" x14ac:dyDescent="0.25">
      <c r="H42">
        <f t="shared" si="7"/>
        <v>-1.8369279996243031</v>
      </c>
      <c r="I42">
        <f t="shared" si="8"/>
        <v>0.25734573869913646</v>
      </c>
      <c r="J42">
        <f t="shared" si="5"/>
        <v>-0.11144842022908126</v>
      </c>
      <c r="K42">
        <f t="shared" si="6"/>
        <v>-1.5120106758282759E-2</v>
      </c>
      <c r="M42">
        <f t="shared" si="9"/>
        <v>-2.3061714135840874</v>
      </c>
      <c r="O42">
        <f t="shared" si="10"/>
        <v>9.9642010257683947E-2</v>
      </c>
      <c r="P42" s="8">
        <v>225</v>
      </c>
      <c r="Q42">
        <f t="shared" si="11"/>
        <v>0.73508900227401175</v>
      </c>
      <c r="R42" s="2"/>
    </row>
    <row r="43" spans="8:19" x14ac:dyDescent="0.25">
      <c r="H43">
        <f t="shared" si="7"/>
        <v>-1.7208550951715098</v>
      </c>
      <c r="I43">
        <f t="shared" si="8"/>
        <v>0.23334324514304317</v>
      </c>
      <c r="J43">
        <f t="shared" si="5"/>
        <v>-9.78088725669891E-2</v>
      </c>
      <c r="K43">
        <f t="shared" si="6"/>
        <v>-1.1645644533773611E-2</v>
      </c>
      <c r="M43">
        <f t="shared" si="9"/>
        <v>-2.111663072589355</v>
      </c>
      <c r="O43">
        <f t="shared" si="10"/>
        <v>0.12103650646232836</v>
      </c>
      <c r="P43" s="8">
        <v>230</v>
      </c>
      <c r="Q43">
        <f t="shared" si="11"/>
        <v>0.89292261912453497</v>
      </c>
      <c r="R43" s="3"/>
    </row>
    <row r="44" spans="8:19" x14ac:dyDescent="0.25">
      <c r="H44">
        <f t="shared" si="7"/>
        <v>-1.6047821907187168</v>
      </c>
      <c r="I44">
        <f t="shared" si="8"/>
        <v>0.21013719190009233</v>
      </c>
      <c r="J44">
        <f t="shared" si="5"/>
        <v>-8.5059307160913131E-2</v>
      </c>
      <c r="K44">
        <f t="shared" si="6"/>
        <v>-8.8074605351069046E-3</v>
      </c>
      <c r="M44">
        <f t="shared" si="9"/>
        <v>-1.9263761882081665</v>
      </c>
      <c r="O44">
        <f t="shared" si="10"/>
        <v>0.14567514243304813</v>
      </c>
      <c r="P44" s="8">
        <v>235</v>
      </c>
      <c r="Q44">
        <f t="shared" si="11"/>
        <v>1.0746892282713261</v>
      </c>
      <c r="R44" s="3"/>
    </row>
    <row r="45" spans="8:19" x14ac:dyDescent="0.25">
      <c r="H45">
        <f t="shared" si="7"/>
        <v>-1.4887092862659235</v>
      </c>
      <c r="I45">
        <f t="shared" si="8"/>
        <v>0.18775591442909551</v>
      </c>
      <c r="J45">
        <f t="shared" si="5"/>
        <v>-7.3199724010853381E-2</v>
      </c>
      <c r="K45">
        <f t="shared" si="6"/>
        <v>-6.5226775749486583E-3</v>
      </c>
      <c r="M45">
        <f t="shared" si="9"/>
        <v>-1.7495934906443014</v>
      </c>
      <c r="O45">
        <f t="shared" si="10"/>
        <v>0.17384459854423973</v>
      </c>
      <c r="P45" s="8">
        <v>240</v>
      </c>
      <c r="Q45">
        <f t="shared" si="11"/>
        <v>1.2825037568404196</v>
      </c>
      <c r="R45" s="3"/>
    </row>
    <row r="46" spans="8:19" x14ac:dyDescent="0.25">
      <c r="H46">
        <f t="shared" si="7"/>
        <v>-1.3726363818131302</v>
      </c>
      <c r="I46">
        <f t="shared" si="8"/>
        <v>0.16623100818868669</v>
      </c>
      <c r="J46">
        <f t="shared" si="5"/>
        <v>-6.2230123116809817E-2</v>
      </c>
      <c r="K46">
        <f t="shared" si="6"/>
        <v>-4.7142037005047663E-3</v>
      </c>
      <c r="M46">
        <f t="shared" si="9"/>
        <v>-1.5806593974118006</v>
      </c>
      <c r="O46">
        <f t="shared" si="10"/>
        <v>0.20583932352788673</v>
      </c>
      <c r="P46" s="8">
        <v>245</v>
      </c>
      <c r="Q46">
        <f t="shared" si="11"/>
        <v>1.5185384414622787</v>
      </c>
      <c r="R46" s="3"/>
    </row>
    <row r="47" spans="8:19" x14ac:dyDescent="0.25">
      <c r="H47">
        <f t="shared" si="7"/>
        <v>-1.2565634773603371</v>
      </c>
      <c r="I47">
        <f t="shared" si="8"/>
        <v>0.14559800664779846</v>
      </c>
      <c r="J47">
        <f t="shared" si="5"/>
        <v>-5.2150504478782465E-2</v>
      </c>
      <c r="K47">
        <f t="shared" si="6"/>
        <v>-3.3107321935210163E-3</v>
      </c>
      <c r="M47">
        <f t="shared" si="9"/>
        <v>-1.4189730197955153</v>
      </c>
      <c r="O47">
        <f t="shared" si="10"/>
        <v>0.24196237991766023</v>
      </c>
      <c r="P47" s="8">
        <v>250</v>
      </c>
      <c r="Q47">
        <f t="shared" si="11"/>
        <v>1.7850290653665548</v>
      </c>
      <c r="R47" s="3"/>
    </row>
    <row r="48" spans="8:19" x14ac:dyDescent="0.25">
      <c r="H48">
        <f t="shared" si="7"/>
        <v>-1.1404905729075439</v>
      </c>
      <c r="I48">
        <f t="shared" si="8"/>
        <v>0.12589727499613843</v>
      </c>
      <c r="J48">
        <f t="shared" si="5"/>
        <v>-4.2960868096771306E-2</v>
      </c>
      <c r="K48">
        <f t="shared" si="6"/>
        <v>-2.246741570283079E-3</v>
      </c>
      <c r="M48">
        <f t="shared" si="9"/>
        <v>-1.2639817348243267</v>
      </c>
      <c r="O48">
        <f t="shared" si="10"/>
        <v>0.28252683695854547</v>
      </c>
      <c r="P48" s="8">
        <v>255</v>
      </c>
      <c r="Q48">
        <f t="shared" si="11"/>
        <v>2.0842852342942773</v>
      </c>
      <c r="R48" s="3"/>
    </row>
    <row r="49" spans="8:18" x14ac:dyDescent="0.25">
      <c r="H49">
        <f t="shared" si="7"/>
        <v>-1.0244176684547508</v>
      </c>
      <c r="I49">
        <f t="shared" si="8"/>
        <v>0.10717521680660154</v>
      </c>
      <c r="J49">
        <f t="shared" si="5"/>
        <v>-3.4661213970776358E-2</v>
      </c>
      <c r="K49">
        <f t="shared" si="6"/>
        <v>-1.4624955816165167E-3</v>
      </c>
      <c r="M49">
        <f t="shared" si="9"/>
        <v>-1.1151751328724258</v>
      </c>
      <c r="O49">
        <f t="shared" si="10"/>
        <v>0.32785785518341953</v>
      </c>
      <c r="P49" s="8">
        <v>260</v>
      </c>
      <c r="Q49">
        <f t="shared" si="11"/>
        <v>2.4187057550446407</v>
      </c>
      <c r="R49" s="3"/>
    </row>
    <row r="50" spans="8:18" x14ac:dyDescent="0.25">
      <c r="H50">
        <f t="shared" si="7"/>
        <v>-0.90834476400195674</v>
      </c>
      <c r="I50">
        <f t="shared" si="8"/>
        <v>8.948595061388441E-2</v>
      </c>
      <c r="J50">
        <f t="shared" si="5"/>
        <v>-2.7251542100797561E-2</v>
      </c>
      <c r="K50">
        <f t="shared" si="6"/>
        <v>-9.0404321288677157E-4</v>
      </c>
      <c r="M50">
        <f t="shared" si="9"/>
        <v>-0.97207911113678336</v>
      </c>
      <c r="O50">
        <f t="shared" si="10"/>
        <v>0.37829570110129579</v>
      </c>
      <c r="P50" s="8">
        <v>265</v>
      </c>
      <c r="Q50">
        <f t="shared" si="11"/>
        <v>2.7908008757345892</v>
      </c>
      <c r="R50" s="3"/>
    </row>
    <row r="51" spans="8:18" x14ac:dyDescent="0.25">
      <c r="H51">
        <f t="shared" si="7"/>
        <v>-0.79227185954916424</v>
      </c>
      <c r="I51">
        <f t="shared" si="8"/>
        <v>7.2893722019327228E-2</v>
      </c>
      <c r="J51">
        <f t="shared" si="5"/>
        <v>-2.0731852486835067E-2</v>
      </c>
      <c r="K51">
        <f t="shared" si="6"/>
        <v>-5.2321868399918736E-4</v>
      </c>
      <c r="M51">
        <f t="shared" si="9"/>
        <v>-0.83424979489762785</v>
      </c>
      <c r="O51">
        <f t="shared" si="10"/>
        <v>0.43420009840723711</v>
      </c>
      <c r="P51" s="8">
        <v>270</v>
      </c>
      <c r="Q51">
        <f t="shared" si="11"/>
        <v>3.2032243859797105</v>
      </c>
      <c r="R51" s="3"/>
    </row>
    <row r="52" spans="8:18" x14ac:dyDescent="0.25">
      <c r="H52">
        <f t="shared" si="7"/>
        <v>-0.67619895509636951</v>
      </c>
      <c r="I52">
        <f t="shared" si="8"/>
        <v>5.7476527682308091E-2</v>
      </c>
      <c r="J52">
        <f t="shared" si="5"/>
        <v>-1.5102145128888652E-2</v>
      </c>
      <c r="K52">
        <f t="shared" si="6"/>
        <v>-2.7764144939897292E-4</v>
      </c>
      <c r="M52">
        <f t="shared" si="9"/>
        <v>-0.70126678166366518</v>
      </c>
      <c r="O52">
        <f t="shared" si="10"/>
        <v>0.49595663691003022</v>
      </c>
      <c r="P52" s="8">
        <v>275</v>
      </c>
      <c r="Q52">
        <f t="shared" si="11"/>
        <v>3.6588208974763661</v>
      </c>
      <c r="R52" s="3"/>
    </row>
    <row r="53" spans="8:18" x14ac:dyDescent="0.25">
      <c r="H53">
        <f t="shared" si="7"/>
        <v>-0.5601260506435779</v>
      </c>
      <c r="I53">
        <f t="shared" si="8"/>
        <v>4.3331870606000855E-2</v>
      </c>
      <c r="J53">
        <f t="shared" ref="J53:J70" si="12">-1.6463597*P19</f>
        <v>-1.0362420026958585E-2</v>
      </c>
      <c r="K53">
        <f t="shared" ref="K53:K70" si="13">-3.2995634*Q19</f>
        <v>-1.3071619807124781E-4</v>
      </c>
      <c r="M53">
        <f t="shared" si="9"/>
        <v>-0.5727247942063477</v>
      </c>
      <c r="O53">
        <f t="shared" si="10"/>
        <v>0.56398659572792842</v>
      </c>
      <c r="P53" s="8">
        <v>280</v>
      </c>
      <c r="Q53">
        <f t="shared" si="11"/>
        <v>4.1606983126636461</v>
      </c>
    </row>
    <row r="54" spans="8:18" x14ac:dyDescent="0.25">
      <c r="H54">
        <f t="shared" si="7"/>
        <v>-0.4440531461907839</v>
      </c>
      <c r="I54">
        <f t="shared" si="8"/>
        <v>3.0586600275661589E-2</v>
      </c>
      <c r="J54">
        <f t="shared" si="12"/>
        <v>-6.5126771810446278E-3</v>
      </c>
      <c r="K54">
        <f t="shared" si="13"/>
        <v>-5.1632853540999018E-5</v>
      </c>
      <c r="M54">
        <f t="shared" si="9"/>
        <v>-0.44822185320857533</v>
      </c>
      <c r="O54">
        <f t="shared" si="10"/>
        <v>0.63876295669970296</v>
      </c>
      <c r="P54" s="8">
        <v>285</v>
      </c>
      <c r="Q54">
        <f t="shared" si="11"/>
        <v>4.712345960460719</v>
      </c>
    </row>
    <row r="55" spans="8:18" x14ac:dyDescent="0.25">
      <c r="H55">
        <f t="shared" si="7"/>
        <v>-0.32798024173799067</v>
      </c>
      <c r="I55">
        <f t="shared" si="8"/>
        <v>1.9415577051194777E-2</v>
      </c>
      <c r="J55">
        <f t="shared" si="12"/>
        <v>-3.5529165911469011E-3</v>
      </c>
      <c r="K55">
        <f t="shared" si="13"/>
        <v>-1.5366573873112742E-5</v>
      </c>
      <c r="M55">
        <f t="shared" si="9"/>
        <v>-0.32733941927885052</v>
      </c>
      <c r="O55">
        <f t="shared" si="10"/>
        <v>0.72083903483424649</v>
      </c>
      <c r="P55" s="8">
        <v>290</v>
      </c>
      <c r="Q55">
        <f t="shared" si="11"/>
        <v>5.3178458116826866</v>
      </c>
    </row>
    <row r="56" spans="8:18" x14ac:dyDescent="0.25">
      <c r="H56">
        <f t="shared" si="7"/>
        <v>-0.2119073372851967</v>
      </c>
      <c r="I56">
        <f t="shared" si="8"/>
        <v>1.0083185847267849E-2</v>
      </c>
      <c r="J56">
        <f t="shared" si="12"/>
        <v>-1.4831382572653667E-3</v>
      </c>
      <c r="K56">
        <f t="shared" si="13"/>
        <v>-2.6777516723579193E-6</v>
      </c>
      <c r="M56">
        <f t="shared" si="9"/>
        <v>-0.2096009981073699</v>
      </c>
      <c r="O56">
        <f t="shared" si="10"/>
        <v>0.81090773515057124</v>
      </c>
      <c r="P56" s="8">
        <v>295</v>
      </c>
      <c r="Q56">
        <f t="shared" si="11"/>
        <v>5.9823096345263096</v>
      </c>
    </row>
    <row r="57" spans="8:18" x14ac:dyDescent="0.25">
      <c r="H57">
        <f t="shared" si="7"/>
        <v>-0.16547817550408037</v>
      </c>
      <c r="I57">
        <f t="shared" si="8"/>
        <v>6.9580871847905682E-3</v>
      </c>
      <c r="J57">
        <f t="shared" si="12"/>
        <v>-9.0442195539730682E-4</v>
      </c>
      <c r="K57">
        <f t="shared" si="13"/>
        <v>-9.9574748271579909E-7</v>
      </c>
      <c r="M57">
        <f t="shared" si="9"/>
        <v>-0.16325182552394502</v>
      </c>
      <c r="O57">
        <f t="shared" si="10"/>
        <v>0.84937726660504509</v>
      </c>
      <c r="P57" s="8">
        <v>297</v>
      </c>
      <c r="Q57">
        <f t="shared" si="11"/>
        <v>6.2661109089253992</v>
      </c>
    </row>
    <row r="58" spans="8:18" x14ac:dyDescent="0.25">
      <c r="H58">
        <f t="shared" si="7"/>
        <v>-0.11904901372296246</v>
      </c>
      <c r="I58">
        <f t="shared" si="8"/>
        <v>4.2458777252131373E-3</v>
      </c>
      <c r="J58">
        <f t="shared" si="12"/>
        <v>-4.6810281449182151E-4</v>
      </c>
      <c r="K58">
        <f t="shared" si="13"/>
        <v>-2.6674084875801293E-7</v>
      </c>
      <c r="M58">
        <f t="shared" si="9"/>
        <v>-0.11724854680652587</v>
      </c>
      <c r="O58">
        <f t="shared" si="10"/>
        <v>0.88936411707953333</v>
      </c>
      <c r="P58" s="8">
        <v>299</v>
      </c>
      <c r="Q58">
        <f t="shared" si="11"/>
        <v>6.5611059009308415</v>
      </c>
    </row>
    <row r="59" spans="8:18" x14ac:dyDescent="0.25">
      <c r="H59">
        <f t="shared" si="7"/>
        <v>-9.5834432832403504E-2</v>
      </c>
      <c r="I59">
        <f t="shared" si="8"/>
        <v>3.0666283462625027E-3</v>
      </c>
      <c r="J59">
        <f t="shared" si="12"/>
        <v>-3.0334217940005244E-4</v>
      </c>
      <c r="K59">
        <f t="shared" si="13"/>
        <v>-1.1201408339153628E-7</v>
      </c>
      <c r="M59">
        <f t="shared" si="9"/>
        <v>-9.4351981246561856E-2</v>
      </c>
      <c r="O59">
        <f t="shared" si="10"/>
        <v>0.90996241616060336</v>
      </c>
      <c r="P59" s="8">
        <v>300</v>
      </c>
      <c r="Q59">
        <f t="shared" si="11"/>
        <v>6.7130657327416188</v>
      </c>
    </row>
    <row r="60" spans="8:18" x14ac:dyDescent="0.25">
      <c r="H60">
        <f t="shared" si="7"/>
        <v>-7.2619851941846128E-2</v>
      </c>
      <c r="I60">
        <f t="shared" si="8"/>
        <v>2.0228413328229394E-3</v>
      </c>
      <c r="J60">
        <f t="shared" si="12"/>
        <v>-1.7418083454893995E-4</v>
      </c>
      <c r="K60">
        <f t="shared" si="13"/>
        <v>-3.6932419350719551E-8</v>
      </c>
      <c r="M60">
        <f t="shared" si="9"/>
        <v>-7.1506731886309682E-2</v>
      </c>
      <c r="O60">
        <f t="shared" si="10"/>
        <v>0.93099001025486183</v>
      </c>
      <c r="P60" s="8">
        <v>301</v>
      </c>
      <c r="Q60">
        <f t="shared" si="11"/>
        <v>6.8681926026531919</v>
      </c>
    </row>
    <row r="61" spans="8:18" x14ac:dyDescent="0.25">
      <c r="H61">
        <f t="shared" si="7"/>
        <v>-4.9405271051286385E-2</v>
      </c>
      <c r="I61">
        <f t="shared" si="8"/>
        <v>1.1351119865568489E-3</v>
      </c>
      <c r="J61">
        <f t="shared" si="12"/>
        <v>-8.0618779938464093E-5</v>
      </c>
      <c r="K61">
        <f t="shared" si="13"/>
        <v>-7.9118759033630948E-9</v>
      </c>
      <c r="M61">
        <f t="shared" si="9"/>
        <v>-4.8691514704381905E-2</v>
      </c>
      <c r="O61">
        <f t="shared" si="10"/>
        <v>0.95247490888673203</v>
      </c>
      <c r="P61" s="8">
        <v>302</v>
      </c>
      <c r="Q61">
        <f t="shared" si="11"/>
        <v>7.0266931453300883</v>
      </c>
    </row>
    <row r="62" spans="8:18" x14ac:dyDescent="0.25">
      <c r="H62">
        <f t="shared" si="7"/>
        <v>-3.7797980606008474E-2</v>
      </c>
      <c r="I62">
        <f t="shared" si="8"/>
        <v>7.5959426494934181E-4</v>
      </c>
      <c r="J62">
        <f t="shared" si="12"/>
        <v>-4.7187486473475361E-5</v>
      </c>
      <c r="K62">
        <f t="shared" si="13"/>
        <v>-2.7105705346273656E-9</v>
      </c>
      <c r="M62">
        <f t="shared" si="9"/>
        <v>-3.7285188887588562E-2</v>
      </c>
      <c r="O62">
        <f t="shared" si="10"/>
        <v>0.96340134480948425</v>
      </c>
      <c r="P62" s="8">
        <v>302.5</v>
      </c>
      <c r="Q62">
        <f t="shared" si="11"/>
        <v>7.1073007410630078</v>
      </c>
    </row>
    <row r="63" spans="8:18" x14ac:dyDescent="0.25">
      <c r="H63">
        <f t="shared" si="7"/>
        <v>-2.619069016072743E-2</v>
      </c>
      <c r="I63">
        <f t="shared" si="8"/>
        <v>4.3812616947840082E-4</v>
      </c>
      <c r="J63">
        <f t="shared" si="12"/>
        <v>-2.265601556864107E-5</v>
      </c>
      <c r="K63">
        <f t="shared" si="13"/>
        <v>-6.248475811043057E-10</v>
      </c>
      <c r="M63">
        <f t="shared" si="9"/>
        <v>-2.5871192921819192E-2</v>
      </c>
      <c r="O63">
        <f t="shared" si="10"/>
        <v>0.97446059894788295</v>
      </c>
      <c r="P63" s="8">
        <v>303</v>
      </c>
      <c r="Q63">
        <f t="shared" si="11"/>
        <v>7.1888881766182164</v>
      </c>
    </row>
    <row r="64" spans="8:18" x14ac:dyDescent="0.25">
      <c r="H64">
        <f t="shared" si="7"/>
        <v>-1.6904857804504632E-2</v>
      </c>
      <c r="I64">
        <f t="shared" si="8"/>
        <v>2.2719358438784345E-4</v>
      </c>
      <c r="J64">
        <f t="shared" si="12"/>
        <v>-9.4387110880944809E-6</v>
      </c>
      <c r="K64">
        <f t="shared" si="13"/>
        <v>-1.0845071254390816E-10</v>
      </c>
      <c r="M64">
        <f t="shared" si="9"/>
        <v>-1.6727154286964356E-2</v>
      </c>
      <c r="O64">
        <f t="shared" si="10"/>
        <v>0.98341196777284801</v>
      </c>
      <c r="P64" s="8">
        <v>303.39999999999998</v>
      </c>
      <c r="Q64">
        <f t="shared" si="11"/>
        <v>7.2549251098506318</v>
      </c>
    </row>
    <row r="65" spans="2:21" x14ac:dyDescent="0.25">
      <c r="H65">
        <f t="shared" si="7"/>
        <v>-1.2261941626392841E-2</v>
      </c>
      <c r="I65">
        <f t="shared" si="8"/>
        <v>1.4035169011798298E-4</v>
      </c>
      <c r="J65">
        <f t="shared" si="12"/>
        <v>-4.9660162622594516E-6</v>
      </c>
      <c r="K65">
        <f t="shared" si="13"/>
        <v>-3.0020871726976233E-11</v>
      </c>
      <c r="M65">
        <f t="shared" si="9"/>
        <v>-1.2147653633644902E-2</v>
      </c>
      <c r="O65">
        <f t="shared" si="10"/>
        <v>0.98792583125346456</v>
      </c>
      <c r="P65" s="8">
        <v>303.60000000000002</v>
      </c>
      <c r="Q65">
        <f t="shared" si="11"/>
        <v>7.288225234906184</v>
      </c>
    </row>
    <row r="66" spans="2:21" x14ac:dyDescent="0.25">
      <c r="H66">
        <f t="shared" si="7"/>
        <v>-7.6190254482810509E-3</v>
      </c>
      <c r="I66">
        <f t="shared" si="8"/>
        <v>6.8742910627946828E-5</v>
      </c>
      <c r="J66">
        <f t="shared" si="12"/>
        <v>-1.9172930460503864E-6</v>
      </c>
      <c r="K66">
        <f t="shared" si="13"/>
        <v>-4.4749070437403284E-12</v>
      </c>
      <c r="M66">
        <f t="shared" si="9"/>
        <v>-7.5603585974713108E-3</v>
      </c>
      <c r="O66">
        <f t="shared" si="10"/>
        <v>0.99246814902573166</v>
      </c>
      <c r="P66" s="8">
        <v>303.8</v>
      </c>
      <c r="Q66">
        <f t="shared" si="11"/>
        <v>7.32173527580753</v>
      </c>
    </row>
    <row r="67" spans="2:21" x14ac:dyDescent="0.25">
      <c r="H67">
        <f t="shared" si="7"/>
        <v>-5.2975673592259393E-3</v>
      </c>
      <c r="I67">
        <f t="shared" si="8"/>
        <v>3.9855981775012216E-5</v>
      </c>
      <c r="J67">
        <f t="shared" si="12"/>
        <v>-9.2692079155586442E-7</v>
      </c>
      <c r="K67">
        <f t="shared" si="13"/>
        <v>-1.0459050783514292E-12</v>
      </c>
      <c r="M67">
        <f t="shared" si="9"/>
        <v>-5.2625870365700517E-3</v>
      </c>
      <c r="O67">
        <f t="shared" si="10"/>
        <v>0.99475123611544469</v>
      </c>
      <c r="P67" s="8">
        <v>303.89999999999998</v>
      </c>
      <c r="Q67">
        <f t="shared" si="11"/>
        <v>7.3385782941944697</v>
      </c>
    </row>
    <row r="68" spans="2:21" x14ac:dyDescent="0.25">
      <c r="H68">
        <f t="shared" si="7"/>
        <v>-2.9761092701692596E-3</v>
      </c>
      <c r="I68">
        <f t="shared" si="8"/>
        <v>1.6782323533035282E-5</v>
      </c>
      <c r="J68">
        <f t="shared" si="12"/>
        <v>-2.9254143946728444E-7</v>
      </c>
      <c r="K68">
        <f t="shared" si="13"/>
        <v>-1.0417939046019086E-13</v>
      </c>
      <c r="M68">
        <f t="shared" si="9"/>
        <v>-2.9608675908719254E-3</v>
      </c>
      <c r="O68">
        <f t="shared" si="10"/>
        <v>0.9970435114545827</v>
      </c>
      <c r="P68" s="8">
        <v>304</v>
      </c>
      <c r="Q68">
        <f t="shared" si="11"/>
        <v>7.3554890970538933</v>
      </c>
    </row>
    <row r="69" spans="2:21" x14ac:dyDescent="0.25">
      <c r="H69">
        <f t="shared" si="7"/>
        <v>-6.5465118111414811E-4</v>
      </c>
      <c r="I69">
        <f t="shared" si="8"/>
        <v>1.7313852523858336E-6</v>
      </c>
      <c r="J69">
        <f t="shared" si="12"/>
        <v>-1.4154989785503566E-8</v>
      </c>
      <c r="K69">
        <f t="shared" si="13"/>
        <v>-2.4390805592072789E-16</v>
      </c>
      <c r="M69">
        <f t="shared" si="9"/>
        <v>-6.5299449914976617E-4</v>
      </c>
      <c r="O69">
        <f t="shared" si="10"/>
        <v>0.99934721865535947</v>
      </c>
      <c r="P69" s="8">
        <v>304.10000000000002</v>
      </c>
      <c r="Q69">
        <f t="shared" si="11"/>
        <v>7.3724842361861835</v>
      </c>
    </row>
    <row r="70" spans="2:21" x14ac:dyDescent="0.25">
      <c r="H70">
        <f t="shared" si="7"/>
        <v>0</v>
      </c>
      <c r="I70">
        <f t="shared" si="8"/>
        <v>0</v>
      </c>
      <c r="J70">
        <f t="shared" si="12"/>
        <v>0</v>
      </c>
      <c r="K70">
        <f t="shared" si="13"/>
        <v>0</v>
      </c>
      <c r="M70">
        <f t="shared" si="9"/>
        <v>0</v>
      </c>
      <c r="O70">
        <f t="shared" si="10"/>
        <v>1</v>
      </c>
      <c r="P70" s="3">
        <v>304.12819999999999</v>
      </c>
      <c r="Q70">
        <f t="shared" si="11"/>
        <v>7.3773</v>
      </c>
    </row>
    <row r="72" spans="2:21" x14ac:dyDescent="0.25">
      <c r="B72" s="21"/>
      <c r="C72" s="21" t="s">
        <v>41</v>
      </c>
      <c r="D72" s="21"/>
      <c r="E72" s="21"/>
      <c r="F72" s="21"/>
      <c r="G72" s="21"/>
      <c r="I72" s="21"/>
      <c r="J72" s="21" t="s">
        <v>35</v>
      </c>
      <c r="K72" s="21"/>
      <c r="L72" s="21"/>
      <c r="M72" s="21"/>
      <c r="N72" s="21"/>
    </row>
    <row r="73" spans="2:21" x14ac:dyDescent="0.25">
      <c r="B73" s="20"/>
      <c r="C73" s="1" t="s">
        <v>38</v>
      </c>
      <c r="D73" s="1" t="s">
        <v>37</v>
      </c>
      <c r="E73" s="1" t="s">
        <v>39</v>
      </c>
      <c r="F73" s="1" t="s">
        <v>0</v>
      </c>
      <c r="G73" s="20"/>
      <c r="I73" s="20"/>
      <c r="J73" s="20"/>
      <c r="K73" s="20"/>
      <c r="L73" s="20"/>
      <c r="M73" s="20"/>
      <c r="N73" s="20"/>
    </row>
    <row r="74" spans="2:21" x14ac:dyDescent="0.25">
      <c r="B74" s="31"/>
      <c r="C74" s="3">
        <v>216.68</v>
      </c>
      <c r="D74" s="3">
        <f>C74-0.04</f>
        <v>216.64000000000001</v>
      </c>
      <c r="E74" s="3">
        <v>9.1999999999999993</v>
      </c>
      <c r="F74" s="17">
        <f>E74*0.101325</f>
        <v>0.93218999999999996</v>
      </c>
      <c r="G74" s="20"/>
      <c r="I74" s="20"/>
      <c r="J74" s="1" t="s">
        <v>36</v>
      </c>
      <c r="K74" s="1" t="s">
        <v>37</v>
      </c>
      <c r="L74" s="1" t="s">
        <v>40</v>
      </c>
      <c r="M74" s="1" t="s">
        <v>0</v>
      </c>
      <c r="N74" s="20"/>
    </row>
    <row r="75" spans="2:21" x14ac:dyDescent="0.25">
      <c r="B75" s="20"/>
      <c r="C75" s="3">
        <v>217.01</v>
      </c>
      <c r="D75" s="3">
        <f>C75-0.04</f>
        <v>216.97</v>
      </c>
      <c r="E75" s="3">
        <v>25.9</v>
      </c>
      <c r="F75" s="17">
        <f t="shared" ref="F75:F98" si="14">E75*0.101325</f>
        <v>2.6243174999999996</v>
      </c>
      <c r="G75" s="20"/>
      <c r="I75" s="20"/>
      <c r="J75" s="3">
        <v>170.16</v>
      </c>
      <c r="K75" s="3">
        <f>J75-0.049</f>
        <v>170.11099999999999</v>
      </c>
      <c r="L75" s="3">
        <v>75.72</v>
      </c>
      <c r="M75" s="17">
        <f>L75*0.000133322</f>
        <v>1.009514184E-2</v>
      </c>
      <c r="N75" s="20"/>
    </row>
    <row r="76" spans="2:21" x14ac:dyDescent="0.25">
      <c r="B76" s="20"/>
      <c r="C76" s="3">
        <v>217.03</v>
      </c>
      <c r="D76" s="3">
        <f t="shared" ref="D76:D98" si="15">C76-0.04</f>
        <v>216.99</v>
      </c>
      <c r="E76" s="3">
        <v>25.4</v>
      </c>
      <c r="F76" s="17">
        <f t="shared" si="14"/>
        <v>2.573655</v>
      </c>
      <c r="G76" s="20"/>
      <c r="I76" s="20"/>
      <c r="J76" s="3">
        <v>171.86</v>
      </c>
      <c r="K76" s="3">
        <f t="shared" ref="K76:K140" si="16">J76-0.049</f>
        <v>171.81100000000001</v>
      </c>
      <c r="L76" s="3">
        <v>90.68</v>
      </c>
      <c r="M76" s="17">
        <f t="shared" ref="M76:M139" si="17">L76*0.000133322</f>
        <v>1.2089638960000001E-2</v>
      </c>
      <c r="N76" s="20"/>
      <c r="P76" s="21" t="s">
        <v>2</v>
      </c>
      <c r="Q76" s="21"/>
      <c r="R76" s="21"/>
      <c r="S76" s="32"/>
      <c r="T76" s="21"/>
      <c r="U76" s="21"/>
    </row>
    <row r="77" spans="2:21" x14ac:dyDescent="0.25">
      <c r="B77" s="20"/>
      <c r="C77" s="3">
        <v>217.14</v>
      </c>
      <c r="D77" s="3">
        <f t="shared" si="15"/>
        <v>217.1</v>
      </c>
      <c r="E77" s="3">
        <v>31.3</v>
      </c>
      <c r="F77" s="17">
        <f t="shared" si="14"/>
        <v>3.1714725000000001</v>
      </c>
      <c r="G77" s="20"/>
      <c r="I77" s="20"/>
      <c r="J77" s="3">
        <v>172.19</v>
      </c>
      <c r="K77" s="3">
        <f t="shared" si="16"/>
        <v>172.14099999999999</v>
      </c>
      <c r="L77" s="3">
        <v>93.81</v>
      </c>
      <c r="M77" s="17">
        <f t="shared" si="17"/>
        <v>1.2506936820000002E-2</v>
      </c>
      <c r="N77" s="20"/>
      <c r="P77" s="20"/>
      <c r="Q77" s="1" t="s">
        <v>1</v>
      </c>
      <c r="R77" s="1" t="s">
        <v>0</v>
      </c>
      <c r="T77" s="1" t="s">
        <v>84</v>
      </c>
      <c r="U77" s="20"/>
    </row>
    <row r="78" spans="2:21" x14ac:dyDescent="0.25">
      <c r="B78" s="20"/>
      <c r="C78" s="3">
        <v>217.33</v>
      </c>
      <c r="D78" s="3">
        <f t="shared" si="15"/>
        <v>217.29000000000002</v>
      </c>
      <c r="E78" s="3">
        <v>40.5</v>
      </c>
      <c r="F78" s="17">
        <f t="shared" si="14"/>
        <v>4.1036624999999995</v>
      </c>
      <c r="G78" s="20"/>
      <c r="I78" s="20"/>
      <c r="J78" s="3">
        <v>173.64</v>
      </c>
      <c r="K78" s="3">
        <f t="shared" si="16"/>
        <v>173.59099999999998</v>
      </c>
      <c r="L78" s="3">
        <v>109.11</v>
      </c>
      <c r="M78" s="17">
        <f t="shared" si="17"/>
        <v>1.4546763420000001E-2</v>
      </c>
      <c r="N78" s="20"/>
      <c r="P78" s="20"/>
      <c r="Q78" s="2">
        <v>217</v>
      </c>
      <c r="R78" s="17">
        <v>0.30157</v>
      </c>
      <c r="T78" s="3">
        <v>7.6997999999999998</v>
      </c>
      <c r="U78" s="20"/>
    </row>
    <row r="79" spans="2:21" x14ac:dyDescent="0.25">
      <c r="B79" s="20"/>
      <c r="C79" s="3">
        <v>217.35</v>
      </c>
      <c r="D79" s="3">
        <f t="shared" si="15"/>
        <v>217.31</v>
      </c>
      <c r="E79" s="3">
        <v>40.5</v>
      </c>
      <c r="F79" s="17">
        <f t="shared" si="14"/>
        <v>4.1036624999999995</v>
      </c>
      <c r="G79" s="20"/>
      <c r="I79" s="20"/>
      <c r="J79" s="3">
        <v>175.39</v>
      </c>
      <c r="K79" s="3">
        <f t="shared" si="16"/>
        <v>175.34099999999998</v>
      </c>
      <c r="L79" s="3">
        <v>130.83000000000001</v>
      </c>
      <c r="M79" s="17">
        <f t="shared" si="17"/>
        <v>1.7442517260000002E-2</v>
      </c>
      <c r="N79" s="20"/>
      <c r="P79" s="20"/>
      <c r="Q79" s="2">
        <v>217</v>
      </c>
      <c r="R79" s="17">
        <v>0.40144999999999997</v>
      </c>
      <c r="T79" s="3">
        <v>10.421200000000001</v>
      </c>
      <c r="U79" s="20"/>
    </row>
    <row r="80" spans="2:21" x14ac:dyDescent="0.25">
      <c r="B80" s="30"/>
      <c r="C80" s="3">
        <v>217.56</v>
      </c>
      <c r="D80" s="3">
        <f t="shared" si="15"/>
        <v>217.52</v>
      </c>
      <c r="E80" s="3">
        <v>49.8</v>
      </c>
      <c r="F80" s="17">
        <f t="shared" si="14"/>
        <v>5.0459849999999999</v>
      </c>
      <c r="G80" s="20"/>
      <c r="I80" s="20"/>
      <c r="J80" s="3">
        <v>177.25</v>
      </c>
      <c r="K80" s="3">
        <f t="shared" si="16"/>
        <v>177.20099999999999</v>
      </c>
      <c r="L80" s="3">
        <v>157.49</v>
      </c>
      <c r="M80" s="17">
        <f t="shared" si="17"/>
        <v>2.0996881780000004E-2</v>
      </c>
      <c r="N80" s="20"/>
      <c r="P80" s="20"/>
      <c r="Q80" s="2">
        <v>220</v>
      </c>
      <c r="R80" s="17">
        <v>0.29731999999999997</v>
      </c>
      <c r="T80" s="3">
        <v>7.4657999999999998</v>
      </c>
      <c r="U80" s="20"/>
    </row>
    <row r="81" spans="2:21" x14ac:dyDescent="0.25">
      <c r="B81" s="20"/>
      <c r="C81" s="3">
        <v>217.7</v>
      </c>
      <c r="D81" s="3">
        <f t="shared" si="15"/>
        <v>217.66</v>
      </c>
      <c r="E81" s="3">
        <v>57.1</v>
      </c>
      <c r="F81" s="17">
        <f t="shared" si="14"/>
        <v>5.7856575000000001</v>
      </c>
      <c r="G81" s="20"/>
      <c r="I81" s="20"/>
      <c r="J81" s="3">
        <v>179.25</v>
      </c>
      <c r="K81" s="3">
        <f t="shared" si="16"/>
        <v>179.20099999999999</v>
      </c>
      <c r="L81" s="3">
        <v>191.72</v>
      </c>
      <c r="M81" s="17">
        <f t="shared" si="17"/>
        <v>2.556049384E-2</v>
      </c>
      <c r="N81" s="20"/>
      <c r="P81" s="20"/>
      <c r="Q81" s="2">
        <v>220</v>
      </c>
      <c r="R81" s="17">
        <v>0.30081999999999998</v>
      </c>
      <c r="T81" s="3">
        <v>7.5582000000000003</v>
      </c>
      <c r="U81" s="20"/>
    </row>
    <row r="82" spans="2:21" x14ac:dyDescent="0.25">
      <c r="B82" s="20"/>
      <c r="C82" s="8">
        <v>218.85</v>
      </c>
      <c r="D82" s="17">
        <f t="shared" si="15"/>
        <v>218.81</v>
      </c>
      <c r="E82" s="8">
        <v>109.9</v>
      </c>
      <c r="F82" s="17">
        <f t="shared" si="14"/>
        <v>11.1356175</v>
      </c>
      <c r="G82" s="20"/>
      <c r="I82" s="20"/>
      <c r="J82" s="3">
        <v>179.78</v>
      </c>
      <c r="K82" s="3">
        <f t="shared" si="16"/>
        <v>179.73099999999999</v>
      </c>
      <c r="L82" s="3">
        <v>201.73</v>
      </c>
      <c r="M82" s="17">
        <f t="shared" si="17"/>
        <v>2.689504706E-2</v>
      </c>
      <c r="N82" s="20"/>
      <c r="P82" s="20"/>
      <c r="Q82" s="2">
        <v>220</v>
      </c>
      <c r="R82" s="17">
        <v>0.30081999999999998</v>
      </c>
      <c r="T82" s="3">
        <v>7.5583999999999998</v>
      </c>
      <c r="U82" s="20"/>
    </row>
    <row r="83" spans="2:21" x14ac:dyDescent="0.25">
      <c r="B83" s="20"/>
      <c r="C83" s="8">
        <v>218.99</v>
      </c>
      <c r="D83" s="17">
        <f t="shared" si="15"/>
        <v>218.95000000000002</v>
      </c>
      <c r="E83" s="8">
        <v>116</v>
      </c>
      <c r="F83" s="17">
        <f t="shared" si="14"/>
        <v>11.7537</v>
      </c>
      <c r="G83" s="20"/>
      <c r="I83" s="20"/>
      <c r="J83" s="3">
        <v>181</v>
      </c>
      <c r="K83" s="3">
        <f t="shared" si="16"/>
        <v>180.95099999999999</v>
      </c>
      <c r="L83" s="3">
        <v>226.82</v>
      </c>
      <c r="M83" s="17">
        <f t="shared" si="17"/>
        <v>3.0240096040000001E-2</v>
      </c>
      <c r="N83" s="20"/>
      <c r="P83" s="20"/>
      <c r="Q83" s="2">
        <v>220</v>
      </c>
      <c r="R83" s="18">
        <v>0.40068999999999999</v>
      </c>
      <c r="T83" s="4">
        <v>10.2263</v>
      </c>
      <c r="U83" s="20"/>
    </row>
    <row r="84" spans="2:21" x14ac:dyDescent="0.25">
      <c r="B84" s="20"/>
      <c r="C84" s="8">
        <v>220.02</v>
      </c>
      <c r="D84" s="17">
        <f t="shared" si="15"/>
        <v>219.98000000000002</v>
      </c>
      <c r="E84" s="8">
        <v>165.8</v>
      </c>
      <c r="F84" s="17">
        <f t="shared" si="14"/>
        <v>16.799685</v>
      </c>
      <c r="G84" s="20"/>
      <c r="I84" s="20"/>
      <c r="J84" s="3">
        <v>183.07</v>
      </c>
      <c r="K84" s="3">
        <f t="shared" si="16"/>
        <v>183.02099999999999</v>
      </c>
      <c r="L84" s="3">
        <v>275.69</v>
      </c>
      <c r="M84" s="17">
        <f t="shared" si="17"/>
        <v>3.6755542180000003E-2</v>
      </c>
      <c r="N84" s="20"/>
      <c r="P84" s="20"/>
      <c r="Q84" s="2">
        <v>220</v>
      </c>
      <c r="R84" s="17">
        <v>0.49489</v>
      </c>
      <c r="T84" s="3">
        <v>12.8291</v>
      </c>
      <c r="U84" s="20"/>
    </row>
    <row r="85" spans="2:21" x14ac:dyDescent="0.25">
      <c r="B85" s="20"/>
      <c r="C85" s="8">
        <v>220.03</v>
      </c>
      <c r="D85" s="17">
        <f t="shared" si="15"/>
        <v>219.99</v>
      </c>
      <c r="E85" s="8">
        <v>165.8</v>
      </c>
      <c r="F85" s="17">
        <f t="shared" si="14"/>
        <v>16.799685</v>
      </c>
      <c r="G85" s="20"/>
      <c r="I85" s="20"/>
      <c r="J85" s="3">
        <v>184.42</v>
      </c>
      <c r="K85" s="3">
        <f t="shared" si="16"/>
        <v>184.37099999999998</v>
      </c>
      <c r="L85" s="3">
        <v>312.26</v>
      </c>
      <c r="M85" s="17">
        <f t="shared" si="17"/>
        <v>4.1631127720000001E-2</v>
      </c>
      <c r="N85" s="20"/>
      <c r="P85" s="20"/>
      <c r="Q85" s="2">
        <v>220</v>
      </c>
      <c r="R85" s="17">
        <v>0.50039999999999996</v>
      </c>
      <c r="T85" s="3">
        <v>12.984</v>
      </c>
      <c r="U85" s="20"/>
    </row>
    <row r="86" spans="2:21" x14ac:dyDescent="0.25">
      <c r="B86" s="20"/>
      <c r="C86" s="8">
        <v>221.98</v>
      </c>
      <c r="D86" s="17">
        <f t="shared" si="15"/>
        <v>221.94</v>
      </c>
      <c r="E86" s="8">
        <v>258.5</v>
      </c>
      <c r="F86" s="17">
        <f t="shared" si="14"/>
        <v>26.192512499999999</v>
      </c>
      <c r="G86" s="20"/>
      <c r="I86" s="20"/>
      <c r="J86" s="3">
        <v>185.28</v>
      </c>
      <c r="K86" s="3">
        <f t="shared" si="16"/>
        <v>185.23099999999999</v>
      </c>
      <c r="L86" s="3">
        <v>337.63</v>
      </c>
      <c r="M86" s="17">
        <f t="shared" si="17"/>
        <v>4.5013506860000004E-2</v>
      </c>
      <c r="N86" s="20"/>
      <c r="P86" s="20"/>
      <c r="Q86" s="2">
        <v>220</v>
      </c>
      <c r="R86" s="17">
        <v>0.50117</v>
      </c>
      <c r="T86" s="3">
        <v>13.0039</v>
      </c>
      <c r="U86" s="20"/>
    </row>
    <row r="87" spans="2:21" x14ac:dyDescent="0.25">
      <c r="B87" s="20"/>
      <c r="C87" s="8">
        <v>222.07</v>
      </c>
      <c r="D87" s="17">
        <f t="shared" si="15"/>
        <v>222.03</v>
      </c>
      <c r="E87" s="8">
        <v>263.5</v>
      </c>
      <c r="F87" s="17">
        <f t="shared" si="14"/>
        <v>26.699137499999999</v>
      </c>
      <c r="G87" s="20"/>
      <c r="I87" s="20"/>
      <c r="J87" s="3">
        <v>187.3</v>
      </c>
      <c r="K87" s="3">
        <f t="shared" si="16"/>
        <v>187.251</v>
      </c>
      <c r="L87" s="3">
        <v>404.78</v>
      </c>
      <c r="M87" s="17">
        <f t="shared" si="17"/>
        <v>5.3966079159999999E-2</v>
      </c>
      <c r="N87" s="20"/>
      <c r="P87" s="20"/>
      <c r="Q87" s="2">
        <v>220</v>
      </c>
      <c r="R87" s="17">
        <v>0.52442999999999995</v>
      </c>
      <c r="T87" s="3">
        <v>13.663600000000001</v>
      </c>
      <c r="U87" s="20"/>
    </row>
    <row r="88" spans="2:21" x14ac:dyDescent="0.25">
      <c r="B88" s="20"/>
      <c r="C88" s="8">
        <v>226.29</v>
      </c>
      <c r="D88" s="17">
        <f t="shared" si="15"/>
        <v>226.25</v>
      </c>
      <c r="E88" s="8">
        <v>473.1</v>
      </c>
      <c r="F88" s="17">
        <f t="shared" si="14"/>
        <v>47.936857500000002</v>
      </c>
      <c r="G88" s="20"/>
      <c r="I88" s="20"/>
      <c r="J88" s="3">
        <v>187.74</v>
      </c>
      <c r="K88" s="3">
        <f t="shared" si="16"/>
        <v>187.691</v>
      </c>
      <c r="L88" s="3">
        <v>419.71</v>
      </c>
      <c r="M88" s="17">
        <f t="shared" si="17"/>
        <v>5.5956576620000004E-2</v>
      </c>
      <c r="N88" s="20"/>
      <c r="P88" s="20"/>
      <c r="Q88" s="2">
        <v>220</v>
      </c>
      <c r="R88" s="17">
        <v>0.54998999999999998</v>
      </c>
      <c r="T88" s="3">
        <v>14.3933</v>
      </c>
      <c r="U88" s="20"/>
    </row>
    <row r="89" spans="2:21" x14ac:dyDescent="0.25">
      <c r="B89" s="20"/>
      <c r="C89" s="8">
        <v>235.29</v>
      </c>
      <c r="D89" s="17">
        <f t="shared" si="15"/>
        <v>235.25</v>
      </c>
      <c r="E89" s="8">
        <v>946.1</v>
      </c>
      <c r="F89" s="17">
        <f t="shared" si="14"/>
        <v>95.863582500000007</v>
      </c>
      <c r="G89" s="20"/>
      <c r="I89" s="20"/>
      <c r="J89" s="3">
        <v>189.93</v>
      </c>
      <c r="K89" s="3">
        <f t="shared" si="16"/>
        <v>189.881</v>
      </c>
      <c r="L89" s="3">
        <v>509.31</v>
      </c>
      <c r="M89" s="17">
        <f t="shared" si="17"/>
        <v>6.7902227820000008E-2</v>
      </c>
      <c r="N89" s="20"/>
      <c r="P89" s="20"/>
      <c r="Q89" s="2">
        <v>220</v>
      </c>
      <c r="R89" s="17">
        <v>0.55059999999999998</v>
      </c>
      <c r="T89" s="3">
        <v>14.4107</v>
      </c>
      <c r="U89" s="20"/>
    </row>
    <row r="90" spans="2:21" x14ac:dyDescent="0.25">
      <c r="B90" s="20"/>
      <c r="C90" s="8">
        <v>242.69</v>
      </c>
      <c r="D90" s="17">
        <f t="shared" si="15"/>
        <v>242.65</v>
      </c>
      <c r="E90" s="8">
        <v>1362.6</v>
      </c>
      <c r="F90" s="17">
        <f t="shared" si="14"/>
        <v>138.06544499999998</v>
      </c>
      <c r="G90" s="20"/>
      <c r="I90" s="20"/>
      <c r="J90" s="3">
        <v>192.84</v>
      </c>
      <c r="K90" s="3">
        <f t="shared" si="16"/>
        <v>192.791</v>
      </c>
      <c r="L90" s="3">
        <v>651.88</v>
      </c>
      <c r="M90" s="17">
        <f t="shared" si="17"/>
        <v>8.6909945360000004E-2</v>
      </c>
      <c r="N90" s="20"/>
      <c r="P90" s="20"/>
      <c r="Q90" s="2">
        <v>220</v>
      </c>
      <c r="R90" s="17">
        <v>0.56023000000000001</v>
      </c>
      <c r="T90" s="3">
        <v>14.687200000000001</v>
      </c>
      <c r="U90" s="20"/>
    </row>
    <row r="91" spans="2:21" x14ac:dyDescent="0.25">
      <c r="B91" s="20"/>
      <c r="C91" s="8">
        <v>242.7</v>
      </c>
      <c r="D91" s="3">
        <f t="shared" si="15"/>
        <v>242.66</v>
      </c>
      <c r="E91" s="8">
        <v>1362.6</v>
      </c>
      <c r="F91" s="17">
        <f t="shared" si="14"/>
        <v>138.06544499999998</v>
      </c>
      <c r="G91" s="20"/>
      <c r="I91" s="20"/>
      <c r="J91" s="3">
        <v>192.99</v>
      </c>
      <c r="K91" s="3">
        <f t="shared" si="16"/>
        <v>192.941</v>
      </c>
      <c r="L91" s="3">
        <v>657.15</v>
      </c>
      <c r="M91" s="17">
        <f t="shared" si="17"/>
        <v>8.7612552300000007E-2</v>
      </c>
      <c r="N91" s="20"/>
      <c r="P91" s="20"/>
      <c r="Q91" s="2">
        <v>220</v>
      </c>
      <c r="R91" s="17">
        <v>0.57076000000000005</v>
      </c>
      <c r="T91" s="3">
        <v>14.9918</v>
      </c>
      <c r="U91" s="20"/>
    </row>
    <row r="92" spans="2:21" x14ac:dyDescent="0.25">
      <c r="B92" s="20"/>
      <c r="C92" s="8">
        <v>252.29</v>
      </c>
      <c r="D92" s="3">
        <f t="shared" si="15"/>
        <v>252.25</v>
      </c>
      <c r="E92" s="8">
        <v>1934</v>
      </c>
      <c r="F92" s="17">
        <f t="shared" si="14"/>
        <v>195.96254999999999</v>
      </c>
      <c r="G92" s="20"/>
      <c r="I92" s="20"/>
      <c r="J92" s="3">
        <v>194.59</v>
      </c>
      <c r="K92" s="3">
        <f t="shared" si="16"/>
        <v>194.541</v>
      </c>
      <c r="L92" s="3">
        <v>753.03</v>
      </c>
      <c r="M92" s="17">
        <f t="shared" si="17"/>
        <v>0.10039546566</v>
      </c>
      <c r="N92" s="20"/>
      <c r="P92" s="20"/>
      <c r="Q92" s="2">
        <v>220</v>
      </c>
      <c r="R92" s="17">
        <v>0.58069000000000004</v>
      </c>
      <c r="T92" s="3">
        <v>15.279500000000001</v>
      </c>
      <c r="U92" s="20"/>
    </row>
    <row r="93" spans="2:21" x14ac:dyDescent="0.25">
      <c r="B93" s="20"/>
      <c r="C93" s="8">
        <v>259.13</v>
      </c>
      <c r="D93" s="3">
        <f t="shared" si="15"/>
        <v>259.08999999999997</v>
      </c>
      <c r="E93" s="8">
        <v>2371</v>
      </c>
      <c r="F93" s="17">
        <f t="shared" si="14"/>
        <v>240.24157499999998</v>
      </c>
      <c r="G93" s="20"/>
      <c r="I93" s="20"/>
      <c r="J93" s="3">
        <v>196.81</v>
      </c>
      <c r="K93" s="3">
        <f t="shared" si="16"/>
        <v>196.761</v>
      </c>
      <c r="L93" s="3">
        <v>900.98</v>
      </c>
      <c r="M93" s="17">
        <f t="shared" si="17"/>
        <v>0.12012045556000001</v>
      </c>
      <c r="N93" s="20"/>
      <c r="P93" s="20"/>
      <c r="Q93" s="2">
        <v>220</v>
      </c>
      <c r="R93" s="17">
        <v>1.00854</v>
      </c>
      <c r="T93" s="3">
        <v>1167.07</v>
      </c>
      <c r="U93" s="20"/>
    </row>
    <row r="94" spans="2:21" x14ac:dyDescent="0.25">
      <c r="B94" s="20"/>
      <c r="C94" s="8">
        <v>259.24</v>
      </c>
      <c r="D94" s="3">
        <f t="shared" si="15"/>
        <v>259.2</v>
      </c>
      <c r="E94" s="8">
        <v>2379.8000000000002</v>
      </c>
      <c r="F94" s="17">
        <f t="shared" si="14"/>
        <v>241.13323500000001</v>
      </c>
      <c r="G94" s="20"/>
      <c r="I94" s="20"/>
      <c r="J94" s="3">
        <v>197.52</v>
      </c>
      <c r="K94" s="3">
        <f t="shared" si="16"/>
        <v>197.471</v>
      </c>
      <c r="L94" s="3">
        <v>954.2</v>
      </c>
      <c r="M94" s="17">
        <f t="shared" si="17"/>
        <v>0.12721585240000002</v>
      </c>
      <c r="N94" s="20"/>
      <c r="P94" s="20"/>
      <c r="Q94" s="2">
        <v>220</v>
      </c>
      <c r="R94" s="17">
        <v>2.0145400000000002</v>
      </c>
      <c r="T94" s="3">
        <v>1169.26</v>
      </c>
      <c r="U94" s="20"/>
    </row>
    <row r="95" spans="2:21" x14ac:dyDescent="0.25">
      <c r="B95" s="20"/>
      <c r="C95" s="8">
        <v>261.66000000000003</v>
      </c>
      <c r="D95" s="3">
        <f t="shared" si="15"/>
        <v>261.62</v>
      </c>
      <c r="E95" s="8">
        <v>2536.8000000000002</v>
      </c>
      <c r="F95" s="17">
        <f t="shared" si="14"/>
        <v>257.04126000000002</v>
      </c>
      <c r="G95" s="20"/>
      <c r="I95" s="20"/>
      <c r="J95" s="3">
        <v>199.34</v>
      </c>
      <c r="K95" s="3">
        <f t="shared" si="16"/>
        <v>199.291</v>
      </c>
      <c r="L95" s="3">
        <v>1102.54</v>
      </c>
      <c r="M95" s="17">
        <f t="shared" si="17"/>
        <v>0.14699283788</v>
      </c>
      <c r="N95" s="20"/>
      <c r="P95" s="20"/>
      <c r="Q95" s="2">
        <v>220</v>
      </c>
      <c r="R95" s="17">
        <v>2.9993500000000002</v>
      </c>
      <c r="T95" s="3">
        <v>1171.4100000000001</v>
      </c>
      <c r="U95" s="20"/>
    </row>
    <row r="96" spans="2:21" x14ac:dyDescent="0.25">
      <c r="B96" s="20"/>
      <c r="C96" s="8">
        <v>261.66000000000003</v>
      </c>
      <c r="D96" s="3">
        <f t="shared" si="15"/>
        <v>261.62</v>
      </c>
      <c r="E96" s="8">
        <v>2536.8000000000002</v>
      </c>
      <c r="F96" s="17">
        <f t="shared" si="14"/>
        <v>257.04126000000002</v>
      </c>
      <c r="G96" s="20"/>
      <c r="I96" s="20"/>
      <c r="J96" s="3">
        <v>201.79</v>
      </c>
      <c r="K96" s="3">
        <f t="shared" si="16"/>
        <v>201.74099999999999</v>
      </c>
      <c r="L96" s="3">
        <v>1333.22</v>
      </c>
      <c r="M96" s="17">
        <f t="shared" si="17"/>
        <v>0.17774755684000001</v>
      </c>
      <c r="N96" s="20"/>
      <c r="P96" s="20"/>
      <c r="Q96" s="2">
        <v>220</v>
      </c>
      <c r="R96" s="17">
        <v>4.0028899999999998</v>
      </c>
      <c r="T96" s="3">
        <v>1173.52</v>
      </c>
      <c r="U96" s="20"/>
    </row>
    <row r="97" spans="2:21" x14ac:dyDescent="0.25">
      <c r="B97" s="20"/>
      <c r="C97" s="8">
        <v>265.70999999999998</v>
      </c>
      <c r="D97" s="3">
        <f t="shared" si="15"/>
        <v>265.66999999999996</v>
      </c>
      <c r="E97" s="8">
        <v>2805.6</v>
      </c>
      <c r="F97" s="17">
        <f t="shared" si="14"/>
        <v>284.27742000000001</v>
      </c>
      <c r="G97" s="20"/>
      <c r="I97" s="20"/>
      <c r="J97" s="3">
        <v>202.87</v>
      </c>
      <c r="K97" s="3">
        <f t="shared" si="16"/>
        <v>202.821</v>
      </c>
      <c r="L97" s="3">
        <v>1447.65</v>
      </c>
      <c r="M97" s="17">
        <f t="shared" si="17"/>
        <v>0.19300359330000003</v>
      </c>
      <c r="N97" s="20"/>
      <c r="P97" s="20"/>
      <c r="Q97" s="2">
        <v>220</v>
      </c>
      <c r="R97" s="17">
        <v>5.0030999999999999</v>
      </c>
      <c r="T97" s="3">
        <v>1175.6199999999999</v>
      </c>
      <c r="U97" s="20"/>
    </row>
    <row r="98" spans="2:21" x14ac:dyDescent="0.25">
      <c r="B98" s="20"/>
      <c r="C98" s="8">
        <v>266.04000000000002</v>
      </c>
      <c r="D98" s="3">
        <f t="shared" si="15"/>
        <v>266</v>
      </c>
      <c r="E98" s="8">
        <v>2830.2</v>
      </c>
      <c r="F98" s="17">
        <f t="shared" si="14"/>
        <v>286.770015</v>
      </c>
      <c r="G98" s="20"/>
      <c r="I98" s="20"/>
      <c r="J98" s="3">
        <v>203.85</v>
      </c>
      <c r="K98" s="3">
        <f t="shared" si="16"/>
        <v>203.80099999999999</v>
      </c>
      <c r="L98" s="3">
        <v>1559.22</v>
      </c>
      <c r="M98" s="17">
        <f t="shared" si="17"/>
        <v>0.20787832884000002</v>
      </c>
      <c r="N98" s="20"/>
      <c r="P98" s="20"/>
      <c r="Q98" s="2">
        <v>220</v>
      </c>
      <c r="R98" s="17">
        <v>5.9994199999999998</v>
      </c>
      <c r="T98" s="3">
        <v>1177.6600000000001</v>
      </c>
      <c r="U98" s="20"/>
    </row>
    <row r="99" spans="2:21" x14ac:dyDescent="0.25">
      <c r="B99" s="20"/>
      <c r="C99" s="20"/>
      <c r="D99" s="20"/>
      <c r="E99" s="20"/>
      <c r="F99" s="20"/>
      <c r="G99" s="20"/>
      <c r="I99" s="20"/>
      <c r="J99" s="3">
        <v>205.29</v>
      </c>
      <c r="K99" s="3">
        <f t="shared" si="16"/>
        <v>205.24099999999999</v>
      </c>
      <c r="L99" s="3">
        <v>1736.43</v>
      </c>
      <c r="M99" s="17">
        <f t="shared" si="17"/>
        <v>0.23150432046000002</v>
      </c>
      <c r="N99" s="20"/>
      <c r="P99" s="20"/>
      <c r="Q99" s="2">
        <v>220</v>
      </c>
      <c r="R99" s="17">
        <v>6.0013699999999996</v>
      </c>
      <c r="T99" s="3">
        <v>1177.67</v>
      </c>
      <c r="U99" s="20"/>
    </row>
    <row r="100" spans="2:21" x14ac:dyDescent="0.25">
      <c r="I100" s="20"/>
      <c r="J100" s="3">
        <v>207.08</v>
      </c>
      <c r="K100" s="3">
        <f t="shared" si="16"/>
        <v>207.03100000000001</v>
      </c>
      <c r="L100" s="3">
        <v>1980.96</v>
      </c>
      <c r="M100" s="17">
        <f t="shared" si="17"/>
        <v>0.26410554912</v>
      </c>
      <c r="N100" s="20"/>
      <c r="P100" s="20"/>
      <c r="Q100" s="2">
        <v>220</v>
      </c>
      <c r="R100" s="17">
        <v>7.0210800000000004</v>
      </c>
      <c r="T100" s="3">
        <v>1179.77</v>
      </c>
      <c r="U100" s="20"/>
    </row>
    <row r="101" spans="2:21" x14ac:dyDescent="0.25">
      <c r="B101" s="21"/>
      <c r="C101" s="21" t="s">
        <v>2</v>
      </c>
      <c r="D101" s="21"/>
      <c r="E101" s="21"/>
      <c r="I101" s="20"/>
      <c r="J101" s="3">
        <v>207.27</v>
      </c>
      <c r="K101" s="3">
        <f t="shared" si="16"/>
        <v>207.221</v>
      </c>
      <c r="L101" s="3">
        <v>2008.7</v>
      </c>
      <c r="M101" s="17">
        <f t="shared" si="17"/>
        <v>0.26780390140000004</v>
      </c>
      <c r="N101" s="20"/>
      <c r="P101" s="20"/>
      <c r="Q101" s="2">
        <v>220</v>
      </c>
      <c r="R101" s="17">
        <v>8.0075400000000005</v>
      </c>
      <c r="T101" s="3">
        <v>1181.75</v>
      </c>
      <c r="U101" s="20"/>
    </row>
    <row r="102" spans="2:21" x14ac:dyDescent="0.25">
      <c r="B102" s="20"/>
      <c r="C102" s="1" t="s">
        <v>1</v>
      </c>
      <c r="D102" s="1" t="s">
        <v>0</v>
      </c>
      <c r="E102" s="20"/>
      <c r="I102" s="20"/>
      <c r="J102" s="3">
        <v>207.66</v>
      </c>
      <c r="K102" s="3">
        <f t="shared" si="16"/>
        <v>207.61099999999999</v>
      </c>
      <c r="L102" s="3">
        <v>2066.27</v>
      </c>
      <c r="M102" s="17">
        <f t="shared" si="17"/>
        <v>0.27547924894000003</v>
      </c>
      <c r="N102" s="20"/>
      <c r="P102" s="20"/>
      <c r="Q102" s="2">
        <v>220</v>
      </c>
      <c r="R102" s="17">
        <v>9.0009899999999998</v>
      </c>
      <c r="T102" s="3">
        <v>1183.69</v>
      </c>
      <c r="U102" s="20"/>
    </row>
    <row r="103" spans="2:21" x14ac:dyDescent="0.25">
      <c r="B103" s="20"/>
      <c r="C103" s="8">
        <v>216.58</v>
      </c>
      <c r="D103" s="8">
        <v>0.51793999999999996</v>
      </c>
      <c r="E103" s="20"/>
      <c r="I103" s="20"/>
      <c r="J103" s="3">
        <v>208.03</v>
      </c>
      <c r="K103" s="3">
        <f t="shared" si="16"/>
        <v>207.98099999999999</v>
      </c>
      <c r="L103" s="3">
        <v>2123.0300000000002</v>
      </c>
      <c r="M103" s="17">
        <f t="shared" si="17"/>
        <v>0.28304660566000006</v>
      </c>
      <c r="N103" s="20"/>
      <c r="P103" s="20"/>
      <c r="Q103" s="2">
        <v>230</v>
      </c>
      <c r="R103" s="17">
        <v>0.80247999999999997</v>
      </c>
      <c r="T103" s="3">
        <v>20.601600000000001</v>
      </c>
      <c r="U103" s="20"/>
    </row>
    <row r="104" spans="2:21" x14ac:dyDescent="0.25">
      <c r="B104" s="20"/>
      <c r="C104" s="8">
        <v>216.58</v>
      </c>
      <c r="D104" s="8">
        <v>0.51795999999999998</v>
      </c>
      <c r="E104" s="20"/>
      <c r="I104" s="20"/>
      <c r="J104" s="3">
        <v>208.49</v>
      </c>
      <c r="K104" s="3">
        <f t="shared" si="16"/>
        <v>208.441</v>
      </c>
      <c r="L104" s="3">
        <v>2194.9699999999998</v>
      </c>
      <c r="M104" s="17">
        <f t="shared" si="17"/>
        <v>0.29263779033999998</v>
      </c>
      <c r="N104" s="20"/>
      <c r="P104" s="20"/>
      <c r="Q104" s="2">
        <v>230</v>
      </c>
      <c r="R104" s="17">
        <v>0.84975999999999996</v>
      </c>
      <c r="T104" s="3">
        <v>21.9848</v>
      </c>
      <c r="U104" s="20"/>
    </row>
    <row r="105" spans="2:21" x14ac:dyDescent="0.25">
      <c r="B105" s="20"/>
      <c r="C105" s="8">
        <v>217</v>
      </c>
      <c r="D105" s="8">
        <v>0.52746999999999999</v>
      </c>
      <c r="E105" s="20"/>
      <c r="I105" s="20"/>
      <c r="J105" s="3">
        <v>209.35</v>
      </c>
      <c r="K105" s="3">
        <f t="shared" si="16"/>
        <v>209.30099999999999</v>
      </c>
      <c r="L105" s="3">
        <v>2334.71</v>
      </c>
      <c r="M105" s="17">
        <f t="shared" si="17"/>
        <v>0.31126820662000004</v>
      </c>
      <c r="N105" s="20"/>
      <c r="P105" s="20"/>
      <c r="Q105" s="3">
        <v>233.15</v>
      </c>
      <c r="R105" s="17">
        <v>4.1876699999999998</v>
      </c>
      <c r="T105" s="3">
        <v>1125.2</v>
      </c>
      <c r="U105" s="20"/>
    </row>
    <row r="106" spans="2:21" x14ac:dyDescent="0.25">
      <c r="B106" s="20"/>
      <c r="C106" s="8">
        <v>217</v>
      </c>
      <c r="D106" s="8">
        <v>0.52746000000000004</v>
      </c>
      <c r="E106" s="20"/>
      <c r="I106" s="20"/>
      <c r="J106" s="3">
        <v>210.78</v>
      </c>
      <c r="K106" s="3">
        <f t="shared" si="16"/>
        <v>210.73099999999999</v>
      </c>
      <c r="L106" s="3">
        <v>2587.46</v>
      </c>
      <c r="M106" s="17">
        <f t="shared" si="17"/>
        <v>0.34496534212000002</v>
      </c>
      <c r="N106" s="20"/>
      <c r="P106" s="20"/>
      <c r="Q106" s="3">
        <v>240</v>
      </c>
      <c r="R106" s="17">
        <v>0.30146000000000001</v>
      </c>
      <c r="T106" s="3">
        <v>6.8643999999999998</v>
      </c>
      <c r="U106" s="20"/>
    </row>
    <row r="107" spans="2:21" x14ac:dyDescent="0.25">
      <c r="B107" s="20"/>
      <c r="C107" s="8">
        <v>217</v>
      </c>
      <c r="D107" s="8">
        <v>0.52744000000000002</v>
      </c>
      <c r="E107" s="20"/>
      <c r="I107" s="20"/>
      <c r="J107" s="3">
        <v>210.98</v>
      </c>
      <c r="K107" s="3">
        <f t="shared" si="16"/>
        <v>210.93099999999998</v>
      </c>
      <c r="L107" s="3">
        <v>2623.43</v>
      </c>
      <c r="M107" s="17">
        <f t="shared" si="17"/>
        <v>0.34976093446000001</v>
      </c>
      <c r="N107" s="20"/>
      <c r="P107" s="20"/>
      <c r="Q107" s="3">
        <v>240</v>
      </c>
      <c r="R107" s="17">
        <v>0.50122999999999995</v>
      </c>
      <c r="T107" s="3">
        <v>11.6769</v>
      </c>
      <c r="U107" s="20"/>
    </row>
    <row r="108" spans="2:21" x14ac:dyDescent="0.25">
      <c r="B108" s="20"/>
      <c r="C108" s="8">
        <v>217</v>
      </c>
      <c r="D108" s="8">
        <v>0.52746999999999999</v>
      </c>
      <c r="E108" s="20"/>
      <c r="I108" s="20"/>
      <c r="J108" s="3">
        <v>211.16</v>
      </c>
      <c r="K108" s="3">
        <f t="shared" si="16"/>
        <v>211.11099999999999</v>
      </c>
      <c r="L108" s="3">
        <v>2656.68</v>
      </c>
      <c r="M108" s="17">
        <f t="shared" si="17"/>
        <v>0.35419389095999998</v>
      </c>
      <c r="N108" s="20"/>
      <c r="P108" s="20"/>
      <c r="Q108" s="3">
        <v>240</v>
      </c>
      <c r="R108" s="17">
        <v>0.50190999999999997</v>
      </c>
      <c r="T108" s="3">
        <v>11.693099999999999</v>
      </c>
      <c r="U108" s="20"/>
    </row>
    <row r="109" spans="2:21" x14ac:dyDescent="0.25">
      <c r="B109" s="20"/>
      <c r="C109" s="8">
        <v>217</v>
      </c>
      <c r="D109" s="8">
        <v>0.52742999999999995</v>
      </c>
      <c r="E109" s="20"/>
      <c r="I109" s="20"/>
      <c r="J109" s="3">
        <v>211.28</v>
      </c>
      <c r="K109" s="3">
        <f t="shared" si="16"/>
        <v>211.23099999999999</v>
      </c>
      <c r="L109" s="3">
        <v>2680.2</v>
      </c>
      <c r="M109" s="17">
        <f t="shared" si="17"/>
        <v>0.35732962439999999</v>
      </c>
      <c r="N109" s="20"/>
      <c r="P109" s="20"/>
      <c r="Q109" s="3">
        <v>240</v>
      </c>
      <c r="R109" s="17">
        <v>0.75036000000000003</v>
      </c>
      <c r="T109" s="3">
        <v>18.0261</v>
      </c>
      <c r="U109" s="20"/>
    </row>
    <row r="110" spans="2:21" x14ac:dyDescent="0.25">
      <c r="B110" s="20"/>
      <c r="C110" s="8">
        <v>220</v>
      </c>
      <c r="D110" s="8">
        <v>0.59936999999999996</v>
      </c>
      <c r="E110" s="20"/>
      <c r="I110" s="20"/>
      <c r="J110" s="3">
        <v>211.34</v>
      </c>
      <c r="K110" s="3">
        <f t="shared" si="16"/>
        <v>211.291</v>
      </c>
      <c r="L110" s="3">
        <v>2691.71</v>
      </c>
      <c r="M110" s="17">
        <f t="shared" si="17"/>
        <v>0.35886416062000004</v>
      </c>
      <c r="N110" s="20"/>
      <c r="P110" s="20"/>
      <c r="Q110" s="3">
        <v>240</v>
      </c>
      <c r="R110" s="17">
        <v>0.99563000000000001</v>
      </c>
      <c r="T110" s="3">
        <v>24.731100000000001</v>
      </c>
      <c r="U110" s="20"/>
    </row>
    <row r="111" spans="2:21" x14ac:dyDescent="0.25">
      <c r="B111" s="20"/>
      <c r="C111" s="8">
        <v>220</v>
      </c>
      <c r="D111" s="8">
        <v>0.59938000000000002</v>
      </c>
      <c r="E111" s="20"/>
      <c r="I111" s="20"/>
      <c r="J111" s="3">
        <v>213.24</v>
      </c>
      <c r="K111" s="3">
        <f t="shared" si="16"/>
        <v>213.191</v>
      </c>
      <c r="L111" s="3">
        <v>3074.76</v>
      </c>
      <c r="M111" s="17">
        <f t="shared" si="17"/>
        <v>0.40993315272000008</v>
      </c>
      <c r="N111" s="20"/>
      <c r="P111" s="20"/>
      <c r="Q111" s="3">
        <v>240</v>
      </c>
      <c r="R111" s="17">
        <v>0.99968000000000001</v>
      </c>
      <c r="T111" s="3">
        <v>24.845199999999998</v>
      </c>
      <c r="U111" s="20"/>
    </row>
    <row r="112" spans="2:21" x14ac:dyDescent="0.25">
      <c r="B112" s="20"/>
      <c r="C112" s="8">
        <v>220</v>
      </c>
      <c r="D112" s="8">
        <v>0.59936</v>
      </c>
      <c r="E112" s="20"/>
      <c r="I112" s="20"/>
      <c r="J112" s="3">
        <v>213.32</v>
      </c>
      <c r="K112" s="3">
        <f t="shared" si="16"/>
        <v>213.27099999999999</v>
      </c>
      <c r="L112" s="3">
        <v>3092.08</v>
      </c>
      <c r="M112" s="17">
        <f t="shared" si="17"/>
        <v>0.41224228975999999</v>
      </c>
      <c r="N112" s="20"/>
      <c r="P112" s="20"/>
      <c r="Q112" s="3">
        <v>240</v>
      </c>
      <c r="R112" s="17">
        <v>1.0008600000000001</v>
      </c>
      <c r="T112" s="3">
        <v>24.8796</v>
      </c>
      <c r="U112" s="20"/>
    </row>
    <row r="113" spans="2:21" x14ac:dyDescent="0.25">
      <c r="B113" s="20"/>
      <c r="C113" s="8">
        <v>220</v>
      </c>
      <c r="D113" s="8">
        <v>0.59938000000000002</v>
      </c>
      <c r="E113" s="20"/>
      <c r="I113" s="20"/>
      <c r="J113" s="3">
        <v>213.33</v>
      </c>
      <c r="K113" s="3">
        <f t="shared" si="16"/>
        <v>213.28100000000001</v>
      </c>
      <c r="L113" s="3">
        <v>3095.97</v>
      </c>
      <c r="M113" s="17">
        <f t="shared" si="17"/>
        <v>0.41276091234000001</v>
      </c>
      <c r="N113" s="20"/>
      <c r="P113" s="20"/>
      <c r="Q113" s="3">
        <v>240</v>
      </c>
      <c r="R113" s="17">
        <v>1.0009399999999999</v>
      </c>
      <c r="T113" s="3">
        <v>24.880800000000001</v>
      </c>
      <c r="U113" s="20"/>
    </row>
    <row r="114" spans="2:21" x14ac:dyDescent="0.25">
      <c r="B114" s="20"/>
      <c r="C114" s="8">
        <v>220</v>
      </c>
      <c r="D114" s="8">
        <v>0.59941</v>
      </c>
      <c r="E114" s="20"/>
      <c r="I114" s="20"/>
      <c r="J114" s="3">
        <v>213.36</v>
      </c>
      <c r="K114" s="3">
        <f t="shared" si="16"/>
        <v>213.31100000000001</v>
      </c>
      <c r="L114" s="3">
        <v>3102.37</v>
      </c>
      <c r="M114" s="17">
        <f t="shared" si="17"/>
        <v>0.41361417313999999</v>
      </c>
      <c r="N114" s="20"/>
      <c r="P114" s="20"/>
      <c r="Q114" s="3">
        <v>240</v>
      </c>
      <c r="R114" s="17">
        <v>1.2543</v>
      </c>
      <c r="T114" s="3">
        <v>32.411700000000003</v>
      </c>
      <c r="U114" s="20"/>
    </row>
    <row r="115" spans="2:21" x14ac:dyDescent="0.25">
      <c r="B115" s="20"/>
      <c r="C115" s="8">
        <v>220</v>
      </c>
      <c r="D115" s="8">
        <v>0.59936999999999996</v>
      </c>
      <c r="E115" s="20"/>
      <c r="I115" s="20"/>
      <c r="J115" s="3">
        <v>213.39</v>
      </c>
      <c r="K115" s="3">
        <f t="shared" si="16"/>
        <v>213.34099999999998</v>
      </c>
      <c r="L115" s="3">
        <v>3107.75</v>
      </c>
      <c r="M115" s="17">
        <f t="shared" si="17"/>
        <v>0.41433144550000001</v>
      </c>
      <c r="N115" s="20"/>
      <c r="P115" s="20"/>
      <c r="Q115" s="3">
        <v>240</v>
      </c>
      <c r="R115" s="17">
        <v>1.3922099999999999</v>
      </c>
      <c r="T115" s="3">
        <v>1089.26</v>
      </c>
      <c r="U115" s="20"/>
    </row>
    <row r="116" spans="2:21" x14ac:dyDescent="0.25">
      <c r="B116" s="20"/>
      <c r="C116" s="8">
        <v>220</v>
      </c>
      <c r="D116" s="8">
        <v>0.59936</v>
      </c>
      <c r="E116" s="20"/>
      <c r="I116" s="20"/>
      <c r="J116" s="3">
        <v>213.39</v>
      </c>
      <c r="K116" s="3">
        <f t="shared" si="16"/>
        <v>213.34099999999998</v>
      </c>
      <c r="L116" s="3">
        <v>3108.82</v>
      </c>
      <c r="M116" s="17">
        <f t="shared" si="17"/>
        <v>0.41447410004000007</v>
      </c>
      <c r="N116" s="20"/>
      <c r="P116" s="20"/>
      <c r="Q116" s="3">
        <v>240</v>
      </c>
      <c r="R116" s="17">
        <v>2.0010300000000001</v>
      </c>
      <c r="T116" s="3">
        <v>1091.27</v>
      </c>
      <c r="U116" s="20"/>
    </row>
    <row r="117" spans="2:21" x14ac:dyDescent="0.25">
      <c r="B117" s="20"/>
      <c r="C117" s="8">
        <v>220</v>
      </c>
      <c r="D117" s="8">
        <v>0.59940000000000004</v>
      </c>
      <c r="E117" s="20"/>
      <c r="I117" s="20"/>
      <c r="J117" s="3">
        <v>213.4</v>
      </c>
      <c r="K117" s="3">
        <f t="shared" si="16"/>
        <v>213.351</v>
      </c>
      <c r="L117" s="3">
        <v>3110.95</v>
      </c>
      <c r="M117" s="17">
        <f t="shared" si="17"/>
        <v>0.41475807590000002</v>
      </c>
      <c r="N117" s="20"/>
      <c r="P117" s="20"/>
      <c r="Q117" s="3">
        <v>240</v>
      </c>
      <c r="R117" s="17">
        <v>3.0052699999999999</v>
      </c>
      <c r="T117" s="3">
        <v>1094.51</v>
      </c>
      <c r="U117" s="20"/>
    </row>
    <row r="118" spans="2:21" x14ac:dyDescent="0.25">
      <c r="B118" s="20"/>
      <c r="C118" s="8">
        <v>220</v>
      </c>
      <c r="D118" s="8">
        <v>0.59941999999999995</v>
      </c>
      <c r="E118" s="20"/>
      <c r="I118" s="20"/>
      <c r="J118" s="3">
        <v>213.44</v>
      </c>
      <c r="K118" s="3">
        <f t="shared" si="16"/>
        <v>213.39099999999999</v>
      </c>
      <c r="L118" s="3">
        <v>3118.43</v>
      </c>
      <c r="M118" s="17">
        <f t="shared" si="17"/>
        <v>0.41575532446000002</v>
      </c>
      <c r="N118" s="20"/>
      <c r="P118" s="20"/>
      <c r="Q118" s="3">
        <v>240</v>
      </c>
      <c r="R118" s="17">
        <v>4.0102500000000001</v>
      </c>
      <c r="T118" s="3">
        <v>1097.6600000000001</v>
      </c>
      <c r="U118" s="20"/>
    </row>
    <row r="119" spans="2:21" x14ac:dyDescent="0.25">
      <c r="B119" s="20"/>
      <c r="C119" s="8">
        <v>225</v>
      </c>
      <c r="D119" s="8">
        <v>0.73533999999999999</v>
      </c>
      <c r="E119" s="20"/>
      <c r="I119" s="20"/>
      <c r="J119" s="3">
        <v>213.46</v>
      </c>
      <c r="K119" s="3">
        <f t="shared" si="16"/>
        <v>213.411</v>
      </c>
      <c r="L119" s="3">
        <v>3124</v>
      </c>
      <c r="M119" s="17">
        <f t="shared" si="17"/>
        <v>0.41649792800000002</v>
      </c>
      <c r="N119" s="20"/>
      <c r="P119" s="20"/>
      <c r="Q119" s="3">
        <v>240</v>
      </c>
      <c r="R119" s="17">
        <v>5.0008600000000003</v>
      </c>
      <c r="T119" s="3">
        <v>1100.7</v>
      </c>
      <c r="U119" s="20"/>
    </row>
    <row r="120" spans="2:21" x14ac:dyDescent="0.25">
      <c r="B120" s="20"/>
      <c r="C120" s="8">
        <v>225</v>
      </c>
      <c r="D120" s="8">
        <v>0.73536000000000001</v>
      </c>
      <c r="E120" s="20"/>
      <c r="I120" s="20"/>
      <c r="J120" s="3">
        <v>213.48</v>
      </c>
      <c r="K120" s="3">
        <f t="shared" si="16"/>
        <v>213.43099999999998</v>
      </c>
      <c r="L120" s="3">
        <v>3128.55</v>
      </c>
      <c r="M120" s="17">
        <f t="shared" si="17"/>
        <v>0.41710454310000006</v>
      </c>
      <c r="N120" s="20"/>
      <c r="P120" s="20"/>
      <c r="Q120" s="3">
        <v>240</v>
      </c>
      <c r="R120" s="17">
        <v>5.0101800000000001</v>
      </c>
      <c r="T120" s="3">
        <v>1100.72</v>
      </c>
      <c r="U120" s="20"/>
    </row>
    <row r="121" spans="2:21" x14ac:dyDescent="0.25">
      <c r="B121" s="20"/>
      <c r="C121" s="8">
        <v>230</v>
      </c>
      <c r="D121" s="8">
        <v>0.89324000000000003</v>
      </c>
      <c r="E121" s="20"/>
      <c r="I121" s="20"/>
      <c r="J121" s="3">
        <v>213.52</v>
      </c>
      <c r="K121" s="3">
        <f t="shared" si="16"/>
        <v>213.471</v>
      </c>
      <c r="L121" s="3">
        <v>3137.22</v>
      </c>
      <c r="M121" s="17">
        <f t="shared" si="17"/>
        <v>0.41826044484000002</v>
      </c>
      <c r="N121" s="20"/>
      <c r="P121" s="20"/>
      <c r="Q121" s="3">
        <v>240</v>
      </c>
      <c r="R121" s="17">
        <v>6.0094700000000003</v>
      </c>
      <c r="T121" s="3">
        <v>1103.7</v>
      </c>
      <c r="U121" s="20"/>
    </row>
    <row r="122" spans="2:21" x14ac:dyDescent="0.25">
      <c r="B122" s="20"/>
      <c r="C122" s="8">
        <v>230</v>
      </c>
      <c r="D122" s="8">
        <v>0.89319999999999999</v>
      </c>
      <c r="E122" s="20"/>
      <c r="I122" s="20"/>
      <c r="J122" s="3">
        <v>213.56</v>
      </c>
      <c r="K122" s="3">
        <f t="shared" si="16"/>
        <v>213.511</v>
      </c>
      <c r="L122" s="3">
        <v>3145.36</v>
      </c>
      <c r="M122" s="17">
        <f t="shared" si="17"/>
        <v>0.41934568592000004</v>
      </c>
      <c r="N122" s="20"/>
      <c r="P122" s="20"/>
      <c r="Q122" s="3">
        <v>240</v>
      </c>
      <c r="R122" s="17">
        <v>7.0034400000000003</v>
      </c>
      <c r="T122" s="3">
        <v>1106.6300000000001</v>
      </c>
      <c r="U122" s="20"/>
    </row>
    <row r="123" spans="2:21" x14ac:dyDescent="0.25">
      <c r="B123" s="20"/>
      <c r="C123" s="8">
        <v>230</v>
      </c>
      <c r="D123" s="8">
        <v>0.89324000000000003</v>
      </c>
      <c r="E123" s="20"/>
      <c r="I123" s="20"/>
      <c r="J123" s="3">
        <v>213.59</v>
      </c>
      <c r="K123" s="3">
        <f t="shared" si="16"/>
        <v>213.541</v>
      </c>
      <c r="L123" s="3">
        <v>3151.81</v>
      </c>
      <c r="M123" s="17">
        <f t="shared" si="17"/>
        <v>0.42020561282000002</v>
      </c>
      <c r="N123" s="20"/>
      <c r="P123" s="20"/>
      <c r="Q123" s="3">
        <v>240</v>
      </c>
      <c r="R123" s="17">
        <v>7.9973400000000003</v>
      </c>
      <c r="T123" s="3">
        <v>1109.47</v>
      </c>
      <c r="U123" s="20"/>
    </row>
    <row r="124" spans="2:21" x14ac:dyDescent="0.25">
      <c r="B124" s="20"/>
      <c r="C124" s="8">
        <v>235</v>
      </c>
      <c r="D124" s="8">
        <v>1.07498</v>
      </c>
      <c r="E124" s="20"/>
      <c r="I124" s="20"/>
      <c r="J124" s="3">
        <v>213.73</v>
      </c>
      <c r="K124" s="3">
        <f t="shared" si="16"/>
        <v>213.68099999999998</v>
      </c>
      <c r="L124" s="3">
        <v>3182.25</v>
      </c>
      <c r="M124" s="17">
        <f t="shared" si="17"/>
        <v>0.42426393450000005</v>
      </c>
      <c r="N124" s="20"/>
      <c r="P124" s="20"/>
      <c r="Q124" s="3">
        <v>240</v>
      </c>
      <c r="R124" s="17">
        <v>8.9916800000000006</v>
      </c>
      <c r="T124" s="3">
        <v>1112.22</v>
      </c>
      <c r="U124" s="20"/>
    </row>
    <row r="125" spans="2:21" x14ac:dyDescent="0.25">
      <c r="B125" s="20"/>
      <c r="C125" s="8">
        <v>235</v>
      </c>
      <c r="D125" s="8">
        <v>1.0749599999999999</v>
      </c>
      <c r="E125" s="20"/>
      <c r="I125" s="20"/>
      <c r="J125" s="3">
        <v>213.75</v>
      </c>
      <c r="K125" s="3">
        <f t="shared" si="16"/>
        <v>213.70099999999999</v>
      </c>
      <c r="L125" s="3">
        <v>3187.73</v>
      </c>
      <c r="M125" s="17">
        <f t="shared" si="17"/>
        <v>0.42499453906000001</v>
      </c>
      <c r="N125" s="20"/>
      <c r="P125" s="20"/>
      <c r="Q125" s="3">
        <v>250</v>
      </c>
      <c r="R125" s="17">
        <v>1.70011</v>
      </c>
      <c r="T125" s="3">
        <v>43.816899999999997</v>
      </c>
      <c r="U125" s="20"/>
    </row>
    <row r="126" spans="2:21" x14ac:dyDescent="0.25">
      <c r="B126" s="20"/>
      <c r="C126" s="8">
        <v>240</v>
      </c>
      <c r="D126" s="8">
        <v>1.2827500000000001</v>
      </c>
      <c r="E126" s="20"/>
      <c r="I126" s="20"/>
      <c r="J126" s="3">
        <v>213.78</v>
      </c>
      <c r="K126" s="3">
        <f t="shared" si="16"/>
        <v>213.73099999999999</v>
      </c>
      <c r="L126" s="3">
        <v>3193.19</v>
      </c>
      <c r="M126" s="17">
        <f t="shared" si="17"/>
        <v>0.42572247718000006</v>
      </c>
      <c r="N126" s="20"/>
      <c r="P126" s="20"/>
      <c r="Q126" s="3">
        <v>250</v>
      </c>
      <c r="R126" s="17">
        <v>1.7508300000000001</v>
      </c>
      <c r="T126" s="3">
        <v>45.4953</v>
      </c>
      <c r="U126" s="20"/>
    </row>
    <row r="127" spans="2:21" x14ac:dyDescent="0.25">
      <c r="B127" s="20"/>
      <c r="C127" s="8">
        <v>240</v>
      </c>
      <c r="D127" s="8">
        <v>1.2827999999999999</v>
      </c>
      <c r="E127" s="20"/>
      <c r="I127" s="20"/>
      <c r="J127" s="3">
        <v>213.85</v>
      </c>
      <c r="K127" s="3">
        <f t="shared" si="16"/>
        <v>213.80099999999999</v>
      </c>
      <c r="L127" s="3">
        <v>3208.52</v>
      </c>
      <c r="M127" s="17">
        <f t="shared" si="17"/>
        <v>0.42776630344000005</v>
      </c>
      <c r="N127" s="20"/>
      <c r="P127" s="20"/>
      <c r="Q127" s="3">
        <v>250</v>
      </c>
      <c r="R127" s="17">
        <v>5.4211099999999997</v>
      </c>
      <c r="T127" s="3">
        <v>1060.3900000000001</v>
      </c>
      <c r="U127" s="20"/>
    </row>
    <row r="128" spans="2:21" x14ac:dyDescent="0.25">
      <c r="B128" s="20"/>
      <c r="C128" s="8">
        <v>240</v>
      </c>
      <c r="D128" s="8">
        <v>1.28284</v>
      </c>
      <c r="E128" s="20"/>
      <c r="I128" s="20"/>
      <c r="J128" s="3">
        <v>213.9</v>
      </c>
      <c r="K128" s="3">
        <f t="shared" si="16"/>
        <v>213.851</v>
      </c>
      <c r="L128" s="3">
        <v>3219.56</v>
      </c>
      <c r="M128" s="17">
        <f t="shared" si="17"/>
        <v>0.42923817832</v>
      </c>
      <c r="N128" s="20"/>
      <c r="P128" s="20"/>
      <c r="Q128" s="3">
        <v>260</v>
      </c>
      <c r="R128" s="17">
        <v>0.50165999999999999</v>
      </c>
      <c r="T128" s="3">
        <v>10.6426</v>
      </c>
      <c r="U128" s="20"/>
    </row>
    <row r="129" spans="2:21" x14ac:dyDescent="0.25">
      <c r="B129" s="20"/>
      <c r="C129" s="8">
        <v>240</v>
      </c>
      <c r="D129" s="8">
        <v>1.28285</v>
      </c>
      <c r="E129" s="20"/>
      <c r="I129" s="20"/>
      <c r="J129" s="3">
        <v>213.97</v>
      </c>
      <c r="K129" s="3">
        <f t="shared" si="16"/>
        <v>213.92099999999999</v>
      </c>
      <c r="L129" s="3">
        <v>3236.13</v>
      </c>
      <c r="M129" s="17">
        <f t="shared" si="17"/>
        <v>0.43144732386000006</v>
      </c>
      <c r="N129" s="20"/>
      <c r="P129" s="20"/>
      <c r="Q129" s="3">
        <v>260</v>
      </c>
      <c r="R129" s="17">
        <v>0.50173999999999996</v>
      </c>
      <c r="T129" s="3">
        <v>10.6441</v>
      </c>
      <c r="U129" s="20"/>
    </row>
    <row r="130" spans="2:21" x14ac:dyDescent="0.25">
      <c r="B130" s="20"/>
      <c r="C130" s="8">
        <v>240</v>
      </c>
      <c r="D130" s="8">
        <v>1.2827900000000001</v>
      </c>
      <c r="E130" s="20"/>
      <c r="I130" s="20"/>
      <c r="J130" s="3">
        <v>214.22</v>
      </c>
      <c r="K130" s="3">
        <f t="shared" si="16"/>
        <v>214.17099999999999</v>
      </c>
      <c r="L130" s="3">
        <v>3291.41</v>
      </c>
      <c r="M130" s="17">
        <f t="shared" si="17"/>
        <v>0.43881736401999999</v>
      </c>
      <c r="N130" s="20"/>
      <c r="P130" s="20"/>
      <c r="Q130" s="3">
        <v>260</v>
      </c>
      <c r="R130" s="17">
        <v>1.00132</v>
      </c>
      <c r="T130" s="3">
        <v>22.246099999999998</v>
      </c>
      <c r="U130" s="20"/>
    </row>
    <row r="131" spans="2:21" x14ac:dyDescent="0.25">
      <c r="B131" s="20"/>
      <c r="C131" s="8">
        <v>245</v>
      </c>
      <c r="D131" s="8">
        <v>1.5188699999999999</v>
      </c>
      <c r="E131" s="20"/>
      <c r="I131" s="20"/>
      <c r="J131" s="3">
        <v>214.28</v>
      </c>
      <c r="K131" s="3">
        <f t="shared" si="16"/>
        <v>214.23099999999999</v>
      </c>
      <c r="L131" s="3">
        <v>3306.84</v>
      </c>
      <c r="M131" s="17">
        <f t="shared" si="17"/>
        <v>0.44087452248000003</v>
      </c>
      <c r="N131" s="20"/>
      <c r="P131" s="20"/>
      <c r="Q131" s="3">
        <v>260</v>
      </c>
      <c r="R131" s="17">
        <v>1.5002</v>
      </c>
      <c r="T131" s="3">
        <v>35.146999999999998</v>
      </c>
      <c r="U131" s="20"/>
    </row>
    <row r="132" spans="2:21" x14ac:dyDescent="0.25">
      <c r="B132" s="20"/>
      <c r="C132" s="8">
        <v>245</v>
      </c>
      <c r="D132" s="8">
        <v>1.51884</v>
      </c>
      <c r="E132" s="20"/>
      <c r="I132" s="20"/>
      <c r="J132" s="3">
        <v>214.39</v>
      </c>
      <c r="K132" s="3">
        <f t="shared" si="16"/>
        <v>214.34099999999998</v>
      </c>
      <c r="L132" s="3">
        <v>3332.47</v>
      </c>
      <c r="M132" s="17">
        <f t="shared" si="17"/>
        <v>0.44429156534000003</v>
      </c>
      <c r="N132" s="20"/>
      <c r="P132" s="20"/>
      <c r="Q132" s="3">
        <v>260</v>
      </c>
      <c r="R132" s="17">
        <v>1.9998400000000001</v>
      </c>
      <c r="T132" s="3">
        <v>49.906599999999997</v>
      </c>
      <c r="U132" s="20"/>
    </row>
    <row r="133" spans="2:21" x14ac:dyDescent="0.25">
      <c r="B133" s="20"/>
      <c r="C133" s="8">
        <v>250</v>
      </c>
      <c r="D133" s="8">
        <v>1.7853399999999999</v>
      </c>
      <c r="E133" s="20"/>
      <c r="I133" s="20"/>
      <c r="J133" s="3">
        <v>214.42</v>
      </c>
      <c r="K133" s="3">
        <f t="shared" si="16"/>
        <v>214.37099999999998</v>
      </c>
      <c r="L133" s="3">
        <v>3338.05</v>
      </c>
      <c r="M133" s="17">
        <f t="shared" si="17"/>
        <v>0.44503550210000004</v>
      </c>
      <c r="N133" s="20"/>
      <c r="P133" s="20"/>
      <c r="Q133" s="3">
        <v>260</v>
      </c>
      <c r="R133" s="17">
        <v>2.0005000000000002</v>
      </c>
      <c r="T133" s="3">
        <v>49.928800000000003</v>
      </c>
      <c r="U133" s="20"/>
    </row>
    <row r="134" spans="2:21" x14ac:dyDescent="0.25">
      <c r="B134" s="20"/>
      <c r="C134" s="8">
        <v>250</v>
      </c>
      <c r="D134" s="8">
        <v>1.7852600000000001</v>
      </c>
      <c r="E134" s="20"/>
      <c r="I134" s="20"/>
      <c r="J134" s="3">
        <v>214.44</v>
      </c>
      <c r="K134" s="3">
        <f t="shared" si="16"/>
        <v>214.39099999999999</v>
      </c>
      <c r="L134" s="3">
        <v>3342.91</v>
      </c>
      <c r="M134" s="17">
        <f t="shared" si="17"/>
        <v>0.44568344702000001</v>
      </c>
      <c r="N134" s="20"/>
      <c r="P134" s="20"/>
      <c r="Q134" s="3">
        <v>260</v>
      </c>
      <c r="R134" s="17">
        <v>2.40015</v>
      </c>
      <c r="T134" s="3">
        <v>63.7136</v>
      </c>
      <c r="U134" s="20"/>
    </row>
    <row r="135" spans="2:21" x14ac:dyDescent="0.25">
      <c r="B135" s="20"/>
      <c r="C135" s="8">
        <v>250</v>
      </c>
      <c r="D135" s="8">
        <v>1.78532</v>
      </c>
      <c r="E135" s="20"/>
      <c r="I135" s="20"/>
      <c r="J135" s="3">
        <v>214.44</v>
      </c>
      <c r="K135" s="3">
        <f t="shared" si="16"/>
        <v>214.39099999999999</v>
      </c>
      <c r="L135" s="3">
        <v>3344.07</v>
      </c>
      <c r="M135" s="17">
        <f t="shared" si="17"/>
        <v>0.44583810054000006</v>
      </c>
      <c r="N135" s="20"/>
      <c r="P135" s="20"/>
      <c r="Q135" s="3">
        <v>260</v>
      </c>
      <c r="R135" s="17">
        <v>2.5032800000000002</v>
      </c>
      <c r="T135" s="3">
        <v>999.298</v>
      </c>
      <c r="U135" s="20"/>
    </row>
    <row r="136" spans="2:21" x14ac:dyDescent="0.25">
      <c r="B136" s="20"/>
      <c r="C136" s="8">
        <v>255</v>
      </c>
      <c r="D136" s="8">
        <v>2.0845600000000002</v>
      </c>
      <c r="E136" s="20"/>
      <c r="I136" s="20"/>
      <c r="J136" s="3">
        <v>214.45</v>
      </c>
      <c r="K136" s="3">
        <f t="shared" si="16"/>
        <v>214.40099999999998</v>
      </c>
      <c r="L136" s="3">
        <v>3345.21</v>
      </c>
      <c r="M136" s="17">
        <f t="shared" si="17"/>
        <v>0.44599008762000003</v>
      </c>
      <c r="N136" s="20"/>
      <c r="P136" s="20"/>
      <c r="Q136" s="3">
        <v>260</v>
      </c>
      <c r="R136" s="17">
        <v>2.9945400000000002</v>
      </c>
      <c r="T136" s="3">
        <v>1002.06</v>
      </c>
      <c r="U136" s="20"/>
    </row>
    <row r="137" spans="2:21" x14ac:dyDescent="0.25">
      <c r="B137" s="20"/>
      <c r="C137" s="8">
        <v>255</v>
      </c>
      <c r="D137" s="8">
        <v>2.0844800000000001</v>
      </c>
      <c r="E137" s="20"/>
      <c r="I137" s="20"/>
      <c r="J137" s="3">
        <v>214.51</v>
      </c>
      <c r="K137" s="3">
        <f t="shared" si="16"/>
        <v>214.46099999999998</v>
      </c>
      <c r="L137" s="3">
        <v>3359.77</v>
      </c>
      <c r="M137" s="17">
        <f t="shared" si="17"/>
        <v>0.44793125594000005</v>
      </c>
      <c r="N137" s="20"/>
      <c r="P137" s="20"/>
      <c r="Q137" s="3">
        <v>260</v>
      </c>
      <c r="R137" s="17">
        <v>4.00312</v>
      </c>
      <c r="T137" s="3">
        <v>1007.49</v>
      </c>
      <c r="U137" s="20"/>
    </row>
    <row r="138" spans="2:21" x14ac:dyDescent="0.25">
      <c r="B138" s="20"/>
      <c r="C138" s="8">
        <v>260</v>
      </c>
      <c r="D138" s="8">
        <v>2.41893</v>
      </c>
      <c r="E138" s="20"/>
      <c r="I138" s="20"/>
      <c r="J138" s="3">
        <v>214.57</v>
      </c>
      <c r="K138" s="3">
        <f t="shared" si="16"/>
        <v>214.52099999999999</v>
      </c>
      <c r="L138" s="3">
        <v>3373.85</v>
      </c>
      <c r="M138" s="17">
        <f t="shared" si="17"/>
        <v>0.44980842970000001</v>
      </c>
      <c r="N138" s="20"/>
      <c r="P138" s="20"/>
      <c r="Q138" s="3">
        <v>260</v>
      </c>
      <c r="R138" s="17">
        <v>4.0086399999999998</v>
      </c>
      <c r="T138" s="3">
        <v>1007.51</v>
      </c>
      <c r="U138" s="20"/>
    </row>
    <row r="139" spans="2:21" x14ac:dyDescent="0.25">
      <c r="B139" s="20"/>
      <c r="C139" s="8">
        <v>260</v>
      </c>
      <c r="D139" s="8">
        <v>2.4189400000000001</v>
      </c>
      <c r="E139" s="20"/>
      <c r="I139" s="20"/>
      <c r="J139" s="3">
        <v>214.61</v>
      </c>
      <c r="K139" s="3">
        <f t="shared" si="16"/>
        <v>214.56100000000001</v>
      </c>
      <c r="L139" s="3">
        <v>3381.81</v>
      </c>
      <c r="M139" s="17">
        <f t="shared" si="17"/>
        <v>0.45086967282000001</v>
      </c>
      <c r="N139" s="20"/>
      <c r="P139" s="20"/>
      <c r="Q139" s="3">
        <v>260</v>
      </c>
      <c r="R139" s="17">
        <v>5.0042200000000001</v>
      </c>
      <c r="T139" s="3">
        <v>1012.6</v>
      </c>
      <c r="U139" s="20"/>
    </row>
    <row r="140" spans="2:21" x14ac:dyDescent="0.25">
      <c r="B140" s="20"/>
      <c r="C140" s="8">
        <v>260</v>
      </c>
      <c r="D140" s="8">
        <v>2.4189600000000002</v>
      </c>
      <c r="E140" s="20"/>
      <c r="I140" s="20"/>
      <c r="J140" s="3">
        <v>214.67</v>
      </c>
      <c r="K140" s="3">
        <f t="shared" si="16"/>
        <v>214.62099999999998</v>
      </c>
      <c r="L140" s="3">
        <v>3396.95</v>
      </c>
      <c r="M140" s="17">
        <f t="shared" ref="M140:M185" si="18">L140*0.000133322</f>
        <v>0.45288816790000003</v>
      </c>
      <c r="N140" s="20"/>
      <c r="P140" s="20"/>
      <c r="Q140" s="3">
        <v>260</v>
      </c>
      <c r="R140" s="17">
        <v>6.0010599999999998</v>
      </c>
      <c r="T140" s="3">
        <v>1017.49</v>
      </c>
      <c r="U140" s="20"/>
    </row>
    <row r="141" spans="2:21" x14ac:dyDescent="0.25">
      <c r="B141" s="20"/>
      <c r="C141" s="8">
        <v>260</v>
      </c>
      <c r="D141" s="8">
        <v>2.4188999999999998</v>
      </c>
      <c r="E141" s="20"/>
      <c r="I141" s="20"/>
      <c r="J141" s="3">
        <v>214.79</v>
      </c>
      <c r="K141" s="3">
        <f t="shared" ref="K141:K185" si="19">J141-0.049</f>
        <v>214.74099999999999</v>
      </c>
      <c r="L141" s="3">
        <v>3424.82</v>
      </c>
      <c r="M141" s="17">
        <f t="shared" si="18"/>
        <v>0.45660385204000004</v>
      </c>
      <c r="N141" s="20"/>
      <c r="P141" s="20"/>
      <c r="Q141" s="3">
        <v>260</v>
      </c>
      <c r="R141" s="17">
        <v>6.9895100000000001</v>
      </c>
      <c r="T141" s="3">
        <v>1022.08</v>
      </c>
      <c r="U141" s="20"/>
    </row>
    <row r="142" spans="2:21" x14ac:dyDescent="0.25">
      <c r="B142" s="20"/>
      <c r="C142" s="8">
        <v>260</v>
      </c>
      <c r="D142" s="8">
        <v>2.4188499999999999</v>
      </c>
      <c r="E142" s="20"/>
      <c r="I142" s="20"/>
      <c r="J142" s="3">
        <v>214.9</v>
      </c>
      <c r="K142" s="3">
        <f t="shared" si="19"/>
        <v>214.851</v>
      </c>
      <c r="L142" s="3">
        <v>3450.56</v>
      </c>
      <c r="M142" s="17">
        <f t="shared" si="18"/>
        <v>0.46003556032000004</v>
      </c>
      <c r="N142" s="20"/>
      <c r="P142" s="20"/>
      <c r="Q142" s="3">
        <v>260</v>
      </c>
      <c r="R142" s="17">
        <v>7.0028800000000002</v>
      </c>
      <c r="T142" s="3">
        <v>1022.16</v>
      </c>
      <c r="U142" s="20"/>
    </row>
    <row r="143" spans="2:21" x14ac:dyDescent="0.25">
      <c r="B143" s="20"/>
      <c r="C143" s="8">
        <v>260</v>
      </c>
      <c r="D143" s="8">
        <v>2.4188900000000002</v>
      </c>
      <c r="E143" s="20"/>
      <c r="I143" s="20"/>
      <c r="J143" s="3">
        <v>214.96</v>
      </c>
      <c r="K143" s="3">
        <f t="shared" si="19"/>
        <v>214.911</v>
      </c>
      <c r="L143" s="3">
        <v>3466.15</v>
      </c>
      <c r="M143" s="17">
        <f t="shared" si="18"/>
        <v>0.46211405030000002</v>
      </c>
      <c r="N143" s="20"/>
      <c r="P143" s="20"/>
      <c r="Q143" s="3">
        <v>260</v>
      </c>
      <c r="R143" s="17">
        <v>8.0097500000000004</v>
      </c>
      <c r="T143" s="3">
        <v>1026.6600000000001</v>
      </c>
      <c r="U143" s="20"/>
    </row>
    <row r="144" spans="2:21" x14ac:dyDescent="0.25">
      <c r="B144" s="20"/>
      <c r="C144" s="8">
        <v>260</v>
      </c>
      <c r="D144" s="8">
        <v>2.4188800000000001</v>
      </c>
      <c r="E144" s="20"/>
      <c r="I144" s="20"/>
      <c r="J144" s="3">
        <v>215.06</v>
      </c>
      <c r="K144" s="3">
        <f t="shared" si="19"/>
        <v>215.011</v>
      </c>
      <c r="L144" s="3">
        <v>3489.42</v>
      </c>
      <c r="M144" s="17">
        <f t="shared" si="18"/>
        <v>0.46521645324000005</v>
      </c>
      <c r="N144" s="20"/>
      <c r="P144" s="20"/>
      <c r="Q144" s="3">
        <v>260</v>
      </c>
      <c r="R144" s="17">
        <v>9.0026399999999995</v>
      </c>
      <c r="T144" s="3">
        <v>1030.8499999999999</v>
      </c>
      <c r="U144" s="20"/>
    </row>
    <row r="145" spans="2:21" x14ac:dyDescent="0.25">
      <c r="B145" s="20"/>
      <c r="C145" s="8">
        <v>260</v>
      </c>
      <c r="D145" s="8">
        <v>2.41892</v>
      </c>
      <c r="E145" s="20"/>
      <c r="I145" s="20"/>
      <c r="J145" s="3">
        <v>215.36</v>
      </c>
      <c r="K145" s="3">
        <f t="shared" si="19"/>
        <v>215.31100000000001</v>
      </c>
      <c r="L145" s="3">
        <v>3561.23</v>
      </c>
      <c r="M145" s="17">
        <f t="shared" si="18"/>
        <v>0.47479030606000006</v>
      </c>
      <c r="N145" s="20"/>
      <c r="P145" s="20"/>
      <c r="Q145" s="3">
        <v>260</v>
      </c>
      <c r="R145" s="17">
        <v>8.9918200000000006</v>
      </c>
      <c r="T145" s="3">
        <v>1030.8800000000001</v>
      </c>
      <c r="U145" s="20"/>
    </row>
    <row r="146" spans="2:21" x14ac:dyDescent="0.25">
      <c r="B146" s="20"/>
      <c r="C146" s="8">
        <v>265</v>
      </c>
      <c r="D146" s="8">
        <v>2.7909799999999998</v>
      </c>
      <c r="E146" s="20"/>
      <c r="I146" s="20"/>
      <c r="J146" s="3">
        <v>215.65</v>
      </c>
      <c r="K146" s="3">
        <f t="shared" si="19"/>
        <v>215.601</v>
      </c>
      <c r="L146" s="3">
        <v>3633.06</v>
      </c>
      <c r="M146" s="17">
        <f t="shared" si="18"/>
        <v>0.48436682532000003</v>
      </c>
      <c r="N146" s="20"/>
      <c r="P146" s="20"/>
      <c r="Q146" s="3">
        <v>270</v>
      </c>
      <c r="R146" s="17">
        <v>2.99695</v>
      </c>
      <c r="T146" s="3">
        <v>79.688000000000002</v>
      </c>
      <c r="U146" s="20"/>
    </row>
    <row r="147" spans="2:21" x14ac:dyDescent="0.25">
      <c r="B147" s="20"/>
      <c r="C147" s="8">
        <v>265</v>
      </c>
      <c r="D147" s="8">
        <v>2.79095</v>
      </c>
      <c r="E147" s="20"/>
      <c r="I147" s="20"/>
      <c r="J147" s="3">
        <v>216.24</v>
      </c>
      <c r="K147" s="3">
        <f t="shared" si="19"/>
        <v>216.191</v>
      </c>
      <c r="L147" s="3">
        <v>3783.1</v>
      </c>
      <c r="M147" s="17">
        <f t="shared" si="18"/>
        <v>0.50437045820000004</v>
      </c>
      <c r="N147" s="20"/>
      <c r="P147" s="20"/>
      <c r="Q147" s="3">
        <v>270</v>
      </c>
      <c r="R147" s="17">
        <v>2.9975700000000001</v>
      </c>
      <c r="T147" s="3">
        <v>79.711600000000004</v>
      </c>
      <c r="U147" s="20"/>
    </row>
    <row r="148" spans="2:21" x14ac:dyDescent="0.25">
      <c r="B148" s="20"/>
      <c r="C148" s="8">
        <v>270</v>
      </c>
      <c r="D148" s="8">
        <v>3.2033200000000002</v>
      </c>
      <c r="E148" s="20"/>
      <c r="I148" s="20"/>
      <c r="J148" s="3">
        <v>216.38</v>
      </c>
      <c r="K148" s="3">
        <f t="shared" si="19"/>
        <v>216.33099999999999</v>
      </c>
      <c r="L148" s="3">
        <v>3819.04</v>
      </c>
      <c r="M148" s="17">
        <f t="shared" si="18"/>
        <v>0.50916205087999999</v>
      </c>
      <c r="N148" s="20"/>
      <c r="P148" s="20"/>
      <c r="Q148" s="3">
        <v>270.85399999999998</v>
      </c>
      <c r="R148" s="17">
        <v>6.5151899999999996</v>
      </c>
      <c r="T148" s="3">
        <v>964.78</v>
      </c>
      <c r="U148" s="20"/>
    </row>
    <row r="149" spans="2:21" x14ac:dyDescent="0.25">
      <c r="B149" s="20"/>
      <c r="C149" s="8">
        <v>270</v>
      </c>
      <c r="D149" s="8">
        <v>3.20329</v>
      </c>
      <c r="E149" s="20"/>
      <c r="I149" s="20"/>
      <c r="J149" s="3">
        <v>216.43</v>
      </c>
      <c r="K149" s="3">
        <f t="shared" si="19"/>
        <v>216.381</v>
      </c>
      <c r="L149" s="3">
        <v>3832.45</v>
      </c>
      <c r="M149" s="17">
        <f t="shared" si="18"/>
        <v>0.51094989889999998</v>
      </c>
      <c r="N149" s="20"/>
      <c r="P149" s="20"/>
      <c r="Q149" s="3">
        <v>280</v>
      </c>
      <c r="R149" s="17">
        <v>0.49940000000000001</v>
      </c>
      <c r="T149" s="3">
        <v>9.7447999999999997</v>
      </c>
      <c r="U149" s="20"/>
    </row>
    <row r="150" spans="2:21" x14ac:dyDescent="0.25">
      <c r="B150" s="20"/>
      <c r="C150" s="8">
        <v>275</v>
      </c>
      <c r="D150" s="8">
        <v>3.6588099999999999</v>
      </c>
      <c r="E150" s="20"/>
      <c r="I150" s="20"/>
      <c r="J150" s="3">
        <v>216.5</v>
      </c>
      <c r="K150" s="3">
        <f t="shared" si="19"/>
        <v>216.45099999999999</v>
      </c>
      <c r="L150" s="3">
        <v>3851.9</v>
      </c>
      <c r="M150" s="17">
        <f t="shared" si="18"/>
        <v>0.51354301180000006</v>
      </c>
      <c r="N150" s="20"/>
      <c r="P150" s="20"/>
      <c r="Q150" s="3">
        <v>280</v>
      </c>
      <c r="R150" s="17">
        <v>0.49994</v>
      </c>
      <c r="T150" s="3">
        <v>9.7555999999999994</v>
      </c>
      <c r="U150" s="20"/>
    </row>
    <row r="151" spans="2:21" x14ac:dyDescent="0.25">
      <c r="B151" s="20"/>
      <c r="C151" s="8">
        <v>280</v>
      </c>
      <c r="D151" s="8">
        <v>4.1606199999999998</v>
      </c>
      <c r="E151" s="20"/>
      <c r="I151" s="20"/>
      <c r="J151" s="3">
        <v>216.53</v>
      </c>
      <c r="K151" s="3">
        <f t="shared" si="19"/>
        <v>216.48099999999999</v>
      </c>
      <c r="L151" s="3">
        <v>3858.66</v>
      </c>
      <c r="M151" s="17">
        <f t="shared" si="18"/>
        <v>0.51444426852000003</v>
      </c>
      <c r="N151" s="20"/>
      <c r="P151" s="20"/>
      <c r="Q151" s="3">
        <v>280</v>
      </c>
      <c r="R151" s="17">
        <v>0.50056999999999996</v>
      </c>
      <c r="T151" s="3">
        <v>9.7682000000000002</v>
      </c>
      <c r="U151" s="20"/>
    </row>
    <row r="152" spans="2:21" x14ac:dyDescent="0.25">
      <c r="B152" s="20"/>
      <c r="C152" s="8">
        <v>280</v>
      </c>
      <c r="D152" s="8">
        <v>4.1604700000000001</v>
      </c>
      <c r="E152" s="20"/>
      <c r="I152" s="20"/>
      <c r="J152" s="3">
        <v>216.54</v>
      </c>
      <c r="K152" s="3">
        <f t="shared" si="19"/>
        <v>216.49099999999999</v>
      </c>
      <c r="L152" s="3">
        <v>3860.66</v>
      </c>
      <c r="M152" s="17">
        <f t="shared" si="18"/>
        <v>0.51471091252000001</v>
      </c>
      <c r="N152" s="20"/>
      <c r="P152" s="20"/>
      <c r="Q152" s="3">
        <v>280</v>
      </c>
      <c r="R152" s="17">
        <v>1.0041500000000001</v>
      </c>
      <c r="T152" s="3">
        <v>20.289100000000001</v>
      </c>
      <c r="U152" s="20"/>
    </row>
    <row r="153" spans="2:21" x14ac:dyDescent="0.25">
      <c r="B153" s="20"/>
      <c r="C153" s="8">
        <v>280</v>
      </c>
      <c r="D153" s="8">
        <v>4.1605999999999996</v>
      </c>
      <c r="E153" s="20"/>
      <c r="I153" s="20"/>
      <c r="J153" s="3">
        <v>216.58</v>
      </c>
      <c r="K153" s="3">
        <f t="shared" si="19"/>
        <v>216.53100000000001</v>
      </c>
      <c r="L153" s="3">
        <v>3871.54</v>
      </c>
      <c r="M153" s="17">
        <f t="shared" si="18"/>
        <v>0.51616145588000006</v>
      </c>
      <c r="N153" s="20"/>
      <c r="P153" s="20"/>
      <c r="Q153" s="3">
        <v>280</v>
      </c>
      <c r="R153" s="17">
        <v>1.50162</v>
      </c>
      <c r="T153" s="3">
        <v>31.509399999999999</v>
      </c>
      <c r="U153" s="20"/>
    </row>
    <row r="154" spans="2:21" x14ac:dyDescent="0.25">
      <c r="B154" s="20"/>
      <c r="C154" s="8">
        <v>280</v>
      </c>
      <c r="D154" s="8">
        <v>4.1605800000000004</v>
      </c>
      <c r="E154" s="20"/>
      <c r="I154" s="20"/>
      <c r="J154" s="3">
        <v>216.63</v>
      </c>
      <c r="K154" s="3">
        <f t="shared" si="19"/>
        <v>216.58099999999999</v>
      </c>
      <c r="L154" s="3">
        <v>3885.1</v>
      </c>
      <c r="M154" s="17">
        <f t="shared" si="18"/>
        <v>0.51796930220000004</v>
      </c>
      <c r="N154" s="20"/>
      <c r="P154" s="20"/>
      <c r="Q154" s="3">
        <v>280</v>
      </c>
      <c r="R154" s="17">
        <v>2.0009700000000001</v>
      </c>
      <c r="T154" s="3">
        <v>43.796399999999998</v>
      </c>
      <c r="U154" s="20"/>
    </row>
    <row r="155" spans="2:21" x14ac:dyDescent="0.25">
      <c r="B155" s="20"/>
      <c r="C155" s="8">
        <v>280</v>
      </c>
      <c r="D155" s="8">
        <v>4.1605600000000003</v>
      </c>
      <c r="E155" s="20"/>
      <c r="I155" s="20"/>
      <c r="J155" s="3">
        <v>216.63</v>
      </c>
      <c r="K155" s="3">
        <f t="shared" si="19"/>
        <v>216.58099999999999</v>
      </c>
      <c r="L155" s="3">
        <v>3890.42</v>
      </c>
      <c r="M155" s="17">
        <f t="shared" si="18"/>
        <v>0.51867857524000005</v>
      </c>
      <c r="N155" s="20"/>
      <c r="P155" s="20"/>
      <c r="Q155" s="3">
        <v>280</v>
      </c>
      <c r="R155" s="17">
        <v>2.50027</v>
      </c>
      <c r="T155" s="3">
        <v>57.404000000000003</v>
      </c>
      <c r="U155" s="20"/>
    </row>
    <row r="156" spans="2:21" x14ac:dyDescent="0.25">
      <c r="B156" s="20"/>
      <c r="C156" s="8">
        <v>280</v>
      </c>
      <c r="D156" s="8">
        <v>4.1605100000000004</v>
      </c>
      <c r="E156" s="20"/>
      <c r="I156" s="20"/>
      <c r="J156" s="3">
        <v>216.64</v>
      </c>
      <c r="K156" s="3">
        <f t="shared" si="19"/>
        <v>216.59099999999998</v>
      </c>
      <c r="L156" s="3">
        <v>3891.32</v>
      </c>
      <c r="M156" s="17">
        <f t="shared" si="18"/>
        <v>0.5187985650400001</v>
      </c>
      <c r="N156" s="20"/>
      <c r="P156" s="20"/>
      <c r="Q156" s="3">
        <v>280</v>
      </c>
      <c r="R156" s="17">
        <v>2.5007999999999999</v>
      </c>
      <c r="T156" s="3">
        <v>57.417299999999997</v>
      </c>
      <c r="U156" s="20"/>
    </row>
    <row r="157" spans="2:21" x14ac:dyDescent="0.25">
      <c r="B157" s="20"/>
      <c r="C157" s="8">
        <v>280</v>
      </c>
      <c r="D157" s="8">
        <v>4.1605499999999997</v>
      </c>
      <c r="E157" s="20"/>
      <c r="I157" s="20"/>
      <c r="J157" s="3">
        <v>216.64</v>
      </c>
      <c r="K157" s="3">
        <f t="shared" si="19"/>
        <v>216.59099999999998</v>
      </c>
      <c r="L157" s="3">
        <v>3892.43</v>
      </c>
      <c r="M157" s="17">
        <f t="shared" si="18"/>
        <v>0.51894655245999999</v>
      </c>
      <c r="N157" s="20"/>
      <c r="P157" s="20"/>
      <c r="Q157" s="3">
        <v>280</v>
      </c>
      <c r="R157" s="17">
        <v>3.0004</v>
      </c>
      <c r="T157" s="3">
        <v>72.818799999999996</v>
      </c>
      <c r="U157" s="20"/>
    </row>
    <row r="158" spans="2:21" x14ac:dyDescent="0.25">
      <c r="B158" s="20"/>
      <c r="C158" s="8">
        <v>280</v>
      </c>
      <c r="D158" s="8">
        <v>4.1604999999999999</v>
      </c>
      <c r="E158" s="20"/>
      <c r="I158" s="20"/>
      <c r="J158" s="3">
        <v>216.64</v>
      </c>
      <c r="K158" s="3">
        <f t="shared" si="19"/>
        <v>216.59099999999998</v>
      </c>
      <c r="L158" s="3">
        <v>3892.68</v>
      </c>
      <c r="M158" s="17">
        <f t="shared" si="18"/>
        <v>0.51897988295999997</v>
      </c>
      <c r="N158" s="20"/>
      <c r="P158" s="20"/>
      <c r="Q158" s="3">
        <v>280</v>
      </c>
      <c r="R158" s="17">
        <v>3.5006599999999999</v>
      </c>
      <c r="T158" s="3">
        <v>90.834000000000003</v>
      </c>
      <c r="U158" s="20"/>
    </row>
    <row r="159" spans="2:21" x14ac:dyDescent="0.25">
      <c r="B159" s="20"/>
      <c r="C159" s="8">
        <v>280</v>
      </c>
      <c r="D159" s="8">
        <v>4.1606300000000003</v>
      </c>
      <c r="E159" s="20"/>
      <c r="I159" s="20"/>
      <c r="J159" s="3">
        <v>216.65</v>
      </c>
      <c r="K159" s="3">
        <f t="shared" si="19"/>
        <v>216.601</v>
      </c>
      <c r="L159" s="3">
        <v>3893.86</v>
      </c>
      <c r="M159" s="17">
        <f t="shared" si="18"/>
        <v>0.5191372029200001</v>
      </c>
      <c r="N159" s="20"/>
      <c r="P159" s="20"/>
      <c r="Q159" s="3">
        <v>280</v>
      </c>
      <c r="R159" s="17">
        <v>3.9981300000000002</v>
      </c>
      <c r="T159" s="3">
        <v>112.986</v>
      </c>
      <c r="U159" s="20"/>
    </row>
    <row r="160" spans="2:21" x14ac:dyDescent="0.25">
      <c r="B160" s="20"/>
      <c r="C160" s="8">
        <v>285</v>
      </c>
      <c r="D160" s="8">
        <v>4.7118399999999996</v>
      </c>
      <c r="E160" s="20"/>
      <c r="I160" s="20"/>
      <c r="J160" s="3">
        <v>216.66</v>
      </c>
      <c r="K160" s="3">
        <f t="shared" si="19"/>
        <v>216.61099999999999</v>
      </c>
      <c r="L160" s="3">
        <v>3894.46</v>
      </c>
      <c r="M160" s="17">
        <f t="shared" si="18"/>
        <v>0.51921719612000006</v>
      </c>
      <c r="N160" s="20"/>
      <c r="P160" s="20"/>
      <c r="Q160" s="3">
        <v>280</v>
      </c>
      <c r="R160" s="17">
        <v>3.9993099999999999</v>
      </c>
      <c r="T160" s="3">
        <v>113.04300000000001</v>
      </c>
      <c r="U160" s="20"/>
    </row>
    <row r="161" spans="2:21" x14ac:dyDescent="0.25">
      <c r="B161" s="20"/>
      <c r="C161" s="8">
        <v>285</v>
      </c>
      <c r="D161" s="8">
        <v>4.7119299999999997</v>
      </c>
      <c r="E161" s="20"/>
      <c r="I161" s="20"/>
      <c r="J161" s="3">
        <v>216.66</v>
      </c>
      <c r="K161" s="3">
        <f t="shared" si="19"/>
        <v>216.61099999999999</v>
      </c>
      <c r="L161" s="3">
        <v>3894.99</v>
      </c>
      <c r="M161" s="17">
        <f t="shared" si="18"/>
        <v>0.51928785678</v>
      </c>
      <c r="N161" s="20"/>
      <c r="P161" s="20"/>
      <c r="Q161" s="3">
        <v>280</v>
      </c>
      <c r="R161" s="17">
        <v>3.9999799999999999</v>
      </c>
      <c r="T161" s="3">
        <v>113.081</v>
      </c>
      <c r="U161" s="20"/>
    </row>
    <row r="162" spans="2:21" x14ac:dyDescent="0.25">
      <c r="B162" s="20"/>
      <c r="C162" s="8">
        <v>290</v>
      </c>
      <c r="D162" s="8">
        <v>5.3172100000000002</v>
      </c>
      <c r="E162" s="20"/>
      <c r="I162" s="20"/>
      <c r="J162" s="3">
        <v>216.67</v>
      </c>
      <c r="K162" s="3">
        <f t="shared" si="19"/>
        <v>216.62099999999998</v>
      </c>
      <c r="L162" s="3">
        <v>3897.18</v>
      </c>
      <c r="M162" s="17">
        <f t="shared" si="18"/>
        <v>0.51957983196000002</v>
      </c>
      <c r="N162" s="20"/>
      <c r="P162" s="20"/>
      <c r="Q162" s="3">
        <v>280</v>
      </c>
      <c r="R162" s="17">
        <v>4.0018399999999996</v>
      </c>
      <c r="T162" s="3">
        <v>113.17400000000001</v>
      </c>
      <c r="U162" s="20"/>
    </row>
    <row r="163" spans="2:21" x14ac:dyDescent="0.25">
      <c r="B163" s="20"/>
      <c r="C163" s="8">
        <v>290</v>
      </c>
      <c r="D163" s="8">
        <v>5.3173599999999999</v>
      </c>
      <c r="E163" s="20"/>
      <c r="I163" s="20"/>
      <c r="J163" s="3">
        <v>216.68</v>
      </c>
      <c r="K163" s="3">
        <f t="shared" si="19"/>
        <v>216.631</v>
      </c>
      <c r="L163" s="3">
        <v>3898.28</v>
      </c>
      <c r="M163" s="17">
        <f t="shared" si="18"/>
        <v>0.51972648616000006</v>
      </c>
      <c r="N163" s="20"/>
      <c r="P163" s="20"/>
      <c r="Q163" s="3">
        <v>280</v>
      </c>
      <c r="R163" s="17">
        <v>4.1201100000000004</v>
      </c>
      <c r="T163" s="3">
        <v>119.453</v>
      </c>
      <c r="U163" s="20"/>
    </row>
    <row r="164" spans="2:21" x14ac:dyDescent="0.25">
      <c r="B164" s="20"/>
      <c r="C164" s="8">
        <v>290</v>
      </c>
      <c r="D164" s="8">
        <v>5.3171900000000001</v>
      </c>
      <c r="E164" s="20"/>
      <c r="I164" s="20"/>
      <c r="J164" s="3">
        <v>216.68</v>
      </c>
      <c r="K164" s="3">
        <f t="shared" si="19"/>
        <v>216.631</v>
      </c>
      <c r="L164" s="3">
        <v>3899.27</v>
      </c>
      <c r="M164" s="17">
        <f t="shared" si="18"/>
        <v>0.51985847494000004</v>
      </c>
      <c r="N164" s="20"/>
      <c r="P164" s="20"/>
      <c r="Q164" s="3">
        <v>280</v>
      </c>
      <c r="R164" s="17">
        <v>4.1531200000000004</v>
      </c>
      <c r="T164" s="3">
        <v>121.29900000000001</v>
      </c>
      <c r="U164" s="20"/>
    </row>
    <row r="165" spans="2:21" x14ac:dyDescent="0.25">
      <c r="B165" s="20"/>
      <c r="C165" s="8">
        <v>290</v>
      </c>
      <c r="D165" s="8">
        <v>5.3171799999999996</v>
      </c>
      <c r="E165" s="20"/>
      <c r="I165" s="20"/>
      <c r="J165" s="3">
        <v>216.69</v>
      </c>
      <c r="K165" s="3">
        <f t="shared" si="19"/>
        <v>216.64099999999999</v>
      </c>
      <c r="L165" s="3">
        <v>3900.54</v>
      </c>
      <c r="M165" s="17">
        <f t="shared" si="18"/>
        <v>0.52002779387999998</v>
      </c>
      <c r="N165" s="20"/>
      <c r="P165" s="20"/>
      <c r="Q165" s="3">
        <v>280</v>
      </c>
      <c r="R165" s="17">
        <v>4.1759300000000001</v>
      </c>
      <c r="T165" s="3">
        <v>883.77599999999995</v>
      </c>
      <c r="U165" s="20"/>
    </row>
    <row r="166" spans="2:21" x14ac:dyDescent="0.25">
      <c r="B166" s="20"/>
      <c r="C166" s="8">
        <v>295</v>
      </c>
      <c r="D166" s="8">
        <v>5.9813999999999998</v>
      </c>
      <c r="E166" s="20"/>
      <c r="I166" s="20"/>
      <c r="J166" s="3">
        <v>216.7</v>
      </c>
      <c r="K166" s="3">
        <f t="shared" si="19"/>
        <v>216.65099999999998</v>
      </c>
      <c r="L166" s="3">
        <v>3901.79</v>
      </c>
      <c r="M166" s="17">
        <f t="shared" si="18"/>
        <v>0.52019444638000001</v>
      </c>
      <c r="N166" s="20"/>
      <c r="P166" s="20"/>
      <c r="Q166" s="3">
        <v>280</v>
      </c>
      <c r="R166" s="17">
        <v>4.1977799999999998</v>
      </c>
      <c r="T166" s="3">
        <v>884.04</v>
      </c>
      <c r="U166" s="20"/>
    </row>
    <row r="167" spans="2:21" x14ac:dyDescent="0.25">
      <c r="B167" s="20"/>
      <c r="C167" s="8">
        <v>295</v>
      </c>
      <c r="D167" s="8">
        <v>5.9815699999999996</v>
      </c>
      <c r="E167" s="20"/>
      <c r="I167" s="20"/>
      <c r="J167" s="3">
        <v>216.71</v>
      </c>
      <c r="K167" s="3">
        <f t="shared" si="19"/>
        <v>216.661</v>
      </c>
      <c r="L167" s="3">
        <v>3903.65</v>
      </c>
      <c r="M167" s="17">
        <f t="shared" si="18"/>
        <v>0.52044242530000007</v>
      </c>
      <c r="N167" s="20"/>
      <c r="P167" s="20"/>
      <c r="Q167" s="3">
        <v>280</v>
      </c>
      <c r="R167" s="17">
        <v>4.2676499999999997</v>
      </c>
      <c r="T167" s="3">
        <v>884.96299999999997</v>
      </c>
      <c r="U167" s="20"/>
    </row>
    <row r="168" spans="2:21" x14ac:dyDescent="0.25">
      <c r="B168" s="20"/>
      <c r="C168" s="8">
        <v>295</v>
      </c>
      <c r="D168" s="8">
        <v>5.9815100000000001</v>
      </c>
      <c r="E168" s="20"/>
      <c r="I168" s="20"/>
      <c r="J168" s="3">
        <v>216.72</v>
      </c>
      <c r="K168" s="3">
        <f t="shared" si="19"/>
        <v>216.67099999999999</v>
      </c>
      <c r="L168" s="3">
        <v>3904.63</v>
      </c>
      <c r="M168" s="17">
        <f t="shared" si="18"/>
        <v>0.52057308086000009</v>
      </c>
      <c r="N168" s="20"/>
      <c r="P168" s="20"/>
      <c r="Q168" s="3">
        <v>280</v>
      </c>
      <c r="R168" s="17">
        <v>4.50556</v>
      </c>
      <c r="T168" s="3">
        <v>887.947</v>
      </c>
      <c r="U168" s="20"/>
    </row>
    <row r="169" spans="2:21" x14ac:dyDescent="0.25">
      <c r="B169" s="20"/>
      <c r="C169" s="8">
        <v>295</v>
      </c>
      <c r="D169" s="8">
        <v>5.9814499999999997</v>
      </c>
      <c r="E169" s="20"/>
      <c r="I169" s="20"/>
      <c r="J169" s="3">
        <v>216.72</v>
      </c>
      <c r="K169" s="3">
        <f t="shared" si="19"/>
        <v>216.67099999999999</v>
      </c>
      <c r="L169" s="3">
        <v>3905.98</v>
      </c>
      <c r="M169" s="17">
        <f t="shared" si="18"/>
        <v>0.52075306556000001</v>
      </c>
      <c r="N169" s="20"/>
      <c r="P169" s="20"/>
      <c r="Q169" s="3">
        <v>280</v>
      </c>
      <c r="R169" s="17">
        <v>4.9974499999999997</v>
      </c>
      <c r="T169" s="3">
        <v>893.82399999999996</v>
      </c>
      <c r="U169" s="20"/>
    </row>
    <row r="170" spans="2:21" x14ac:dyDescent="0.25">
      <c r="B170" s="20"/>
      <c r="C170" s="8">
        <v>295</v>
      </c>
      <c r="D170" s="8">
        <v>5.9814800000000004</v>
      </c>
      <c r="E170" s="20"/>
      <c r="I170" s="20"/>
      <c r="J170" s="3">
        <v>216.73</v>
      </c>
      <c r="K170" s="3">
        <f t="shared" si="19"/>
        <v>216.68099999999998</v>
      </c>
      <c r="L170" s="3">
        <v>3906.37</v>
      </c>
      <c r="M170" s="17">
        <f t="shared" si="18"/>
        <v>0.52080506114000003</v>
      </c>
      <c r="N170" s="20"/>
      <c r="P170" s="20"/>
      <c r="Q170" s="3">
        <v>280</v>
      </c>
      <c r="R170" s="17">
        <v>4.9994100000000001</v>
      </c>
      <c r="T170" s="3">
        <v>893.85</v>
      </c>
      <c r="U170" s="20"/>
    </row>
    <row r="171" spans="2:21" x14ac:dyDescent="0.25">
      <c r="B171" s="20"/>
      <c r="C171" s="8">
        <v>297</v>
      </c>
      <c r="D171" s="8">
        <v>6.2650699999999997</v>
      </c>
      <c r="E171" s="20"/>
      <c r="I171" s="20"/>
      <c r="J171" s="3">
        <v>216.73</v>
      </c>
      <c r="K171" s="3">
        <f t="shared" si="19"/>
        <v>216.68099999999998</v>
      </c>
      <c r="L171" s="3">
        <v>3906.74</v>
      </c>
      <c r="M171" s="17">
        <f t="shared" si="18"/>
        <v>0.52085439028000002</v>
      </c>
      <c r="N171" s="20"/>
      <c r="P171" s="20"/>
      <c r="Q171" s="3">
        <v>280</v>
      </c>
      <c r="R171" s="17">
        <v>6.00474</v>
      </c>
      <c r="T171" s="3">
        <v>904.7</v>
      </c>
      <c r="U171" s="20"/>
    </row>
    <row r="172" spans="2:21" x14ac:dyDescent="0.25">
      <c r="B172" s="20"/>
      <c r="C172" s="8">
        <v>297</v>
      </c>
      <c r="D172" s="8">
        <v>6.2653600000000003</v>
      </c>
      <c r="E172" s="20"/>
      <c r="I172" s="20"/>
      <c r="J172" s="3">
        <v>216.73</v>
      </c>
      <c r="K172" s="3">
        <f t="shared" si="19"/>
        <v>216.68099999999998</v>
      </c>
      <c r="L172" s="3">
        <v>3907.49</v>
      </c>
      <c r="M172" s="17">
        <f t="shared" si="18"/>
        <v>0.52095438177999998</v>
      </c>
      <c r="N172" s="20"/>
      <c r="P172" s="20"/>
      <c r="Q172" s="3">
        <v>280</v>
      </c>
      <c r="R172" s="17">
        <v>6.9988200000000003</v>
      </c>
      <c r="T172" s="3">
        <v>914.28800000000001</v>
      </c>
      <c r="U172" s="20"/>
    </row>
    <row r="173" spans="2:21" x14ac:dyDescent="0.25">
      <c r="B173" s="20"/>
      <c r="C173" s="8">
        <v>299</v>
      </c>
      <c r="D173" s="8">
        <v>6.5598000000000001</v>
      </c>
      <c r="E173" s="20"/>
      <c r="I173" s="20"/>
      <c r="J173" s="3">
        <v>216.73</v>
      </c>
      <c r="K173" s="3">
        <f t="shared" si="19"/>
        <v>216.68099999999998</v>
      </c>
      <c r="L173" s="3">
        <v>3907.64</v>
      </c>
      <c r="M173" s="17">
        <f t="shared" si="18"/>
        <v>0.52097438007999997</v>
      </c>
      <c r="N173" s="20"/>
      <c r="P173" s="20"/>
      <c r="Q173" s="3">
        <v>280</v>
      </c>
      <c r="R173" s="17">
        <v>7.0045700000000002</v>
      </c>
      <c r="T173" s="3">
        <v>914.34199999999998</v>
      </c>
      <c r="U173" s="20"/>
    </row>
    <row r="174" spans="2:21" x14ac:dyDescent="0.25">
      <c r="B174" s="20"/>
      <c r="C174" s="8">
        <v>299</v>
      </c>
      <c r="D174" s="8">
        <v>6.5603400000000001</v>
      </c>
      <c r="E174" s="20"/>
      <c r="I174" s="20"/>
      <c r="J174" s="3">
        <v>216.74</v>
      </c>
      <c r="K174" s="3">
        <f t="shared" si="19"/>
        <v>216.691</v>
      </c>
      <c r="L174" s="3">
        <v>3909.57</v>
      </c>
      <c r="M174" s="17">
        <f t="shared" si="18"/>
        <v>0.52123169154000004</v>
      </c>
      <c r="N174" s="20"/>
      <c r="P174" s="20"/>
      <c r="Q174" s="3">
        <v>280</v>
      </c>
      <c r="R174" s="17">
        <v>8.0018799999999999</v>
      </c>
      <c r="T174" s="3">
        <v>923.00300000000004</v>
      </c>
      <c r="U174" s="20"/>
    </row>
    <row r="175" spans="2:21" x14ac:dyDescent="0.25">
      <c r="B175" s="20"/>
      <c r="C175" s="8">
        <v>300</v>
      </c>
      <c r="D175" s="8">
        <v>6.7117599999999999</v>
      </c>
      <c r="E175" s="20"/>
      <c r="I175" s="20"/>
      <c r="J175" s="3">
        <v>216.75</v>
      </c>
      <c r="K175" s="3">
        <f t="shared" si="19"/>
        <v>216.70099999999999</v>
      </c>
      <c r="L175" s="3">
        <v>3910.17</v>
      </c>
      <c r="M175" s="17">
        <f t="shared" si="18"/>
        <v>0.52131168474</v>
      </c>
      <c r="N175" s="20"/>
      <c r="P175" s="20"/>
      <c r="Q175" s="3">
        <v>280</v>
      </c>
      <c r="R175" s="17">
        <v>8.0040800000000001</v>
      </c>
      <c r="T175" s="3">
        <v>923.03300000000002</v>
      </c>
      <c r="U175" s="20"/>
    </row>
    <row r="176" spans="2:21" x14ac:dyDescent="0.25">
      <c r="B176" s="20"/>
      <c r="C176" s="8">
        <v>300</v>
      </c>
      <c r="D176" s="8">
        <v>6.7123400000000002</v>
      </c>
      <c r="E176" s="20"/>
      <c r="I176" s="20"/>
      <c r="J176" s="3">
        <v>216.75</v>
      </c>
      <c r="K176" s="3">
        <f t="shared" si="19"/>
        <v>216.70099999999999</v>
      </c>
      <c r="L176" s="3">
        <v>3910.59</v>
      </c>
      <c r="M176" s="17">
        <f t="shared" si="18"/>
        <v>0.52136767998</v>
      </c>
      <c r="N176" s="20"/>
      <c r="P176" s="20"/>
      <c r="Q176" s="3">
        <v>280</v>
      </c>
      <c r="R176" s="17">
        <v>9.0048899999999996</v>
      </c>
      <c r="T176" s="3">
        <v>931.024</v>
      </c>
      <c r="U176" s="20"/>
    </row>
    <row r="177" spans="2:21" x14ac:dyDescent="0.25">
      <c r="B177" s="20"/>
      <c r="C177" s="8">
        <v>300</v>
      </c>
      <c r="D177" s="8">
        <v>6.7122599999999997</v>
      </c>
      <c r="E177" s="20"/>
      <c r="I177" s="20"/>
      <c r="J177" s="3">
        <v>216.76</v>
      </c>
      <c r="K177" s="3">
        <f t="shared" si="19"/>
        <v>216.71099999999998</v>
      </c>
      <c r="L177" s="3">
        <v>3911.58</v>
      </c>
      <c r="M177" s="17">
        <f t="shared" si="18"/>
        <v>0.52149966875999998</v>
      </c>
      <c r="N177" s="20"/>
      <c r="P177" s="20"/>
      <c r="Q177" s="3">
        <v>280</v>
      </c>
      <c r="R177" s="17">
        <v>9.0044400000000007</v>
      </c>
      <c r="T177" s="3">
        <v>931.03599999999994</v>
      </c>
      <c r="U177" s="20"/>
    </row>
    <row r="178" spans="2:21" x14ac:dyDescent="0.25">
      <c r="B178" s="20"/>
      <c r="C178" s="8">
        <v>300</v>
      </c>
      <c r="D178" s="8">
        <v>6.71225</v>
      </c>
      <c r="E178" s="20"/>
      <c r="I178" s="20"/>
      <c r="J178" s="3">
        <v>216.77</v>
      </c>
      <c r="K178" s="3">
        <f t="shared" si="19"/>
        <v>216.721</v>
      </c>
      <c r="L178" s="3">
        <v>3913.43</v>
      </c>
      <c r="M178" s="17">
        <f t="shared" si="18"/>
        <v>0.52174631445999997</v>
      </c>
      <c r="N178" s="20"/>
      <c r="P178" s="20"/>
      <c r="Q178" s="3">
        <v>290</v>
      </c>
      <c r="R178" s="17">
        <v>4.5009699999999997</v>
      </c>
      <c r="T178" s="3">
        <v>121.51</v>
      </c>
      <c r="U178" s="20"/>
    </row>
    <row r="179" spans="2:21" x14ac:dyDescent="0.25">
      <c r="B179" s="20"/>
      <c r="C179" s="8">
        <v>300</v>
      </c>
      <c r="D179" s="8">
        <v>6.7121199999999996</v>
      </c>
      <c r="E179" s="20"/>
      <c r="I179" s="20"/>
      <c r="J179" s="3">
        <v>216.78</v>
      </c>
      <c r="K179" s="3">
        <f t="shared" si="19"/>
        <v>216.73099999999999</v>
      </c>
      <c r="L179" s="3">
        <v>3916.14</v>
      </c>
      <c r="M179" s="17">
        <f t="shared" si="18"/>
        <v>0.52210761707999997</v>
      </c>
      <c r="N179" s="20"/>
      <c r="P179" s="20"/>
      <c r="Q179" s="3">
        <v>290</v>
      </c>
      <c r="R179" s="17">
        <v>5.0000900000000001</v>
      </c>
      <c r="T179" s="3">
        <v>148.435</v>
      </c>
      <c r="U179" s="20"/>
    </row>
    <row r="180" spans="2:21" x14ac:dyDescent="0.25">
      <c r="B180" s="20"/>
      <c r="C180" s="8">
        <v>301</v>
      </c>
      <c r="D180" s="8">
        <v>6.867</v>
      </c>
      <c r="E180" s="20"/>
      <c r="I180" s="20"/>
      <c r="J180" s="3">
        <v>216.79</v>
      </c>
      <c r="K180" s="3">
        <f t="shared" si="19"/>
        <v>216.74099999999999</v>
      </c>
      <c r="L180" s="3">
        <v>3917.78</v>
      </c>
      <c r="M180" s="17">
        <f t="shared" si="18"/>
        <v>0.52232626516000003</v>
      </c>
      <c r="N180" s="20"/>
      <c r="P180" s="20"/>
      <c r="Q180" s="3">
        <v>290</v>
      </c>
      <c r="R180" s="17">
        <v>5.2000299999999999</v>
      </c>
      <c r="T180" s="3">
        <v>162.31200000000001</v>
      </c>
      <c r="U180" s="20"/>
    </row>
    <row r="181" spans="2:21" x14ac:dyDescent="0.25">
      <c r="B181" s="20"/>
      <c r="C181" s="8">
        <v>301</v>
      </c>
      <c r="D181" s="8">
        <v>6.8673700000000002</v>
      </c>
      <c r="E181" s="20"/>
      <c r="I181" s="20"/>
      <c r="J181" s="3">
        <v>216.8</v>
      </c>
      <c r="K181" s="3">
        <f t="shared" si="19"/>
        <v>216.751</v>
      </c>
      <c r="L181" s="3">
        <v>3919.4</v>
      </c>
      <c r="M181" s="17">
        <f t="shared" si="18"/>
        <v>0.52254224680000005</v>
      </c>
      <c r="N181" s="20"/>
      <c r="P181" s="20"/>
      <c r="Q181" s="3">
        <v>290</v>
      </c>
      <c r="R181" s="17">
        <v>5.3003499999999999</v>
      </c>
      <c r="T181" s="3">
        <v>170.459</v>
      </c>
      <c r="U181" s="20"/>
    </row>
    <row r="182" spans="2:21" x14ac:dyDescent="0.25">
      <c r="B182" s="20"/>
      <c r="C182" s="8">
        <v>302</v>
      </c>
      <c r="D182" s="8">
        <v>7.0254700000000003</v>
      </c>
      <c r="E182" s="20"/>
      <c r="I182" s="20"/>
      <c r="J182" s="3">
        <v>216.81</v>
      </c>
      <c r="K182" s="3">
        <f t="shared" si="19"/>
        <v>216.761</v>
      </c>
      <c r="L182" s="3">
        <v>3920.75</v>
      </c>
      <c r="M182" s="17">
        <f t="shared" si="18"/>
        <v>0.52272223150000008</v>
      </c>
      <c r="N182" s="20"/>
      <c r="P182" s="30"/>
      <c r="Q182" s="3">
        <v>290</v>
      </c>
      <c r="R182" s="17">
        <v>5.49993</v>
      </c>
      <c r="T182" s="3">
        <v>809.375</v>
      </c>
      <c r="U182" s="20"/>
    </row>
    <row r="183" spans="2:21" x14ac:dyDescent="0.25">
      <c r="B183" s="20"/>
      <c r="C183" s="8">
        <v>302</v>
      </c>
      <c r="D183" s="8">
        <v>7.0258500000000002</v>
      </c>
      <c r="E183" s="20"/>
      <c r="I183" s="20"/>
      <c r="J183" s="3">
        <v>216.83</v>
      </c>
      <c r="K183" s="3">
        <f t="shared" si="19"/>
        <v>216.78100000000001</v>
      </c>
      <c r="L183" s="3">
        <v>3924.42</v>
      </c>
      <c r="M183" s="17">
        <f t="shared" si="18"/>
        <v>0.52321152324000009</v>
      </c>
      <c r="N183" s="20"/>
      <c r="P183" s="20"/>
      <c r="Q183" s="3">
        <v>290</v>
      </c>
      <c r="R183" s="17">
        <v>6.0019099999999996</v>
      </c>
      <c r="T183" s="3">
        <v>820.78499999999997</v>
      </c>
      <c r="U183" s="20"/>
    </row>
    <row r="184" spans="2:21" x14ac:dyDescent="0.25">
      <c r="B184" s="20"/>
      <c r="C184" s="8">
        <v>302</v>
      </c>
      <c r="D184" s="8">
        <v>7.0258000000000003</v>
      </c>
      <c r="E184" s="20"/>
      <c r="I184" s="20"/>
      <c r="J184" s="3">
        <v>216.86</v>
      </c>
      <c r="K184" s="3">
        <f t="shared" si="19"/>
        <v>216.81100000000001</v>
      </c>
      <c r="L184" s="3">
        <v>3928.65</v>
      </c>
      <c r="M184" s="17">
        <f t="shared" si="18"/>
        <v>0.52377547530000002</v>
      </c>
      <c r="N184" s="20"/>
      <c r="P184" s="20"/>
      <c r="Q184" s="3">
        <v>290</v>
      </c>
      <c r="R184" s="17">
        <v>7.0006700000000004</v>
      </c>
      <c r="T184" s="3">
        <v>839.25199999999995</v>
      </c>
      <c r="U184" s="20"/>
    </row>
    <row r="185" spans="2:21" x14ac:dyDescent="0.25">
      <c r="B185" s="20"/>
      <c r="C185" s="8">
        <v>302.5</v>
      </c>
      <c r="D185" s="8">
        <v>7.1058599999999998</v>
      </c>
      <c r="E185" s="20"/>
      <c r="I185" s="20"/>
      <c r="J185" s="3">
        <v>216.96</v>
      </c>
      <c r="K185" s="3">
        <f t="shared" si="19"/>
        <v>216.911</v>
      </c>
      <c r="L185" s="3">
        <v>3946.34</v>
      </c>
      <c r="M185" s="17">
        <f t="shared" si="18"/>
        <v>0.52613394148000003</v>
      </c>
      <c r="N185" s="20"/>
      <c r="P185" s="20"/>
      <c r="Q185" s="3">
        <v>290</v>
      </c>
      <c r="R185" s="17">
        <v>7.0024499999999996</v>
      </c>
      <c r="T185" s="3">
        <v>839.30600000000004</v>
      </c>
      <c r="U185" s="20"/>
    </row>
    <row r="186" spans="2:21" x14ac:dyDescent="0.25">
      <c r="B186" s="20"/>
      <c r="C186" s="8">
        <v>302.5</v>
      </c>
      <c r="D186" s="8">
        <v>7.1063099999999997</v>
      </c>
      <c r="E186" s="20"/>
      <c r="I186" s="20"/>
      <c r="J186" s="20"/>
      <c r="K186" s="20"/>
      <c r="L186" s="20"/>
      <c r="M186" s="20"/>
      <c r="N186" s="20"/>
      <c r="P186" s="20"/>
      <c r="Q186" s="3">
        <v>290</v>
      </c>
      <c r="R186" s="17">
        <v>8.0023400000000002</v>
      </c>
      <c r="T186" s="3">
        <v>854.30499999999995</v>
      </c>
      <c r="U186" s="20"/>
    </row>
    <row r="187" spans="2:21" x14ac:dyDescent="0.25">
      <c r="B187" s="20"/>
      <c r="C187" s="8">
        <v>302.5</v>
      </c>
      <c r="D187" s="8">
        <v>7.1058199999999996</v>
      </c>
      <c r="E187" s="20"/>
      <c r="P187" s="20"/>
      <c r="Q187" s="3">
        <v>290</v>
      </c>
      <c r="R187" s="17">
        <v>9.0049499999999991</v>
      </c>
      <c r="T187" s="3">
        <v>867.02200000000005</v>
      </c>
      <c r="U187" s="20"/>
    </row>
    <row r="188" spans="2:21" x14ac:dyDescent="0.25">
      <c r="B188" s="20"/>
      <c r="C188" s="8">
        <v>303</v>
      </c>
      <c r="D188" s="8">
        <v>7.1873399999999998</v>
      </c>
      <c r="E188" s="20"/>
      <c r="P188" s="20"/>
      <c r="Q188" s="3">
        <v>297</v>
      </c>
      <c r="R188" s="17">
        <v>5.0016499999999997</v>
      </c>
      <c r="T188" s="3">
        <v>133.28800000000001</v>
      </c>
      <c r="U188" s="20"/>
    </row>
    <row r="189" spans="2:21" x14ac:dyDescent="0.25">
      <c r="B189" s="20"/>
      <c r="C189" s="8">
        <v>303</v>
      </c>
      <c r="D189" s="8">
        <v>7.1879299999999997</v>
      </c>
      <c r="E189" s="20"/>
      <c r="P189" s="20"/>
      <c r="Q189" s="3">
        <v>297</v>
      </c>
      <c r="R189" s="17">
        <v>5.5005800000000002</v>
      </c>
      <c r="T189" s="3">
        <v>159.61799999999999</v>
      </c>
      <c r="U189" s="20"/>
    </row>
    <row r="190" spans="2:21" x14ac:dyDescent="0.25">
      <c r="B190" s="20"/>
      <c r="C190" s="8">
        <v>303</v>
      </c>
      <c r="D190" s="8">
        <v>7.1878099999999998</v>
      </c>
      <c r="E190" s="20"/>
      <c r="P190" s="20"/>
      <c r="Q190" s="3">
        <v>297</v>
      </c>
      <c r="R190" s="17">
        <v>5.8011900000000001</v>
      </c>
      <c r="T190" s="3">
        <v>180.018</v>
      </c>
      <c r="U190" s="20"/>
    </row>
    <row r="191" spans="2:21" x14ac:dyDescent="0.25">
      <c r="B191" s="20"/>
      <c r="C191" s="8">
        <v>303.39999999999998</v>
      </c>
      <c r="D191" s="8">
        <v>7.2535999999999996</v>
      </c>
      <c r="E191" s="20"/>
      <c r="P191" s="20"/>
      <c r="Q191" s="3">
        <v>297</v>
      </c>
      <c r="R191" s="17">
        <v>6.0025300000000001</v>
      </c>
      <c r="T191" s="3">
        <v>197.238</v>
      </c>
      <c r="U191" s="20"/>
    </row>
    <row r="192" spans="2:21" x14ac:dyDescent="0.25">
      <c r="B192" s="20"/>
      <c r="C192" s="8">
        <v>303.39999999999998</v>
      </c>
      <c r="D192" s="8">
        <v>7.2538799999999997</v>
      </c>
      <c r="E192" s="20"/>
      <c r="P192" s="20"/>
      <c r="Q192" s="3">
        <v>297</v>
      </c>
      <c r="R192" s="17">
        <v>6.1017799999999998</v>
      </c>
      <c r="T192" s="3">
        <v>207.53100000000001</v>
      </c>
      <c r="U192" s="20"/>
    </row>
    <row r="193" spans="2:23" x14ac:dyDescent="0.25">
      <c r="B193" s="20"/>
      <c r="C193" s="8">
        <v>303.39999999999998</v>
      </c>
      <c r="D193" s="8">
        <v>7.2539999999999996</v>
      </c>
      <c r="E193" s="20"/>
      <c r="P193" s="20"/>
      <c r="Q193" s="3">
        <v>297</v>
      </c>
      <c r="R193" s="17">
        <v>6.19719</v>
      </c>
      <c r="T193" s="3">
        <v>219.262</v>
      </c>
      <c r="U193" s="20"/>
    </row>
    <row r="194" spans="2:23" x14ac:dyDescent="0.25">
      <c r="B194" s="20"/>
      <c r="C194" s="8">
        <v>303.60000000000002</v>
      </c>
      <c r="D194" s="8">
        <v>7.2868399999999998</v>
      </c>
      <c r="E194" s="20"/>
      <c r="P194" s="20"/>
      <c r="Q194" s="3">
        <v>297</v>
      </c>
      <c r="R194" s="17">
        <v>6.2017199999999999</v>
      </c>
      <c r="T194" s="3">
        <v>219.89</v>
      </c>
      <c r="U194" s="20"/>
    </row>
    <row r="195" spans="2:23" x14ac:dyDescent="0.25">
      <c r="B195" s="20"/>
      <c r="C195" s="8">
        <v>303.60000000000002</v>
      </c>
      <c r="D195" s="8">
        <v>7.2870799999999996</v>
      </c>
      <c r="E195" s="20"/>
      <c r="P195" s="20"/>
      <c r="Q195" s="3">
        <v>297</v>
      </c>
      <c r="R195" s="17">
        <v>6.2587000000000002</v>
      </c>
      <c r="T195" s="3">
        <v>228.34399999999999</v>
      </c>
      <c r="U195" s="20"/>
    </row>
    <row r="196" spans="2:23" x14ac:dyDescent="0.25">
      <c r="B196" s="20"/>
      <c r="C196" s="8">
        <v>303.8</v>
      </c>
      <c r="D196" s="8">
        <v>7.32029</v>
      </c>
      <c r="E196" s="20"/>
      <c r="P196" s="20"/>
      <c r="Q196" s="3">
        <v>297</v>
      </c>
      <c r="R196" s="17">
        <v>6.30105</v>
      </c>
      <c r="T196" s="3">
        <v>729.43100000000004</v>
      </c>
      <c r="U196" s="20"/>
    </row>
    <row r="197" spans="2:23" x14ac:dyDescent="0.25">
      <c r="B197" s="20"/>
      <c r="C197" s="8">
        <v>303.8</v>
      </c>
      <c r="D197" s="8">
        <v>7.3204399999999996</v>
      </c>
      <c r="E197" s="20"/>
      <c r="P197" s="20"/>
      <c r="Q197" s="3">
        <v>297</v>
      </c>
      <c r="R197" s="17">
        <v>6.5003900000000003</v>
      </c>
      <c r="T197" s="3">
        <v>740.39200000000005</v>
      </c>
      <c r="U197" s="20"/>
    </row>
    <row r="198" spans="2:23" x14ac:dyDescent="0.25">
      <c r="B198" s="20"/>
      <c r="C198" s="8">
        <v>303.89999999999998</v>
      </c>
      <c r="D198" s="8">
        <v>7.3372900000000003</v>
      </c>
      <c r="E198" s="20"/>
      <c r="P198" s="20"/>
      <c r="Q198" s="3">
        <v>297</v>
      </c>
      <c r="R198" s="17">
        <v>7.0000299999999998</v>
      </c>
      <c r="T198" s="3">
        <v>761.22699999999998</v>
      </c>
      <c r="U198" s="20"/>
      <c r="W198" s="12"/>
    </row>
    <row r="199" spans="2:23" x14ac:dyDescent="0.25">
      <c r="B199" s="20"/>
      <c r="C199" s="8">
        <v>304</v>
      </c>
      <c r="D199" s="8">
        <v>7.3540299999999998</v>
      </c>
      <c r="E199" s="20"/>
      <c r="P199" s="20"/>
      <c r="Q199" s="3">
        <v>297</v>
      </c>
      <c r="R199" s="17">
        <v>7.0238100000000001</v>
      </c>
      <c r="T199" s="3">
        <v>762.05</v>
      </c>
      <c r="U199" s="20"/>
    </row>
    <row r="200" spans="2:23" x14ac:dyDescent="0.25">
      <c r="B200" s="20"/>
      <c r="C200" s="8">
        <v>304</v>
      </c>
      <c r="D200" s="8">
        <v>7.3541499999999997</v>
      </c>
      <c r="E200" s="20"/>
      <c r="P200" s="20"/>
      <c r="Q200" s="3">
        <v>297</v>
      </c>
      <c r="R200" s="17">
        <v>7.5056500000000002</v>
      </c>
      <c r="T200" s="3">
        <v>777.11099999999999</v>
      </c>
      <c r="U200" s="20"/>
    </row>
    <row r="201" spans="2:23" x14ac:dyDescent="0.25">
      <c r="B201" s="20"/>
      <c r="C201" s="8">
        <v>304.10000000000002</v>
      </c>
      <c r="D201" s="8">
        <v>7.3709899999999999</v>
      </c>
      <c r="E201" s="20"/>
      <c r="P201" s="20"/>
      <c r="Q201" s="3">
        <v>297</v>
      </c>
      <c r="R201" s="17">
        <v>8.0033700000000003</v>
      </c>
      <c r="T201" s="3">
        <v>789.90099999999995</v>
      </c>
      <c r="U201" s="20"/>
    </row>
    <row r="202" spans="2:23" x14ac:dyDescent="0.25">
      <c r="B202" s="20"/>
      <c r="C202" s="20"/>
      <c r="D202" s="20"/>
      <c r="E202" s="20"/>
      <c r="P202" s="20"/>
      <c r="Q202" s="3">
        <v>297</v>
      </c>
      <c r="R202" s="17">
        <v>9.0080799999999996</v>
      </c>
      <c r="T202" s="3">
        <v>810.66399999999999</v>
      </c>
      <c r="U202" s="20"/>
    </row>
    <row r="203" spans="2:23" x14ac:dyDescent="0.25">
      <c r="D203" s="8"/>
      <c r="P203" s="20"/>
      <c r="Q203" s="3">
        <v>300</v>
      </c>
      <c r="R203" s="17">
        <v>0.50007999999999997</v>
      </c>
      <c r="T203" s="3">
        <v>9.0473999999999997</v>
      </c>
      <c r="U203" s="20"/>
    </row>
    <row r="204" spans="2:23" x14ac:dyDescent="0.25">
      <c r="D204" s="8"/>
      <c r="P204" s="20"/>
      <c r="Q204" s="3">
        <v>300</v>
      </c>
      <c r="R204" s="17">
        <v>0.50160000000000005</v>
      </c>
      <c r="T204" s="3">
        <v>9.0754999999999999</v>
      </c>
      <c r="U204" s="20"/>
    </row>
    <row r="205" spans="2:23" x14ac:dyDescent="0.25">
      <c r="D205" s="8"/>
      <c r="P205" s="20"/>
      <c r="Q205" s="3">
        <v>300</v>
      </c>
      <c r="R205" s="17">
        <v>1.0000199999999999</v>
      </c>
      <c r="T205" s="3">
        <v>18.580400000000001</v>
      </c>
      <c r="U205" s="20"/>
    </row>
    <row r="206" spans="2:23" x14ac:dyDescent="0.25">
      <c r="D206" s="8"/>
      <c r="P206" s="20"/>
      <c r="Q206" s="3">
        <v>300</v>
      </c>
      <c r="R206" s="17">
        <v>1.00082</v>
      </c>
      <c r="T206" s="3">
        <v>18.596399999999999</v>
      </c>
      <c r="U206" s="20"/>
    </row>
    <row r="207" spans="2:23" x14ac:dyDescent="0.25">
      <c r="P207" s="20"/>
      <c r="Q207" s="3">
        <v>300</v>
      </c>
      <c r="R207" s="17">
        <v>1.50058</v>
      </c>
      <c r="T207" s="3">
        <v>28.686800000000002</v>
      </c>
      <c r="U207" s="20"/>
    </row>
    <row r="208" spans="2:23" x14ac:dyDescent="0.25">
      <c r="P208" s="20"/>
      <c r="Q208" s="3">
        <v>300</v>
      </c>
      <c r="R208" s="17">
        <v>2.0002900000000001</v>
      </c>
      <c r="T208" s="3">
        <v>39.4268</v>
      </c>
      <c r="U208" s="20"/>
    </row>
    <row r="209" spans="5:21" x14ac:dyDescent="0.25">
      <c r="P209" s="20"/>
      <c r="Q209" s="3">
        <v>300</v>
      </c>
      <c r="R209" s="17">
        <v>2.5003299999999999</v>
      </c>
      <c r="T209" s="3">
        <v>50.944000000000003</v>
      </c>
      <c r="U209" s="20"/>
    </row>
    <row r="210" spans="5:21" x14ac:dyDescent="0.25">
      <c r="P210" s="20"/>
      <c r="Q210" s="3">
        <v>300</v>
      </c>
      <c r="R210" s="17">
        <v>2.5009399999999999</v>
      </c>
      <c r="T210" s="3">
        <v>50.959299999999999</v>
      </c>
      <c r="U210" s="20"/>
    </row>
    <row r="211" spans="5:21" x14ac:dyDescent="0.25">
      <c r="P211" s="20"/>
      <c r="Q211" s="3">
        <v>300</v>
      </c>
      <c r="R211" s="17">
        <v>3.00014</v>
      </c>
      <c r="T211" s="3">
        <v>63.380299999999998</v>
      </c>
      <c r="U211" s="20"/>
    </row>
    <row r="212" spans="5:21" x14ac:dyDescent="0.25">
      <c r="P212" s="20"/>
      <c r="Q212" s="3">
        <v>300</v>
      </c>
      <c r="R212" s="17">
        <v>3.50413</v>
      </c>
      <c r="T212" s="3">
        <v>77.068200000000004</v>
      </c>
      <c r="U212" s="20"/>
    </row>
    <row r="213" spans="5:21" x14ac:dyDescent="0.25">
      <c r="P213" s="20"/>
      <c r="Q213" s="3">
        <v>300</v>
      </c>
      <c r="R213" s="17">
        <v>4.0032300000000003</v>
      </c>
      <c r="T213" s="3">
        <v>92.069299999999998</v>
      </c>
      <c r="U213" s="20"/>
    </row>
    <row r="214" spans="5:21" x14ac:dyDescent="0.25">
      <c r="P214" s="20"/>
      <c r="Q214" s="3">
        <v>300</v>
      </c>
      <c r="R214" s="17">
        <v>4.0047899999999998</v>
      </c>
      <c r="T214" s="3">
        <v>92.116900000000001</v>
      </c>
      <c r="U214" s="20"/>
    </row>
    <row r="215" spans="5:21" x14ac:dyDescent="0.25">
      <c r="P215" s="20"/>
      <c r="Q215" s="3">
        <v>300</v>
      </c>
      <c r="R215" s="17">
        <v>4.5038200000000002</v>
      </c>
      <c r="T215" s="3">
        <v>109.006</v>
      </c>
      <c r="U215" s="20"/>
    </row>
    <row r="216" spans="5:21" x14ac:dyDescent="0.25">
      <c r="P216" s="20"/>
      <c r="Q216" s="3">
        <v>300</v>
      </c>
      <c r="R216" s="17">
        <v>5.0002700000000004</v>
      </c>
      <c r="T216" s="3">
        <v>128.41499999999999</v>
      </c>
      <c r="U216" s="20"/>
    </row>
    <row r="217" spans="5:21" x14ac:dyDescent="0.25">
      <c r="P217" s="20"/>
      <c r="Q217" s="3">
        <v>300</v>
      </c>
      <c r="R217" s="17">
        <v>5.0004200000000001</v>
      </c>
      <c r="T217" s="3">
        <v>128.42699999999999</v>
      </c>
      <c r="U217" s="20"/>
    </row>
    <row r="218" spans="5:21" x14ac:dyDescent="0.25">
      <c r="P218" s="20"/>
      <c r="Q218" s="3">
        <v>300</v>
      </c>
      <c r="R218" s="17">
        <v>5.0076799999999997</v>
      </c>
      <c r="T218" s="3">
        <v>128.72900000000001</v>
      </c>
      <c r="U218" s="20"/>
    </row>
    <row r="219" spans="5:21" x14ac:dyDescent="0.25">
      <c r="P219" s="20"/>
      <c r="Q219" s="3">
        <v>300</v>
      </c>
      <c r="R219" s="17">
        <v>5.5013500000000004</v>
      </c>
      <c r="T219" s="3">
        <v>151.976</v>
      </c>
      <c r="U219" s="20"/>
    </row>
    <row r="220" spans="5:21" x14ac:dyDescent="0.25">
      <c r="P220" s="20"/>
      <c r="Q220" s="3">
        <v>300</v>
      </c>
      <c r="R220" s="17">
        <v>6.0023999999999997</v>
      </c>
      <c r="T220" s="3">
        <v>182.51400000000001</v>
      </c>
      <c r="U220" s="20"/>
    </row>
    <row r="221" spans="5:21" x14ac:dyDescent="0.25">
      <c r="P221" s="20"/>
      <c r="Q221" s="3">
        <v>300</v>
      </c>
      <c r="R221" s="17">
        <v>6.2997199999999998</v>
      </c>
      <c r="T221" s="3">
        <v>207.12</v>
      </c>
      <c r="U221" s="20"/>
    </row>
    <row r="222" spans="5:21" x14ac:dyDescent="0.25">
      <c r="P222" s="20"/>
      <c r="Q222" s="3">
        <v>300</v>
      </c>
      <c r="R222" s="17">
        <v>6.5008699999999999</v>
      </c>
      <c r="T222" s="3">
        <v>229.74100000000001</v>
      </c>
      <c r="U222" s="20"/>
    </row>
    <row r="223" spans="5:21" x14ac:dyDescent="0.25">
      <c r="E223" s="11"/>
      <c r="P223" s="20"/>
      <c r="Q223" s="3">
        <v>300</v>
      </c>
      <c r="R223" s="17">
        <v>6.5009699999999997</v>
      </c>
      <c r="T223" s="3">
        <v>229.756</v>
      </c>
      <c r="U223" s="20"/>
    </row>
    <row r="224" spans="5:21" x14ac:dyDescent="0.25">
      <c r="P224" s="20"/>
      <c r="Q224" s="3">
        <v>300</v>
      </c>
      <c r="R224" s="17">
        <v>6.5018200000000004</v>
      </c>
      <c r="T224" s="3">
        <v>229.874</v>
      </c>
      <c r="U224" s="20"/>
    </row>
    <row r="225" spans="16:21" x14ac:dyDescent="0.25">
      <c r="P225" s="20"/>
      <c r="Q225" s="3">
        <v>300</v>
      </c>
      <c r="R225" s="17">
        <v>6.5031100000000004</v>
      </c>
      <c r="T225" s="3">
        <v>230.04400000000001</v>
      </c>
      <c r="U225" s="20"/>
    </row>
    <row r="226" spans="16:21" x14ac:dyDescent="0.25">
      <c r="P226" s="20"/>
      <c r="Q226" s="3">
        <v>300</v>
      </c>
      <c r="R226" s="17">
        <v>6.5567700000000002</v>
      </c>
      <c r="T226" s="3">
        <v>237.68299999999999</v>
      </c>
      <c r="U226" s="20"/>
    </row>
    <row r="227" spans="16:21" x14ac:dyDescent="0.25">
      <c r="P227" s="20"/>
      <c r="Q227" s="3">
        <v>300</v>
      </c>
      <c r="R227" s="17">
        <v>6.6011100000000003</v>
      </c>
      <c r="T227" s="3">
        <v>244.77199999999999</v>
      </c>
      <c r="U227" s="20"/>
    </row>
    <row r="228" spans="16:21" x14ac:dyDescent="0.25">
      <c r="P228" s="20"/>
      <c r="Q228" s="3">
        <v>300</v>
      </c>
      <c r="R228" s="17">
        <v>6.6019500000000004</v>
      </c>
      <c r="T228" s="3">
        <v>244.958</v>
      </c>
      <c r="U228" s="20"/>
    </row>
    <row r="229" spans="16:21" x14ac:dyDescent="0.25">
      <c r="P229" s="20"/>
      <c r="Q229" s="3">
        <v>300</v>
      </c>
      <c r="R229" s="17">
        <v>6.6504399999999997</v>
      </c>
      <c r="T229" s="3">
        <v>253.982</v>
      </c>
      <c r="U229" s="20"/>
    </row>
    <row r="230" spans="16:21" x14ac:dyDescent="0.25">
      <c r="P230" s="20"/>
      <c r="Q230" s="3">
        <v>300</v>
      </c>
      <c r="R230" s="17">
        <v>6.6510899999999999</v>
      </c>
      <c r="T230" s="3">
        <v>254.10900000000001</v>
      </c>
      <c r="U230" s="20"/>
    </row>
    <row r="231" spans="16:21" x14ac:dyDescent="0.25">
      <c r="P231" s="20"/>
      <c r="Q231" s="3">
        <v>300</v>
      </c>
      <c r="R231" s="17">
        <v>6.6538599999999999</v>
      </c>
      <c r="T231" s="3">
        <v>254.672</v>
      </c>
      <c r="U231" s="20"/>
    </row>
    <row r="232" spans="16:21" x14ac:dyDescent="0.25">
      <c r="P232" s="20"/>
      <c r="Q232" s="3">
        <v>300</v>
      </c>
      <c r="R232" s="17">
        <v>6.6548499999999997</v>
      </c>
      <c r="T232" s="3">
        <v>254.887</v>
      </c>
      <c r="U232" s="20"/>
    </row>
    <row r="233" spans="16:21" x14ac:dyDescent="0.25">
      <c r="P233" s="20"/>
      <c r="Q233" s="3">
        <v>300</v>
      </c>
      <c r="R233" s="17">
        <v>6.6829400000000003</v>
      </c>
      <c r="T233" s="3">
        <v>261.07400000000001</v>
      </c>
      <c r="U233" s="20"/>
    </row>
    <row r="234" spans="16:21" x14ac:dyDescent="0.25">
      <c r="P234" s="20"/>
      <c r="Q234" s="3">
        <v>300</v>
      </c>
      <c r="R234" s="17">
        <v>6.70113</v>
      </c>
      <c r="T234" s="3">
        <v>265.57799999999997</v>
      </c>
      <c r="U234" s="20"/>
    </row>
    <row r="235" spans="16:21" x14ac:dyDescent="0.25">
      <c r="P235" s="20"/>
      <c r="Q235" s="3">
        <v>300</v>
      </c>
      <c r="R235" s="17">
        <v>6.7062900000000001</v>
      </c>
      <c r="T235" s="3">
        <v>266.92700000000002</v>
      </c>
      <c r="U235" s="20"/>
    </row>
    <row r="236" spans="16:21" x14ac:dyDescent="0.25">
      <c r="P236" s="20"/>
      <c r="Q236" s="3">
        <v>300</v>
      </c>
      <c r="R236" s="17">
        <v>6.7080099999999998</v>
      </c>
      <c r="T236" s="3">
        <v>267.41699999999997</v>
      </c>
      <c r="U236" s="20"/>
    </row>
    <row r="237" spans="16:21" x14ac:dyDescent="0.25">
      <c r="P237" s="20"/>
      <c r="Q237" s="3">
        <v>300</v>
      </c>
      <c r="R237" s="17">
        <v>6.8034299999999996</v>
      </c>
      <c r="T237" s="3">
        <v>689.67</v>
      </c>
      <c r="U237" s="20"/>
    </row>
    <row r="238" spans="16:21" x14ac:dyDescent="0.25">
      <c r="P238" s="20"/>
      <c r="Q238" s="3">
        <v>300</v>
      </c>
      <c r="R238" s="17">
        <v>6.89846</v>
      </c>
      <c r="T238" s="3">
        <v>698.29300000000001</v>
      </c>
      <c r="U238" s="20"/>
    </row>
    <row r="239" spans="16:21" x14ac:dyDescent="0.25">
      <c r="P239" s="20"/>
      <c r="Q239" s="3">
        <v>300</v>
      </c>
      <c r="R239" s="17">
        <v>6.9938399999999996</v>
      </c>
      <c r="T239" s="3">
        <v>705.81</v>
      </c>
      <c r="U239" s="20"/>
    </row>
    <row r="240" spans="16:21" x14ac:dyDescent="0.25">
      <c r="P240" s="20"/>
      <c r="Q240" s="3">
        <v>300</v>
      </c>
      <c r="R240" s="17">
        <v>7.2032299999999996</v>
      </c>
      <c r="T240" s="3">
        <v>719.16</v>
      </c>
      <c r="U240" s="20"/>
    </row>
    <row r="241" spans="16:21" x14ac:dyDescent="0.25">
      <c r="P241" s="20"/>
      <c r="Q241" s="3">
        <v>300</v>
      </c>
      <c r="R241" s="17">
        <v>7.6018600000000003</v>
      </c>
      <c r="T241" s="3">
        <v>738.46400000000006</v>
      </c>
      <c r="U241" s="20"/>
    </row>
    <row r="242" spans="16:21" x14ac:dyDescent="0.25">
      <c r="P242" s="20"/>
      <c r="Q242" s="3">
        <v>300</v>
      </c>
      <c r="R242" s="17">
        <v>7.6029</v>
      </c>
      <c r="T242" s="3">
        <v>738.48</v>
      </c>
      <c r="U242" s="20"/>
    </row>
    <row r="243" spans="16:21" x14ac:dyDescent="0.25">
      <c r="P243" s="20"/>
      <c r="Q243" s="3">
        <v>300</v>
      </c>
      <c r="R243" s="17">
        <v>7.9984400000000004</v>
      </c>
      <c r="T243" s="3">
        <v>753.26300000000003</v>
      </c>
      <c r="U243" s="20"/>
    </row>
    <row r="244" spans="16:21" x14ac:dyDescent="0.25">
      <c r="P244" s="20"/>
      <c r="Q244" s="3">
        <v>300</v>
      </c>
      <c r="R244" s="17">
        <v>9.0059500000000003</v>
      </c>
      <c r="T244" s="3">
        <v>781.25099999999998</v>
      </c>
      <c r="U244" s="20"/>
    </row>
    <row r="245" spans="16:21" x14ac:dyDescent="0.25">
      <c r="P245" s="20"/>
      <c r="Q245" s="3">
        <v>303</v>
      </c>
      <c r="R245" s="17">
        <v>4.9984900000000003</v>
      </c>
      <c r="T245" s="3">
        <v>124.16200000000001</v>
      </c>
      <c r="U245" s="20"/>
    </row>
    <row r="246" spans="16:21" x14ac:dyDescent="0.25">
      <c r="P246" s="20"/>
      <c r="Q246" s="3">
        <v>303</v>
      </c>
      <c r="R246" s="17">
        <v>5.4996499999999999</v>
      </c>
      <c r="T246" s="3">
        <v>145.60599999999999</v>
      </c>
      <c r="U246" s="20"/>
    </row>
    <row r="247" spans="16:21" x14ac:dyDescent="0.25">
      <c r="P247" s="20"/>
      <c r="Q247" s="3">
        <v>303</v>
      </c>
      <c r="R247" s="17">
        <v>6.0003799999999998</v>
      </c>
      <c r="T247" s="3">
        <v>171.95400000000001</v>
      </c>
      <c r="U247" s="20"/>
    </row>
    <row r="248" spans="16:21" x14ac:dyDescent="0.25">
      <c r="P248" s="20"/>
      <c r="Q248" s="3">
        <v>303</v>
      </c>
      <c r="R248" s="17">
        <v>6.5007900000000003</v>
      </c>
      <c r="T248" s="3">
        <v>207.41200000000001</v>
      </c>
      <c r="U248" s="20"/>
    </row>
    <row r="249" spans="16:21" x14ac:dyDescent="0.25">
      <c r="P249" s="20"/>
      <c r="Q249" s="3">
        <v>303</v>
      </c>
      <c r="R249" s="17">
        <v>6.6989099999999997</v>
      </c>
      <c r="T249" s="3">
        <v>226.453</v>
      </c>
      <c r="U249" s="20"/>
    </row>
    <row r="250" spans="16:21" x14ac:dyDescent="0.25">
      <c r="P250" s="20"/>
      <c r="Q250" s="3">
        <v>303</v>
      </c>
      <c r="R250" s="17">
        <v>6.9020799999999998</v>
      </c>
      <c r="T250" s="3">
        <v>252.357</v>
      </c>
      <c r="U250" s="20"/>
    </row>
    <row r="251" spans="16:21" x14ac:dyDescent="0.25">
      <c r="P251" s="20"/>
      <c r="Q251" s="3">
        <v>303</v>
      </c>
      <c r="R251" s="17">
        <v>7.0013699999999996</v>
      </c>
      <c r="T251" s="3">
        <v>269.68799999999999</v>
      </c>
      <c r="U251" s="20"/>
    </row>
    <row r="252" spans="16:21" x14ac:dyDescent="0.25">
      <c r="P252" s="20"/>
      <c r="Q252" s="3">
        <v>303</v>
      </c>
      <c r="R252" s="17">
        <v>7.0517200000000004</v>
      </c>
      <c r="T252" s="3">
        <v>280.79700000000003</v>
      </c>
      <c r="U252" s="20"/>
    </row>
    <row r="253" spans="16:21" x14ac:dyDescent="0.25">
      <c r="P253" s="20"/>
      <c r="Q253" s="3">
        <v>303</v>
      </c>
      <c r="R253" s="17">
        <v>7.09884</v>
      </c>
      <c r="T253" s="3">
        <v>293.69400000000002</v>
      </c>
      <c r="U253" s="20"/>
    </row>
    <row r="254" spans="16:21" x14ac:dyDescent="0.25">
      <c r="P254" s="20"/>
      <c r="Q254" s="3">
        <v>303</v>
      </c>
      <c r="R254" s="17">
        <v>7.1426999999999996</v>
      </c>
      <c r="T254" s="3">
        <v>309.851</v>
      </c>
      <c r="U254" s="20"/>
    </row>
    <row r="255" spans="16:21" x14ac:dyDescent="0.25">
      <c r="P255" s="20"/>
      <c r="Q255" s="3">
        <v>303</v>
      </c>
      <c r="R255" s="17">
        <v>7.1519399999999997</v>
      </c>
      <c r="T255" s="3">
        <v>314.14100000000002</v>
      </c>
      <c r="U255" s="20"/>
    </row>
    <row r="256" spans="16:21" x14ac:dyDescent="0.25">
      <c r="P256" s="20"/>
      <c r="Q256" s="3">
        <v>303</v>
      </c>
      <c r="R256" s="17">
        <v>7.1685299999999996</v>
      </c>
      <c r="T256" s="3">
        <v>323.30900000000003</v>
      </c>
      <c r="U256" s="20"/>
    </row>
    <row r="257" spans="16:21" x14ac:dyDescent="0.25">
      <c r="P257" s="20"/>
      <c r="Q257" s="3">
        <v>303</v>
      </c>
      <c r="R257" s="17">
        <v>7.1717599999999999</v>
      </c>
      <c r="T257" s="3">
        <v>325.44600000000003</v>
      </c>
      <c r="U257" s="20"/>
    </row>
    <row r="258" spans="16:21" x14ac:dyDescent="0.25">
      <c r="P258" s="20"/>
      <c r="Q258" s="3">
        <v>303</v>
      </c>
      <c r="R258" s="17">
        <v>7.1790500000000002</v>
      </c>
      <c r="T258" s="3">
        <v>331.01400000000001</v>
      </c>
      <c r="U258" s="20"/>
    </row>
    <row r="259" spans="16:21" x14ac:dyDescent="0.25">
      <c r="P259" s="20"/>
      <c r="Q259" s="3">
        <v>303</v>
      </c>
      <c r="R259" s="17">
        <v>7.18248</v>
      </c>
      <c r="T259" s="3">
        <v>333.93799999999999</v>
      </c>
      <c r="U259" s="20"/>
    </row>
    <row r="260" spans="16:21" x14ac:dyDescent="0.25">
      <c r="P260" s="20"/>
      <c r="Q260" s="3">
        <v>303</v>
      </c>
      <c r="R260" s="17">
        <v>7.1886000000000001</v>
      </c>
      <c r="T260" s="3">
        <v>600.51900000000001</v>
      </c>
      <c r="U260" s="20"/>
    </row>
    <row r="261" spans="16:21" x14ac:dyDescent="0.25">
      <c r="P261" s="20"/>
      <c r="Q261" s="3">
        <v>303</v>
      </c>
      <c r="R261" s="17">
        <v>7.1889500000000002</v>
      </c>
      <c r="T261" s="3">
        <v>600.78099999999995</v>
      </c>
      <c r="U261" s="20"/>
    </row>
    <row r="262" spans="16:21" x14ac:dyDescent="0.25">
      <c r="P262" s="20"/>
      <c r="Q262" s="3">
        <v>303</v>
      </c>
      <c r="R262" s="17">
        <v>7.1907300000000003</v>
      </c>
      <c r="T262" s="3">
        <v>601.86800000000005</v>
      </c>
      <c r="U262" s="20"/>
    </row>
    <row r="263" spans="16:21" x14ac:dyDescent="0.25">
      <c r="P263" s="20"/>
      <c r="Q263" s="3">
        <v>303</v>
      </c>
      <c r="R263" s="17">
        <v>7.20465</v>
      </c>
      <c r="T263" s="3">
        <v>609.16800000000001</v>
      </c>
      <c r="U263" s="20"/>
    </row>
    <row r="264" spans="16:21" x14ac:dyDescent="0.25">
      <c r="P264" s="20"/>
      <c r="Q264" s="3">
        <v>303</v>
      </c>
      <c r="R264" s="17">
        <v>7.2130299999999998</v>
      </c>
      <c r="T264" s="3">
        <v>612.80899999999997</v>
      </c>
      <c r="U264" s="20"/>
    </row>
    <row r="265" spans="16:21" x14ac:dyDescent="0.25">
      <c r="P265" s="20"/>
      <c r="Q265" s="3">
        <v>303</v>
      </c>
      <c r="R265" s="17">
        <v>7.2541500000000001</v>
      </c>
      <c r="T265" s="3">
        <v>626.37900000000002</v>
      </c>
      <c r="U265" s="20"/>
    </row>
    <row r="266" spans="16:21" x14ac:dyDescent="0.25">
      <c r="P266" s="20"/>
      <c r="Q266" s="3">
        <v>303</v>
      </c>
      <c r="R266" s="17">
        <v>7.30091</v>
      </c>
      <c r="T266" s="3">
        <v>637.38599999999997</v>
      </c>
      <c r="U266" s="20"/>
    </row>
    <row r="267" spans="16:21" x14ac:dyDescent="0.25">
      <c r="P267" s="20"/>
      <c r="Q267" s="3">
        <v>303</v>
      </c>
      <c r="R267" s="17">
        <v>7.3055300000000001</v>
      </c>
      <c r="T267" s="3">
        <v>638.33799999999997</v>
      </c>
      <c r="U267" s="20"/>
    </row>
    <row r="268" spans="16:21" x14ac:dyDescent="0.25">
      <c r="P268" s="20"/>
      <c r="Q268" s="3">
        <v>303</v>
      </c>
      <c r="R268" s="17">
        <v>7.3101000000000003</v>
      </c>
      <c r="T268" s="3">
        <v>639.26</v>
      </c>
      <c r="U268" s="20"/>
    </row>
    <row r="269" spans="16:21" x14ac:dyDescent="0.25">
      <c r="P269" s="20"/>
      <c r="Q269" s="3">
        <v>303</v>
      </c>
      <c r="R269" s="17">
        <v>7.3979299999999997</v>
      </c>
      <c r="T269" s="3">
        <v>653.79399999999998</v>
      </c>
      <c r="U269" s="20"/>
    </row>
    <row r="270" spans="16:21" x14ac:dyDescent="0.25">
      <c r="P270" s="20"/>
      <c r="Q270" s="3">
        <v>303</v>
      </c>
      <c r="R270" s="17">
        <v>7.5026700000000002</v>
      </c>
      <c r="T270" s="3">
        <v>666.76900000000001</v>
      </c>
      <c r="U270" s="20"/>
    </row>
    <row r="271" spans="16:21" x14ac:dyDescent="0.25">
      <c r="P271" s="20"/>
      <c r="Q271" s="3">
        <v>303</v>
      </c>
      <c r="R271" s="17">
        <v>7.6061800000000002</v>
      </c>
      <c r="T271" s="3">
        <v>677.01499999999999</v>
      </c>
      <c r="U271" s="20"/>
    </row>
    <row r="272" spans="16:21" x14ac:dyDescent="0.25">
      <c r="P272" s="20"/>
      <c r="Q272" s="3">
        <v>303</v>
      </c>
      <c r="R272" s="17">
        <v>7.7992699999999999</v>
      </c>
      <c r="T272" s="3">
        <v>692.23900000000003</v>
      </c>
      <c r="U272" s="20"/>
    </row>
    <row r="273" spans="5:21" x14ac:dyDescent="0.25">
      <c r="P273" s="20"/>
      <c r="Q273" s="3">
        <v>303</v>
      </c>
      <c r="R273" s="17">
        <v>8.0009899999999998</v>
      </c>
      <c r="T273" s="3">
        <v>704.875</v>
      </c>
      <c r="U273" s="20"/>
    </row>
    <row r="274" spans="5:21" x14ac:dyDescent="0.25">
      <c r="P274" s="20"/>
      <c r="Q274" s="3">
        <v>303</v>
      </c>
      <c r="R274" s="17">
        <v>8.0007900000000003</v>
      </c>
      <c r="T274" s="3">
        <v>704.87900000000002</v>
      </c>
      <c r="U274" s="20"/>
    </row>
    <row r="275" spans="5:21" x14ac:dyDescent="0.25">
      <c r="P275" s="20"/>
      <c r="Q275" s="3">
        <v>303</v>
      </c>
      <c r="R275" s="17">
        <v>8.2040799999999994</v>
      </c>
      <c r="T275" s="3">
        <v>715.51800000000003</v>
      </c>
      <c r="U275" s="20"/>
    </row>
    <row r="276" spans="5:21" x14ac:dyDescent="0.25">
      <c r="P276" s="20"/>
      <c r="Q276" s="3">
        <v>303</v>
      </c>
      <c r="R276" s="17">
        <v>8.4004399999999997</v>
      </c>
      <c r="T276" s="3">
        <v>724.42399999999998</v>
      </c>
      <c r="U276" s="20"/>
    </row>
    <row r="277" spans="5:21" x14ac:dyDescent="0.25">
      <c r="P277" s="20"/>
      <c r="Q277" s="3">
        <v>303</v>
      </c>
      <c r="R277" s="17">
        <v>8.4039000000000001</v>
      </c>
      <c r="T277" s="3">
        <v>724.58799999999997</v>
      </c>
      <c r="U277" s="20"/>
    </row>
    <row r="278" spans="5:21" x14ac:dyDescent="0.25">
      <c r="P278" s="20"/>
      <c r="Q278" s="3">
        <v>303</v>
      </c>
      <c r="R278" s="17">
        <v>8.6020299999999992</v>
      </c>
      <c r="T278" s="3">
        <v>732.56200000000001</v>
      </c>
      <c r="U278" s="20"/>
    </row>
    <row r="279" spans="5:21" x14ac:dyDescent="0.25">
      <c r="P279" s="20"/>
      <c r="Q279" s="3">
        <v>303</v>
      </c>
      <c r="R279" s="17">
        <v>8.7981499999999997</v>
      </c>
      <c r="T279" s="3">
        <v>739.65800000000002</v>
      </c>
      <c r="U279" s="20"/>
    </row>
    <row r="280" spans="5:21" x14ac:dyDescent="0.25">
      <c r="P280" s="20"/>
      <c r="Q280" s="3">
        <v>303</v>
      </c>
      <c r="R280" s="17">
        <v>8.8032199999999996</v>
      </c>
      <c r="T280" s="3">
        <v>739.85500000000002</v>
      </c>
      <c r="U280" s="20"/>
    </row>
    <row r="281" spans="5:21" x14ac:dyDescent="0.25">
      <c r="P281" s="20"/>
      <c r="Q281" s="3">
        <v>303</v>
      </c>
      <c r="R281" s="17">
        <v>9.0027899999999992</v>
      </c>
      <c r="T281" s="3">
        <v>746.46199999999999</v>
      </c>
      <c r="U281" s="20"/>
    </row>
    <row r="282" spans="5:21" x14ac:dyDescent="0.25">
      <c r="P282" s="20"/>
      <c r="Q282" s="3">
        <v>304.15499999999997</v>
      </c>
      <c r="R282" s="17">
        <v>6.5009300000000003</v>
      </c>
      <c r="T282" s="3">
        <v>201.36199999999999</v>
      </c>
      <c r="U282" s="20"/>
    </row>
    <row r="283" spans="5:21" x14ac:dyDescent="0.25">
      <c r="E283" s="11"/>
      <c r="P283" s="20"/>
      <c r="Q283" s="3">
        <v>304.15499999999997</v>
      </c>
      <c r="R283" s="17">
        <v>6.8002599999999997</v>
      </c>
      <c r="T283" s="3">
        <v>228.113</v>
      </c>
      <c r="U283" s="20"/>
    </row>
    <row r="284" spans="5:21" x14ac:dyDescent="0.25">
      <c r="P284" s="20"/>
      <c r="Q284" s="3">
        <v>304.15499999999997</v>
      </c>
      <c r="R284" s="17">
        <v>7.0016100000000003</v>
      </c>
      <c r="T284" s="3">
        <v>252.47</v>
      </c>
      <c r="U284" s="20"/>
    </row>
    <row r="285" spans="5:21" x14ac:dyDescent="0.25">
      <c r="P285" s="20"/>
      <c r="Q285" s="3">
        <v>304.15499999999997</v>
      </c>
      <c r="R285" s="17">
        <v>7.09971</v>
      </c>
      <c r="T285" s="3">
        <v>267.96100000000001</v>
      </c>
      <c r="U285" s="20"/>
    </row>
    <row r="286" spans="5:21" x14ac:dyDescent="0.25">
      <c r="P286" s="20"/>
      <c r="Q286" s="3">
        <v>304.15499999999997</v>
      </c>
      <c r="R286" s="17">
        <v>7.2497199999999999</v>
      </c>
      <c r="T286" s="3">
        <v>302.214</v>
      </c>
      <c r="U286" s="20"/>
    </row>
    <row r="287" spans="5:21" x14ac:dyDescent="0.25">
      <c r="P287" s="20"/>
      <c r="Q287" s="3">
        <v>304.15499999999997</v>
      </c>
      <c r="R287" s="17">
        <v>7.3362100000000003</v>
      </c>
      <c r="T287" s="3">
        <v>340.42</v>
      </c>
      <c r="U287" s="20"/>
    </row>
    <row r="288" spans="5:21" x14ac:dyDescent="0.25">
      <c r="P288" s="20"/>
      <c r="Q288" s="3">
        <v>304.15499999999997</v>
      </c>
      <c r="R288" s="17">
        <v>7.3716299999999997</v>
      </c>
      <c r="T288" s="3">
        <v>381.839</v>
      </c>
      <c r="U288" s="20"/>
    </row>
    <row r="289" spans="16:21" x14ac:dyDescent="0.25">
      <c r="P289" s="20"/>
      <c r="Q289" s="3">
        <v>304.15499999999997</v>
      </c>
      <c r="R289" s="17">
        <v>7.3786100000000001</v>
      </c>
      <c r="T289" s="3">
        <v>411.52199999999999</v>
      </c>
      <c r="U289" s="20"/>
    </row>
    <row r="290" spans="16:21" x14ac:dyDescent="0.25">
      <c r="P290" s="20"/>
      <c r="Q290" s="3">
        <v>304.15499999999997</v>
      </c>
      <c r="R290" s="17">
        <v>7.3802399999999997</v>
      </c>
      <c r="T290" s="3">
        <v>471.1</v>
      </c>
      <c r="U290" s="20"/>
    </row>
    <row r="291" spans="16:21" x14ac:dyDescent="0.25">
      <c r="P291" s="20"/>
      <c r="Q291" s="3">
        <v>304.15499999999997</v>
      </c>
      <c r="R291" s="17">
        <v>7.3806200000000004</v>
      </c>
      <c r="T291" s="3">
        <v>504.68</v>
      </c>
      <c r="U291" s="20"/>
    </row>
    <row r="292" spans="16:21" x14ac:dyDescent="0.25">
      <c r="P292" s="20"/>
      <c r="Q292" s="3">
        <v>304.15499999999997</v>
      </c>
      <c r="R292" s="17">
        <v>7.3851300000000002</v>
      </c>
      <c r="T292" s="3">
        <v>538.95000000000005</v>
      </c>
      <c r="U292" s="20"/>
    </row>
    <row r="293" spans="16:21" x14ac:dyDescent="0.25">
      <c r="P293" s="20"/>
      <c r="Q293" s="3">
        <v>304.15499999999997</v>
      </c>
      <c r="R293" s="17">
        <v>7.4176099999999998</v>
      </c>
      <c r="T293" s="3">
        <v>580.85900000000004</v>
      </c>
      <c r="U293" s="20"/>
    </row>
    <row r="294" spans="16:21" x14ac:dyDescent="0.25">
      <c r="P294" s="20"/>
      <c r="Q294" s="3">
        <v>304.15499999999997</v>
      </c>
      <c r="R294" s="17">
        <v>7.5031999999999996</v>
      </c>
      <c r="T294" s="3">
        <v>615.19600000000003</v>
      </c>
      <c r="U294" s="20"/>
    </row>
    <row r="295" spans="16:21" x14ac:dyDescent="0.25">
      <c r="P295" s="20"/>
      <c r="Q295" s="3">
        <v>305</v>
      </c>
      <c r="R295" s="17">
        <v>6.4944699999999997</v>
      </c>
      <c r="T295" s="3">
        <v>196.98099999999999</v>
      </c>
      <c r="U295" s="20"/>
    </row>
    <row r="296" spans="16:21" x14ac:dyDescent="0.25">
      <c r="P296" s="20"/>
      <c r="Q296" s="3">
        <v>305</v>
      </c>
      <c r="R296" s="17">
        <v>6.8025599999999997</v>
      </c>
      <c r="T296" s="3">
        <v>222.25399999999999</v>
      </c>
      <c r="U296" s="20"/>
    </row>
    <row r="297" spans="16:21" x14ac:dyDescent="0.25">
      <c r="P297" s="20"/>
      <c r="Q297" s="3">
        <v>305</v>
      </c>
      <c r="R297" s="17">
        <v>6.99838</v>
      </c>
      <c r="T297" s="8">
        <v>242.965</v>
      </c>
      <c r="U297" s="20"/>
    </row>
    <row r="298" spans="16:21" x14ac:dyDescent="0.25">
      <c r="P298" s="20"/>
      <c r="Q298" s="3">
        <v>305</v>
      </c>
      <c r="R298" s="17">
        <v>7.1959600000000004</v>
      </c>
      <c r="T298" s="3">
        <v>271.11700000000002</v>
      </c>
      <c r="U298" s="20"/>
    </row>
    <row r="299" spans="16:21" x14ac:dyDescent="0.25">
      <c r="P299" s="20"/>
      <c r="Q299" s="3">
        <v>305</v>
      </c>
      <c r="R299" s="17">
        <v>7.33643</v>
      </c>
      <c r="T299" s="3">
        <v>301.05599999999998</v>
      </c>
      <c r="U299" s="20"/>
    </row>
    <row r="300" spans="16:21" x14ac:dyDescent="0.25">
      <c r="P300" s="20"/>
      <c r="Q300" s="3">
        <v>305</v>
      </c>
      <c r="R300" s="17">
        <v>7.4418699999999998</v>
      </c>
      <c r="T300" s="3">
        <v>340.34</v>
      </c>
      <c r="U300" s="20"/>
    </row>
    <row r="301" spans="16:21" x14ac:dyDescent="0.25">
      <c r="P301" s="20"/>
      <c r="Q301" s="3">
        <v>305</v>
      </c>
      <c r="R301" s="17">
        <v>7.4917499999999997</v>
      </c>
      <c r="T301" s="3">
        <v>380.54899999999998</v>
      </c>
      <c r="U301" s="20"/>
    </row>
    <row r="302" spans="16:21" x14ac:dyDescent="0.25">
      <c r="P302" s="20"/>
      <c r="Q302" s="3">
        <v>305</v>
      </c>
      <c r="R302" s="17">
        <v>7.5137900000000002</v>
      </c>
      <c r="T302" s="3">
        <v>425.01499999999999</v>
      </c>
      <c r="U302" s="20"/>
    </row>
    <row r="303" spans="16:21" x14ac:dyDescent="0.25">
      <c r="P303" s="20"/>
      <c r="Q303" s="3">
        <v>305</v>
      </c>
      <c r="R303" s="17">
        <v>7.5218299999999996</v>
      </c>
      <c r="T303" s="3">
        <v>457.12099999999998</v>
      </c>
      <c r="U303" s="20"/>
    </row>
    <row r="304" spans="16:21" x14ac:dyDescent="0.25">
      <c r="P304" s="20"/>
      <c r="Q304" s="3">
        <v>305</v>
      </c>
      <c r="R304" s="17">
        <v>7.5224000000000002</v>
      </c>
      <c r="T304" s="3">
        <v>458.76900000000001</v>
      </c>
      <c r="U304" s="20"/>
    </row>
    <row r="305" spans="5:21" x14ac:dyDescent="0.25">
      <c r="P305" s="20"/>
      <c r="Q305" s="3">
        <v>305</v>
      </c>
      <c r="R305" s="17">
        <v>7.53233</v>
      </c>
      <c r="T305" s="3">
        <v>500.80799999999999</v>
      </c>
      <c r="U305" s="20"/>
    </row>
    <row r="306" spans="5:21" x14ac:dyDescent="0.25">
      <c r="P306" s="20"/>
      <c r="Q306" s="3">
        <v>305</v>
      </c>
      <c r="R306" s="17">
        <v>7.5505100000000001</v>
      </c>
      <c r="T306" s="3">
        <v>538.84799999999996</v>
      </c>
      <c r="U306" s="20"/>
    </row>
    <row r="307" spans="5:21" x14ac:dyDescent="0.25">
      <c r="P307" s="20"/>
      <c r="Q307" s="3">
        <v>305</v>
      </c>
      <c r="R307" s="17">
        <v>7.6048900000000001</v>
      </c>
      <c r="T307" s="3">
        <v>580.68200000000002</v>
      </c>
      <c r="U307" s="20"/>
    </row>
    <row r="308" spans="5:21" x14ac:dyDescent="0.25">
      <c r="P308" s="20"/>
      <c r="Q308" s="3">
        <v>305</v>
      </c>
      <c r="R308" s="17">
        <v>7.7997199999999998</v>
      </c>
      <c r="T308" s="3">
        <v>631.51599999999996</v>
      </c>
      <c r="U308" s="20"/>
    </row>
    <row r="309" spans="5:21" x14ac:dyDescent="0.25">
      <c r="P309" s="20"/>
      <c r="Q309" s="3">
        <v>305</v>
      </c>
      <c r="R309" s="17">
        <v>7.9000300000000001</v>
      </c>
      <c r="T309" s="3">
        <v>645.77</v>
      </c>
      <c r="U309" s="20"/>
    </row>
    <row r="310" spans="5:21" x14ac:dyDescent="0.25">
      <c r="P310" s="20"/>
      <c r="Q310" s="3">
        <v>305</v>
      </c>
      <c r="R310" s="17">
        <v>8.0020799999999994</v>
      </c>
      <c r="T310" s="3">
        <v>657.28300000000002</v>
      </c>
      <c r="U310" s="20"/>
    </row>
    <row r="311" spans="5:21" x14ac:dyDescent="0.25">
      <c r="P311" s="20"/>
      <c r="Q311" s="3">
        <v>305</v>
      </c>
      <c r="R311" s="17">
        <v>8.1999300000000002</v>
      </c>
      <c r="T311" s="3">
        <v>674.79399999999998</v>
      </c>
      <c r="U311" s="20"/>
    </row>
    <row r="312" spans="5:21" x14ac:dyDescent="0.25">
      <c r="P312" s="20"/>
      <c r="Q312" s="3">
        <v>305</v>
      </c>
      <c r="R312" s="17">
        <v>8.40123</v>
      </c>
      <c r="T312" s="3">
        <v>688.72500000000002</v>
      </c>
      <c r="U312" s="20"/>
    </row>
    <row r="313" spans="5:21" x14ac:dyDescent="0.25">
      <c r="P313" s="20"/>
      <c r="Q313" s="3">
        <v>305</v>
      </c>
      <c r="R313" s="17">
        <v>8.6050500000000003</v>
      </c>
      <c r="T313" s="3">
        <v>700.399</v>
      </c>
      <c r="U313" s="20"/>
    </row>
    <row r="314" spans="5:21" x14ac:dyDescent="0.25">
      <c r="P314" s="20"/>
      <c r="Q314" s="3">
        <v>305</v>
      </c>
      <c r="R314" s="17">
        <v>8.8064599999999995</v>
      </c>
      <c r="T314" s="3">
        <v>710.31600000000003</v>
      </c>
      <c r="U314" s="20"/>
    </row>
    <row r="315" spans="5:21" x14ac:dyDescent="0.25">
      <c r="P315" s="20"/>
      <c r="Q315" s="3">
        <v>305</v>
      </c>
      <c r="R315" s="17">
        <v>8.8078500000000002</v>
      </c>
      <c r="T315" s="3">
        <v>710.33100000000002</v>
      </c>
      <c r="U315" s="20"/>
    </row>
    <row r="316" spans="5:21" x14ac:dyDescent="0.25">
      <c r="P316" s="20"/>
      <c r="Q316" s="3">
        <v>305</v>
      </c>
      <c r="R316" s="17">
        <v>9.0031499999999998</v>
      </c>
      <c r="T316" s="3">
        <v>718.84900000000005</v>
      </c>
      <c r="U316" s="20"/>
    </row>
    <row r="317" spans="5:21" x14ac:dyDescent="0.25">
      <c r="P317" s="20"/>
      <c r="Q317" s="3">
        <v>307</v>
      </c>
      <c r="R317" s="17">
        <v>5.0031600000000003</v>
      </c>
      <c r="T317" s="3">
        <v>119.47199999999999</v>
      </c>
      <c r="U317" s="20"/>
    </row>
    <row r="318" spans="5:21" x14ac:dyDescent="0.25">
      <c r="E318" s="11"/>
      <c r="P318" s="20"/>
      <c r="Q318" s="3">
        <v>307</v>
      </c>
      <c r="R318" s="17">
        <v>6.0016600000000002</v>
      </c>
      <c r="T318" s="3">
        <v>161.45599999999999</v>
      </c>
      <c r="U318" s="20"/>
    </row>
    <row r="319" spans="5:21" x14ac:dyDescent="0.25">
      <c r="P319" s="20"/>
      <c r="Q319" s="3">
        <v>307</v>
      </c>
      <c r="R319" s="17">
        <v>6.4999799999999999</v>
      </c>
      <c r="T319" s="3">
        <v>189.39699999999999</v>
      </c>
      <c r="U319" s="20"/>
    </row>
    <row r="320" spans="5:21" x14ac:dyDescent="0.25">
      <c r="P320" s="20"/>
      <c r="Q320" s="3">
        <v>307</v>
      </c>
      <c r="R320" s="17">
        <v>6.8007499999999999</v>
      </c>
      <c r="T320" s="3">
        <v>210.45599999999999</v>
      </c>
      <c r="U320" s="20"/>
    </row>
    <row r="321" spans="16:21" x14ac:dyDescent="0.25">
      <c r="P321" s="20"/>
      <c r="Q321" s="3">
        <v>307</v>
      </c>
      <c r="R321" s="17">
        <v>6.9994800000000001</v>
      </c>
      <c r="T321" s="3">
        <v>227.18199999999999</v>
      </c>
      <c r="U321" s="20"/>
    </row>
    <row r="322" spans="16:21" x14ac:dyDescent="0.25">
      <c r="P322" s="20"/>
      <c r="Q322" s="3">
        <v>307</v>
      </c>
      <c r="R322" s="17">
        <v>7.1947099999999997</v>
      </c>
      <c r="T322" s="3">
        <v>247.02500000000001</v>
      </c>
      <c r="U322" s="20"/>
    </row>
    <row r="323" spans="16:21" x14ac:dyDescent="0.25">
      <c r="P323" s="20"/>
      <c r="Q323" s="3">
        <v>307</v>
      </c>
      <c r="R323" s="17">
        <v>7.3990799999999997</v>
      </c>
      <c r="T323" s="3">
        <v>213.92599999999999</v>
      </c>
      <c r="U323" s="20"/>
    </row>
    <row r="324" spans="16:21" x14ac:dyDescent="0.25">
      <c r="P324" s="20"/>
      <c r="Q324" s="3">
        <v>307</v>
      </c>
      <c r="R324" s="17">
        <v>7.5442499999999999</v>
      </c>
      <c r="T324" s="3">
        <v>300.22899999999998</v>
      </c>
      <c r="U324" s="20"/>
    </row>
    <row r="325" spans="16:21" x14ac:dyDescent="0.25">
      <c r="P325" s="20"/>
      <c r="Q325" s="3">
        <v>307</v>
      </c>
      <c r="R325" s="17">
        <v>7.68919</v>
      </c>
      <c r="T325" s="3">
        <v>340.55900000000003</v>
      </c>
      <c r="U325" s="20"/>
    </row>
    <row r="326" spans="16:21" x14ac:dyDescent="0.25">
      <c r="P326" s="20"/>
      <c r="Q326" s="3">
        <v>307</v>
      </c>
      <c r="R326" s="17">
        <v>7.6900300000000001</v>
      </c>
      <c r="T326" s="3">
        <v>340.74099999999999</v>
      </c>
      <c r="U326" s="20"/>
    </row>
    <row r="327" spans="16:21" x14ac:dyDescent="0.25">
      <c r="P327" s="20"/>
      <c r="Q327" s="3">
        <v>307</v>
      </c>
      <c r="R327" s="17">
        <v>7.7690999999999999</v>
      </c>
      <c r="T327" s="3">
        <v>378.32900000000001</v>
      </c>
      <c r="U327" s="20"/>
    </row>
    <row r="328" spans="16:21" x14ac:dyDescent="0.25">
      <c r="P328" s="20"/>
      <c r="Q328" s="3">
        <v>307</v>
      </c>
      <c r="R328" s="17">
        <v>7.8220999999999998</v>
      </c>
      <c r="T328" s="3">
        <v>419.96300000000002</v>
      </c>
      <c r="U328" s="20"/>
    </row>
    <row r="329" spans="16:21" x14ac:dyDescent="0.25">
      <c r="P329" s="20"/>
      <c r="Q329" s="3">
        <v>307</v>
      </c>
      <c r="R329" s="17">
        <v>7.8601400000000003</v>
      </c>
      <c r="T329" s="3">
        <v>459.791</v>
      </c>
      <c r="U329" s="20"/>
    </row>
    <row r="330" spans="16:21" x14ac:dyDescent="0.25">
      <c r="P330" s="20"/>
      <c r="Q330" s="3">
        <v>307</v>
      </c>
      <c r="R330" s="17">
        <v>7.8987800000000004</v>
      </c>
      <c r="T330" s="3">
        <v>499.46699999999998</v>
      </c>
      <c r="U330" s="20"/>
    </row>
    <row r="331" spans="16:21" x14ac:dyDescent="0.25">
      <c r="P331" s="20"/>
      <c r="Q331" s="3">
        <v>307</v>
      </c>
      <c r="R331" s="17">
        <v>7.9548100000000002</v>
      </c>
      <c r="T331" s="3">
        <v>539.678</v>
      </c>
      <c r="U331" s="20"/>
    </row>
    <row r="332" spans="16:21" x14ac:dyDescent="0.25">
      <c r="P332" s="20"/>
      <c r="Q332" s="3">
        <v>307</v>
      </c>
      <c r="R332" s="17">
        <v>8.0516400000000008</v>
      </c>
      <c r="T332" s="3">
        <v>578.46799999999996</v>
      </c>
      <c r="U332" s="20"/>
    </row>
    <row r="333" spans="16:21" x14ac:dyDescent="0.25">
      <c r="P333" s="20"/>
      <c r="Q333" s="3">
        <v>307</v>
      </c>
      <c r="R333" s="17">
        <v>8.1962299999999999</v>
      </c>
      <c r="T333" s="3">
        <v>610.83699999999999</v>
      </c>
      <c r="U333" s="20"/>
    </row>
    <row r="334" spans="16:21" x14ac:dyDescent="0.25">
      <c r="P334" s="20"/>
      <c r="Q334" s="3">
        <v>307</v>
      </c>
      <c r="R334" s="17">
        <v>8.40578</v>
      </c>
      <c r="T334" s="3">
        <v>639.48099999999999</v>
      </c>
      <c r="U334" s="20"/>
    </row>
    <row r="335" spans="16:21" x14ac:dyDescent="0.25">
      <c r="P335" s="20"/>
      <c r="Q335" s="3">
        <v>307</v>
      </c>
      <c r="R335" s="17">
        <v>8.5034399999999994</v>
      </c>
      <c r="T335" s="3">
        <v>649.47</v>
      </c>
      <c r="U335" s="20"/>
    </row>
    <row r="336" spans="16:21" x14ac:dyDescent="0.25">
      <c r="P336" s="20"/>
      <c r="Q336" s="3">
        <v>307</v>
      </c>
      <c r="R336" s="17">
        <v>8.6007099999999994</v>
      </c>
      <c r="T336" s="3">
        <v>658.07100000000003</v>
      </c>
      <c r="U336" s="20"/>
    </row>
    <row r="337" spans="4:21" x14ac:dyDescent="0.25">
      <c r="P337" s="20"/>
      <c r="Q337" s="3">
        <v>307</v>
      </c>
      <c r="R337" s="17">
        <v>8.6053499999999996</v>
      </c>
      <c r="T337" s="3">
        <v>658.51800000000003</v>
      </c>
      <c r="U337" s="20"/>
    </row>
    <row r="338" spans="4:21" x14ac:dyDescent="0.25">
      <c r="P338" s="20"/>
      <c r="Q338" s="3">
        <v>307</v>
      </c>
      <c r="R338" s="17">
        <v>8.8019700000000007</v>
      </c>
      <c r="T338" s="3">
        <v>673.10699999999997</v>
      </c>
      <c r="U338" s="20"/>
    </row>
    <row r="339" spans="4:21" x14ac:dyDescent="0.25">
      <c r="P339" s="20"/>
      <c r="Q339" s="3">
        <v>307</v>
      </c>
      <c r="R339" s="17">
        <v>9.00075</v>
      </c>
      <c r="T339" s="3">
        <v>685.36</v>
      </c>
      <c r="U339" s="20"/>
    </row>
    <row r="340" spans="4:21" x14ac:dyDescent="0.25">
      <c r="P340" s="20"/>
      <c r="Q340" s="3">
        <v>310</v>
      </c>
      <c r="R340" s="17">
        <v>6.0005100000000002</v>
      </c>
      <c r="T340" s="3">
        <v>155.02000000000001</v>
      </c>
      <c r="U340" s="20"/>
    </row>
    <row r="341" spans="4:21" x14ac:dyDescent="0.25">
      <c r="P341" s="20"/>
      <c r="Q341" s="3">
        <v>310</v>
      </c>
      <c r="R341" s="17">
        <v>6.4935099999999997</v>
      </c>
      <c r="T341" s="3">
        <v>179.35599999999999</v>
      </c>
      <c r="U341" s="20"/>
    </row>
    <row r="342" spans="4:21" x14ac:dyDescent="0.25">
      <c r="P342" s="20"/>
      <c r="Q342" s="3">
        <v>310</v>
      </c>
      <c r="R342" s="17">
        <v>6.9966400000000002</v>
      </c>
      <c r="T342" s="3">
        <v>210.44399999999999</v>
      </c>
      <c r="U342" s="20"/>
    </row>
    <row r="343" spans="4:21" x14ac:dyDescent="0.25">
      <c r="P343" s="20"/>
      <c r="Q343" s="3">
        <v>310</v>
      </c>
      <c r="R343" s="17">
        <v>7.00047</v>
      </c>
      <c r="T343" s="3">
        <v>210.721</v>
      </c>
      <c r="U343" s="20"/>
    </row>
    <row r="344" spans="4:21" x14ac:dyDescent="0.25">
      <c r="P344" s="20"/>
      <c r="Q344" s="3">
        <v>310</v>
      </c>
      <c r="R344" s="17">
        <v>7.2009299999999996</v>
      </c>
      <c r="T344" s="3">
        <v>225.923</v>
      </c>
      <c r="U344" s="20"/>
    </row>
    <row r="345" spans="4:21" x14ac:dyDescent="0.25">
      <c r="P345" s="20"/>
      <c r="Q345" s="3">
        <v>310</v>
      </c>
      <c r="R345" s="17">
        <v>7.2012</v>
      </c>
      <c r="T345" s="3">
        <v>225.94399999999999</v>
      </c>
      <c r="U345" s="20"/>
    </row>
    <row r="346" spans="4:21" x14ac:dyDescent="0.25">
      <c r="P346" s="20"/>
      <c r="Q346" s="3">
        <v>310</v>
      </c>
      <c r="R346" s="17">
        <v>7.4008500000000002</v>
      </c>
      <c r="T346" s="3">
        <v>243.52500000000001</v>
      </c>
      <c r="U346" s="20"/>
    </row>
    <row r="347" spans="4:21" x14ac:dyDescent="0.25">
      <c r="P347" s="20"/>
      <c r="Q347" s="3">
        <v>310</v>
      </c>
      <c r="R347" s="17">
        <v>7.6009500000000001</v>
      </c>
      <c r="T347" s="3">
        <v>264.673</v>
      </c>
      <c r="U347" s="20"/>
    </row>
    <row r="348" spans="4:21" x14ac:dyDescent="0.25">
      <c r="P348" s="20"/>
      <c r="Q348" s="3">
        <v>310</v>
      </c>
      <c r="R348" s="17">
        <v>7.70092</v>
      </c>
      <c r="T348" s="3">
        <v>277.154</v>
      </c>
      <c r="U348" s="20"/>
    </row>
    <row r="349" spans="4:21" x14ac:dyDescent="0.25">
      <c r="D349" s="11"/>
      <c r="P349" s="20"/>
      <c r="Q349" s="3">
        <v>310</v>
      </c>
      <c r="R349" s="17">
        <v>7.8007400000000002</v>
      </c>
      <c r="T349" s="3">
        <v>291.37099999999998</v>
      </c>
      <c r="U349" s="20"/>
    </row>
    <row r="350" spans="4:21" x14ac:dyDescent="0.25">
      <c r="P350" s="20"/>
      <c r="Q350" s="3">
        <v>310</v>
      </c>
      <c r="R350" s="17">
        <v>7.90252</v>
      </c>
      <c r="T350" s="3">
        <v>308.36399999999998</v>
      </c>
      <c r="U350" s="20"/>
    </row>
    <row r="351" spans="4:21" x14ac:dyDescent="0.25">
      <c r="P351" s="20"/>
      <c r="Q351" s="3">
        <v>310</v>
      </c>
      <c r="R351" s="17">
        <v>8.0007000000000001</v>
      </c>
      <c r="T351" s="3">
        <v>328.08499999999998</v>
      </c>
      <c r="U351" s="20"/>
    </row>
    <row r="352" spans="4:21" x14ac:dyDescent="0.25">
      <c r="P352" s="20"/>
      <c r="Q352" s="3">
        <v>310</v>
      </c>
      <c r="R352" s="17">
        <v>8.0027500000000007</v>
      </c>
      <c r="T352" s="3">
        <v>328.53199999999998</v>
      </c>
      <c r="U352" s="20"/>
    </row>
    <row r="353" spans="4:21" x14ac:dyDescent="0.25">
      <c r="P353" s="20"/>
      <c r="Q353" s="3">
        <v>310</v>
      </c>
      <c r="R353" s="17">
        <v>8.0033499999999993</v>
      </c>
      <c r="T353" s="3">
        <v>328.685</v>
      </c>
      <c r="U353" s="20"/>
    </row>
    <row r="354" spans="4:21" x14ac:dyDescent="0.25">
      <c r="P354" s="20"/>
      <c r="Q354" s="3">
        <v>310</v>
      </c>
      <c r="R354" s="17">
        <v>8.1008999999999993</v>
      </c>
      <c r="T354" s="3">
        <v>353.21100000000001</v>
      </c>
      <c r="U354" s="20"/>
    </row>
    <row r="355" spans="4:21" x14ac:dyDescent="0.25">
      <c r="P355" s="20"/>
      <c r="Q355" s="3">
        <v>310</v>
      </c>
      <c r="R355" s="17">
        <v>8.2007899999999996</v>
      </c>
      <c r="T355" s="3">
        <v>385.69400000000002</v>
      </c>
      <c r="U355" s="20"/>
    </row>
    <row r="356" spans="4:21" x14ac:dyDescent="0.25">
      <c r="P356" s="20"/>
      <c r="Q356" s="3">
        <v>310</v>
      </c>
      <c r="R356" s="17">
        <v>8.3000299999999996</v>
      </c>
      <c r="T356" s="3">
        <v>427.346</v>
      </c>
      <c r="U356" s="20"/>
    </row>
    <row r="357" spans="4:21" x14ac:dyDescent="0.25">
      <c r="P357" s="20"/>
      <c r="Q357" s="3">
        <v>310</v>
      </c>
      <c r="R357" s="17">
        <v>8.4004999999999992</v>
      </c>
      <c r="T357" s="3">
        <v>474.75599999999997</v>
      </c>
      <c r="U357" s="20"/>
    </row>
    <row r="358" spans="4:21" x14ac:dyDescent="0.25">
      <c r="P358" s="20"/>
      <c r="Q358" s="3">
        <v>310</v>
      </c>
      <c r="R358" s="17">
        <v>8.4062400000000004</v>
      </c>
      <c r="T358" s="3">
        <v>477.23899999999998</v>
      </c>
      <c r="U358" s="20"/>
    </row>
    <row r="359" spans="4:21" x14ac:dyDescent="0.25">
      <c r="P359" s="20"/>
      <c r="Q359" s="3">
        <v>310</v>
      </c>
      <c r="R359" s="17">
        <v>8.5017200000000006</v>
      </c>
      <c r="T359" s="3">
        <v>516.35400000000004</v>
      </c>
      <c r="U359" s="20"/>
    </row>
    <row r="360" spans="4:21" x14ac:dyDescent="0.25">
      <c r="P360" s="20"/>
      <c r="Q360" s="3">
        <v>310</v>
      </c>
      <c r="R360" s="17">
        <v>8.6011699999999998</v>
      </c>
      <c r="T360" s="3">
        <v>547.10400000000004</v>
      </c>
      <c r="U360" s="20"/>
    </row>
    <row r="361" spans="4:21" x14ac:dyDescent="0.25">
      <c r="P361" s="20"/>
      <c r="Q361" s="3">
        <v>310</v>
      </c>
      <c r="R361" s="17">
        <v>8.7017900000000008</v>
      </c>
      <c r="T361" s="3">
        <v>570.37400000000002</v>
      </c>
      <c r="U361" s="20"/>
    </row>
    <row r="362" spans="4:21" x14ac:dyDescent="0.25">
      <c r="D362" s="3"/>
      <c r="F362" s="3"/>
      <c r="P362" s="20"/>
      <c r="Q362" s="3">
        <v>310</v>
      </c>
      <c r="R362" s="17">
        <v>8.8018000000000001</v>
      </c>
      <c r="T362" s="3">
        <v>588.40700000000004</v>
      </c>
      <c r="U362" s="20"/>
    </row>
    <row r="363" spans="4:21" x14ac:dyDescent="0.25">
      <c r="D363" s="3"/>
      <c r="F363" s="3"/>
      <c r="P363" s="20"/>
      <c r="Q363" s="3">
        <v>310</v>
      </c>
      <c r="R363" s="17">
        <v>8.8026499999999999</v>
      </c>
      <c r="T363" s="3">
        <v>588.54999999999995</v>
      </c>
      <c r="U363" s="20"/>
    </row>
    <row r="364" spans="4:21" x14ac:dyDescent="0.25">
      <c r="F364" s="3"/>
      <c r="P364" s="20"/>
      <c r="Q364" s="3">
        <v>310</v>
      </c>
      <c r="R364" s="17">
        <v>8.9030799999999992</v>
      </c>
      <c r="T364" s="3">
        <v>603.28899999999999</v>
      </c>
      <c r="U364" s="20"/>
    </row>
    <row r="365" spans="4:21" x14ac:dyDescent="0.25">
      <c r="P365" s="20"/>
      <c r="Q365" s="3">
        <v>313</v>
      </c>
      <c r="R365" s="17">
        <v>6.98123</v>
      </c>
      <c r="T365" s="3">
        <v>197.476</v>
      </c>
      <c r="U365" s="20"/>
    </row>
    <row r="366" spans="4:21" x14ac:dyDescent="0.25">
      <c r="P366" s="20"/>
      <c r="Q366" s="3">
        <v>313</v>
      </c>
      <c r="R366" s="17">
        <v>6.9988999999999999</v>
      </c>
      <c r="T366" s="3">
        <v>198.52699999999999</v>
      </c>
      <c r="U366" s="20"/>
    </row>
    <row r="367" spans="4:21" x14ac:dyDescent="0.25">
      <c r="P367" s="20"/>
      <c r="Q367" s="3">
        <v>313</v>
      </c>
      <c r="R367" s="17">
        <v>7.2000400000000004</v>
      </c>
      <c r="T367" s="3">
        <v>211.05799999999999</v>
      </c>
      <c r="U367" s="20"/>
    </row>
    <row r="368" spans="4:21" x14ac:dyDescent="0.25">
      <c r="P368" s="20"/>
      <c r="Q368" s="3">
        <v>313</v>
      </c>
      <c r="R368" s="17">
        <v>7.20024</v>
      </c>
      <c r="T368" s="3">
        <v>211.07400000000001</v>
      </c>
      <c r="U368" s="20"/>
    </row>
    <row r="369" spans="16:21" x14ac:dyDescent="0.25">
      <c r="P369" s="20"/>
      <c r="Q369" s="3">
        <v>313</v>
      </c>
      <c r="R369" s="17">
        <v>7.4008700000000003</v>
      </c>
      <c r="T369" s="3">
        <v>224.96100000000001</v>
      </c>
      <c r="U369" s="20"/>
    </row>
    <row r="370" spans="16:21" x14ac:dyDescent="0.25">
      <c r="P370" s="20"/>
      <c r="Q370" s="3">
        <v>313</v>
      </c>
      <c r="R370" s="17">
        <v>7.59762</v>
      </c>
      <c r="T370" s="3">
        <v>240.31200000000001</v>
      </c>
      <c r="U370" s="20"/>
    </row>
    <row r="371" spans="16:21" x14ac:dyDescent="0.25">
      <c r="P371" s="20"/>
      <c r="Q371" s="3">
        <v>313</v>
      </c>
      <c r="R371" s="17">
        <v>7.8003</v>
      </c>
      <c r="T371" s="3">
        <v>258.47300000000001</v>
      </c>
      <c r="U371" s="20"/>
    </row>
    <row r="372" spans="16:21" x14ac:dyDescent="0.25">
      <c r="P372" s="20"/>
      <c r="Q372" s="3">
        <v>313</v>
      </c>
      <c r="R372" s="17">
        <v>7.9001599999999996</v>
      </c>
      <c r="T372" s="3">
        <v>268.55599999999998</v>
      </c>
      <c r="U372" s="20"/>
    </row>
    <row r="373" spans="16:21" x14ac:dyDescent="0.25">
      <c r="P373" s="20"/>
      <c r="Q373" s="3">
        <v>313</v>
      </c>
      <c r="R373" s="17">
        <v>8.0030000000000001</v>
      </c>
      <c r="T373" s="3">
        <v>219.93700000000001</v>
      </c>
      <c r="U373" s="20"/>
    </row>
    <row r="374" spans="16:21" x14ac:dyDescent="0.25">
      <c r="P374" s="20"/>
      <c r="Q374" s="3">
        <v>313</v>
      </c>
      <c r="R374" s="17">
        <v>8.1042000000000005</v>
      </c>
      <c r="T374" s="3">
        <v>292.31700000000001</v>
      </c>
      <c r="U374" s="20"/>
    </row>
    <row r="375" spans="16:21" x14ac:dyDescent="0.25">
      <c r="P375" s="20"/>
      <c r="Q375" s="3">
        <v>313</v>
      </c>
      <c r="R375" s="17">
        <v>8.2015700000000002</v>
      </c>
      <c r="T375" s="3">
        <v>305.59300000000002</v>
      </c>
      <c r="U375" s="20"/>
    </row>
    <row r="376" spans="16:21" x14ac:dyDescent="0.25">
      <c r="P376" s="20"/>
      <c r="Q376" s="3">
        <v>313</v>
      </c>
      <c r="R376" s="17">
        <v>8.3009299999999993</v>
      </c>
      <c r="T376" s="3">
        <v>320.81799999999998</v>
      </c>
      <c r="U376" s="20"/>
    </row>
    <row r="377" spans="16:21" x14ac:dyDescent="0.25">
      <c r="P377" s="20"/>
      <c r="Q377" s="3">
        <v>313</v>
      </c>
      <c r="R377" s="17">
        <v>8.4026999999999994</v>
      </c>
      <c r="T377" s="3">
        <v>338.63</v>
      </c>
      <c r="U377" s="20"/>
    </row>
    <row r="378" spans="16:21" x14ac:dyDescent="0.25">
      <c r="P378" s="20"/>
      <c r="Q378" s="3">
        <v>313</v>
      </c>
      <c r="R378" s="17">
        <v>8.5031099999999995</v>
      </c>
      <c r="T378" s="3">
        <v>358.87200000000001</v>
      </c>
      <c r="U378" s="20"/>
    </row>
    <row r="379" spans="16:21" x14ac:dyDescent="0.25">
      <c r="P379" s="20"/>
      <c r="Q379" s="3">
        <v>313</v>
      </c>
      <c r="R379" s="17">
        <v>8.6012199999999996</v>
      </c>
      <c r="T379" s="3">
        <v>381.66</v>
      </c>
      <c r="U379" s="20"/>
    </row>
    <row r="380" spans="16:21" x14ac:dyDescent="0.25">
      <c r="P380" s="20"/>
      <c r="Q380" s="3">
        <v>313</v>
      </c>
      <c r="R380" s="17">
        <v>8.7048799999999993</v>
      </c>
      <c r="T380" s="3">
        <v>409.05900000000003</v>
      </c>
      <c r="U380" s="20"/>
    </row>
    <row r="381" spans="16:21" x14ac:dyDescent="0.25">
      <c r="P381" s="20"/>
      <c r="Q381" s="3">
        <v>313</v>
      </c>
      <c r="R381" s="17">
        <v>8.8010900000000003</v>
      </c>
      <c r="T381" s="3">
        <v>436.76600000000002</v>
      </c>
      <c r="U381" s="20"/>
    </row>
    <row r="382" spans="16:21" x14ac:dyDescent="0.25">
      <c r="P382" s="20"/>
      <c r="Q382" s="3">
        <v>313</v>
      </c>
      <c r="R382" s="17">
        <v>8.8021799999999999</v>
      </c>
      <c r="T382" s="3">
        <v>437.166</v>
      </c>
      <c r="U382" s="20"/>
    </row>
    <row r="383" spans="16:21" x14ac:dyDescent="0.25">
      <c r="P383" s="20"/>
      <c r="Q383" s="3">
        <v>313</v>
      </c>
      <c r="R383" s="17">
        <v>8.9050600000000006</v>
      </c>
      <c r="T383" s="3">
        <v>467.34899999999999</v>
      </c>
      <c r="U383" s="20"/>
    </row>
    <row r="384" spans="16:21" x14ac:dyDescent="0.25">
      <c r="P384" s="20"/>
      <c r="Q384" s="3">
        <v>313</v>
      </c>
      <c r="R384" s="17">
        <v>9.0046300000000006</v>
      </c>
      <c r="T384" s="3">
        <v>494.66699999999997</v>
      </c>
      <c r="U384" s="20"/>
    </row>
    <row r="385" spans="16:21" x14ac:dyDescent="0.25">
      <c r="P385" s="20"/>
      <c r="Q385" s="3">
        <v>320</v>
      </c>
      <c r="R385" s="17">
        <v>0.50090000000000001</v>
      </c>
      <c r="T385" s="3">
        <v>8.4539000000000009</v>
      </c>
      <c r="U385" s="20"/>
    </row>
    <row r="386" spans="16:21" x14ac:dyDescent="0.25">
      <c r="P386" s="20"/>
      <c r="Q386" s="3">
        <v>320</v>
      </c>
      <c r="R386" s="17">
        <v>0.50305999999999995</v>
      </c>
      <c r="T386" s="3">
        <v>8.4909999999999997</v>
      </c>
      <c r="U386" s="20"/>
    </row>
    <row r="387" spans="16:21" x14ac:dyDescent="0.25">
      <c r="P387" s="20"/>
      <c r="Q387" s="3">
        <v>320</v>
      </c>
      <c r="R387" s="17">
        <v>1.0013799999999999</v>
      </c>
      <c r="T387" s="3">
        <v>17.259599999999999</v>
      </c>
      <c r="U387" s="20"/>
    </row>
    <row r="388" spans="16:21" x14ac:dyDescent="0.25">
      <c r="P388" s="20"/>
      <c r="Q388" s="3">
        <v>320</v>
      </c>
      <c r="R388" s="17">
        <v>1.5009699999999999</v>
      </c>
      <c r="T388" s="3">
        <v>26.446999999999999</v>
      </c>
      <c r="U388" s="20"/>
    </row>
    <row r="389" spans="16:21" x14ac:dyDescent="0.25">
      <c r="P389" s="20"/>
      <c r="Q389" s="3">
        <v>320</v>
      </c>
      <c r="R389" s="17">
        <v>2.0005600000000001</v>
      </c>
      <c r="T389" s="3">
        <v>36.074800000000003</v>
      </c>
      <c r="U389" s="20"/>
    </row>
    <row r="390" spans="16:21" x14ac:dyDescent="0.25">
      <c r="P390" s="20"/>
      <c r="Q390" s="3">
        <v>320</v>
      </c>
      <c r="R390" s="17">
        <v>2.5006599999999999</v>
      </c>
      <c r="T390" s="3">
        <v>46.210900000000002</v>
      </c>
      <c r="U390" s="20"/>
    </row>
    <row r="391" spans="16:21" x14ac:dyDescent="0.25">
      <c r="P391" s="20"/>
      <c r="Q391" s="3">
        <v>320</v>
      </c>
      <c r="R391" s="17">
        <v>3.0009600000000001</v>
      </c>
      <c r="T391" s="3">
        <v>56.915100000000002</v>
      </c>
      <c r="U391" s="20"/>
    </row>
    <row r="392" spans="16:21" x14ac:dyDescent="0.25">
      <c r="P392" s="20"/>
      <c r="Q392" s="3">
        <v>320</v>
      </c>
      <c r="R392" s="17">
        <v>3.4996100000000001</v>
      </c>
      <c r="T392" s="3">
        <v>68.222700000000003</v>
      </c>
      <c r="U392" s="20"/>
    </row>
    <row r="393" spans="16:21" x14ac:dyDescent="0.25">
      <c r="P393" s="20"/>
      <c r="Q393" s="3">
        <v>320</v>
      </c>
      <c r="R393" s="17">
        <v>3.5009600000000001</v>
      </c>
      <c r="T393" s="3">
        <v>68.254999999999995</v>
      </c>
      <c r="U393" s="20"/>
    </row>
    <row r="394" spans="16:21" x14ac:dyDescent="0.25">
      <c r="P394" s="20"/>
      <c r="Q394" s="3">
        <v>320</v>
      </c>
      <c r="R394" s="17">
        <v>4.0010700000000003</v>
      </c>
      <c r="T394" s="3">
        <v>80.337000000000003</v>
      </c>
      <c r="U394" s="20"/>
    </row>
    <row r="395" spans="16:21" x14ac:dyDescent="0.25">
      <c r="P395" s="20"/>
      <c r="Q395" s="3">
        <v>320</v>
      </c>
      <c r="R395" s="17">
        <v>4.5001199999999999</v>
      </c>
      <c r="T395" s="3">
        <v>93.258700000000005</v>
      </c>
      <c r="U395" s="20"/>
    </row>
    <row r="396" spans="16:21" x14ac:dyDescent="0.25">
      <c r="P396" s="20"/>
      <c r="Q396" s="3">
        <v>320</v>
      </c>
      <c r="R396" s="17">
        <v>5.0005199999999999</v>
      </c>
      <c r="T396" s="3">
        <v>107.238</v>
      </c>
      <c r="U396" s="20"/>
    </row>
    <row r="397" spans="16:21" x14ac:dyDescent="0.25">
      <c r="P397" s="20"/>
      <c r="Q397" s="3">
        <v>320</v>
      </c>
      <c r="R397" s="17">
        <v>5.5005600000000001</v>
      </c>
      <c r="T397" s="3">
        <v>122.435</v>
      </c>
      <c r="U397" s="20"/>
    </row>
    <row r="398" spans="16:21" x14ac:dyDescent="0.25">
      <c r="P398" s="20"/>
      <c r="Q398" s="3">
        <v>320</v>
      </c>
      <c r="R398" s="17">
        <v>6.0009600000000001</v>
      </c>
      <c r="T398" s="3">
        <v>139.15700000000001</v>
      </c>
      <c r="U398" s="20"/>
    </row>
    <row r="399" spans="16:21" x14ac:dyDescent="0.25">
      <c r="P399" s="20"/>
      <c r="Q399" s="3">
        <v>320</v>
      </c>
      <c r="R399" s="17">
        <v>6.50054</v>
      </c>
      <c r="T399" s="3">
        <v>157.74100000000001</v>
      </c>
      <c r="U399" s="20"/>
    </row>
    <row r="400" spans="16:21" x14ac:dyDescent="0.25">
      <c r="P400" s="20"/>
      <c r="Q400" s="3">
        <v>320</v>
      </c>
      <c r="R400" s="17">
        <v>7.0005600000000001</v>
      </c>
      <c r="T400" s="3">
        <v>178.78800000000001</v>
      </c>
      <c r="U400" s="20"/>
    </row>
    <row r="401" spans="16:21" x14ac:dyDescent="0.25">
      <c r="P401" s="20"/>
      <c r="Q401" s="3">
        <v>320</v>
      </c>
      <c r="R401" s="17">
        <v>7.0008699999999999</v>
      </c>
      <c r="T401" s="3">
        <v>178.8</v>
      </c>
      <c r="U401" s="20"/>
    </row>
    <row r="402" spans="16:21" x14ac:dyDescent="0.25">
      <c r="P402" s="20"/>
      <c r="Q402" s="3">
        <v>320</v>
      </c>
      <c r="R402" s="17">
        <v>7.5029899999999996</v>
      </c>
      <c r="T402" s="3">
        <v>203.232</v>
      </c>
      <c r="U402" s="20"/>
    </row>
    <row r="403" spans="16:21" x14ac:dyDescent="0.25">
      <c r="P403" s="20"/>
      <c r="Q403" s="3">
        <v>320</v>
      </c>
      <c r="R403" s="17">
        <v>8.0013000000000005</v>
      </c>
      <c r="T403" s="3">
        <v>232.03800000000001</v>
      </c>
      <c r="U403" s="20"/>
    </row>
    <row r="404" spans="16:21" x14ac:dyDescent="0.25">
      <c r="P404" s="20"/>
      <c r="Q404" s="3">
        <v>320</v>
      </c>
      <c r="R404" s="17">
        <v>8.0020100000000003</v>
      </c>
      <c r="T404" s="3">
        <v>232.1</v>
      </c>
      <c r="U404" s="20"/>
    </row>
    <row r="405" spans="16:21" x14ac:dyDescent="0.25">
      <c r="P405" s="20"/>
      <c r="Q405" s="3">
        <v>320</v>
      </c>
      <c r="R405" s="17">
        <v>8.4014299999999995</v>
      </c>
      <c r="T405" s="3">
        <v>259.88099999999997</v>
      </c>
      <c r="U405" s="20"/>
    </row>
    <row r="406" spans="16:21" x14ac:dyDescent="0.25">
      <c r="P406" s="20"/>
      <c r="Q406" s="3">
        <v>320</v>
      </c>
      <c r="R406" s="17">
        <v>8.6985299999999999</v>
      </c>
      <c r="T406" s="3">
        <v>284.322</v>
      </c>
      <c r="U406" s="20"/>
    </row>
    <row r="407" spans="16:21" x14ac:dyDescent="0.25">
      <c r="P407" s="20"/>
      <c r="Q407" s="9">
        <v>320</v>
      </c>
      <c r="R407" s="19">
        <v>9.0018999999999991</v>
      </c>
      <c r="S407" s="1"/>
      <c r="T407" s="9">
        <v>313.69200000000001</v>
      </c>
      <c r="U407" s="20"/>
    </row>
    <row r="408" spans="16:21" x14ac:dyDescent="0.25">
      <c r="P408" s="20"/>
      <c r="Q408" s="20"/>
      <c r="R408" s="20"/>
      <c r="S408" s="20"/>
      <c r="T408" s="20"/>
      <c r="U408" s="20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2:Z184"/>
  <sheetViews>
    <sheetView tabSelected="1" topLeftCell="J145" workbookViewId="0">
      <selection activeCell="Q145" sqref="Q145"/>
    </sheetView>
  </sheetViews>
  <sheetFormatPr defaultRowHeight="15" x14ac:dyDescent="0.25"/>
  <cols>
    <col min="2" max="2" width="9.140625" customWidth="1"/>
    <col min="3" max="3" width="10.5703125" customWidth="1"/>
    <col min="6" max="6" width="11.28515625" customWidth="1"/>
    <col min="7" max="7" width="15.7109375" customWidth="1"/>
    <col min="8" max="8" width="11.28515625" customWidth="1"/>
    <col min="9" max="9" width="11" customWidth="1"/>
    <col min="10" max="11" width="10.140625" customWidth="1"/>
    <col min="12" max="12" width="14.7109375" customWidth="1"/>
    <col min="13" max="13" width="13.140625" customWidth="1"/>
    <col min="14" max="14" width="13.5703125" customWidth="1"/>
    <col min="15" max="15" width="11.85546875" customWidth="1"/>
  </cols>
  <sheetData>
    <row r="2" spans="1:14" x14ac:dyDescent="0.25">
      <c r="A2" s="21"/>
      <c r="B2" s="21" t="s">
        <v>70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x14ac:dyDescent="0.25">
      <c r="A4" s="20"/>
      <c r="C4" s="1" t="s">
        <v>3</v>
      </c>
      <c r="D4">
        <v>304.12819999999999</v>
      </c>
      <c r="N4" s="20"/>
    </row>
    <row r="5" spans="1:14" x14ac:dyDescent="0.25">
      <c r="A5" s="20"/>
      <c r="B5" s="1" t="s">
        <v>1</v>
      </c>
      <c r="E5" s="1" t="s">
        <v>4</v>
      </c>
      <c r="F5" s="1" t="s">
        <v>5</v>
      </c>
      <c r="G5" s="1" t="s">
        <v>6</v>
      </c>
      <c r="I5" s="1" t="s">
        <v>7</v>
      </c>
      <c r="J5" s="1" t="s">
        <v>8</v>
      </c>
      <c r="K5" s="1" t="s">
        <v>9</v>
      </c>
      <c r="M5" s="1" t="s">
        <v>17</v>
      </c>
      <c r="N5" s="20"/>
    </row>
    <row r="6" spans="1:14" x14ac:dyDescent="0.25">
      <c r="A6" s="20"/>
      <c r="B6" s="2">
        <v>217</v>
      </c>
      <c r="E6">
        <f>D4/B6</f>
        <v>1.4015124423963132</v>
      </c>
      <c r="F6">
        <f>E6^-1</f>
        <v>0.71351489273273583</v>
      </c>
      <c r="G6">
        <f>1-F6</f>
        <v>0.28648510726726417</v>
      </c>
      <c r="I6">
        <f>G6^1.5</f>
        <v>0.15333915849708246</v>
      </c>
      <c r="J6">
        <f>G6^2</f>
        <v>8.2073716685935855E-2</v>
      </c>
      <c r="K6">
        <f>G6^4</f>
        <v>6.7360949706432652E-3</v>
      </c>
      <c r="M6">
        <v>7.3773</v>
      </c>
      <c r="N6" s="20"/>
    </row>
    <row r="7" spans="1:14" x14ac:dyDescent="0.25">
      <c r="A7" s="20"/>
      <c r="B7" s="2">
        <v>220</v>
      </c>
      <c r="E7">
        <f>D4/B7</f>
        <v>1.3824009090909091</v>
      </c>
      <c r="F7">
        <f t="shared" ref="F7:F19" si="0">E7^-1</f>
        <v>0.72337915392258922</v>
      </c>
      <c r="G7">
        <f t="shared" ref="G7:G19" si="1">1-F7</f>
        <v>0.27662084607741078</v>
      </c>
      <c r="I7">
        <f t="shared" ref="I7:I19" si="2">G7^1.5</f>
        <v>0.1454880617238434</v>
      </c>
      <c r="J7">
        <f t="shared" ref="J7:J19" si="3">G7^2</f>
        <v>7.6519092484582579E-2</v>
      </c>
      <c r="K7">
        <f t="shared" ref="K7:K18" si="4">G7^4</f>
        <v>5.8551715146641023E-3</v>
      </c>
      <c r="M7">
        <v>7.3773</v>
      </c>
      <c r="N7" s="20"/>
    </row>
    <row r="8" spans="1:14" x14ac:dyDescent="0.25">
      <c r="A8" s="20"/>
      <c r="B8" s="8">
        <v>225</v>
      </c>
      <c r="E8">
        <f>D4/B8</f>
        <v>1.3516808888888889</v>
      </c>
      <c r="F8">
        <f t="shared" si="0"/>
        <v>0.7398195892390117</v>
      </c>
      <c r="G8">
        <f t="shared" si="1"/>
        <v>0.2601804107609883</v>
      </c>
      <c r="I8">
        <f t="shared" si="2"/>
        <v>0.13271251898624237</v>
      </c>
      <c r="J8">
        <f t="shared" si="3"/>
        <v>6.7693846143756592E-2</v>
      </c>
      <c r="K8">
        <f t="shared" si="4"/>
        <v>4.5824568057345888E-3</v>
      </c>
      <c r="M8">
        <v>7.3773</v>
      </c>
      <c r="N8" s="20"/>
    </row>
    <row r="9" spans="1:14" x14ac:dyDescent="0.25">
      <c r="A9" s="20"/>
      <c r="B9" s="3">
        <v>230</v>
      </c>
      <c r="E9">
        <f>D4/B9</f>
        <v>1.3222965217391305</v>
      </c>
      <c r="F9">
        <f t="shared" si="0"/>
        <v>0.75626002455543417</v>
      </c>
      <c r="G9">
        <f t="shared" si="1"/>
        <v>0.24373997544456583</v>
      </c>
      <c r="I9">
        <f t="shared" si="2"/>
        <v>0.12033449633903512</v>
      </c>
      <c r="J9">
        <f t="shared" si="3"/>
        <v>5.9409175629717551E-2</v>
      </c>
      <c r="K9">
        <f t="shared" si="4"/>
        <v>3.5294501490026257E-3</v>
      </c>
      <c r="M9">
        <v>7.3773</v>
      </c>
      <c r="N9" s="20"/>
    </row>
    <row r="10" spans="1:14" x14ac:dyDescent="0.25">
      <c r="A10" s="20"/>
      <c r="B10" s="3">
        <v>235</v>
      </c>
      <c r="E10">
        <f>D4/B10</f>
        <v>1.2941625531914893</v>
      </c>
      <c r="F10">
        <f t="shared" si="0"/>
        <v>0.77270045987185665</v>
      </c>
      <c r="G10">
        <f t="shared" si="1"/>
        <v>0.22729954012814335</v>
      </c>
      <c r="I10">
        <f t="shared" si="2"/>
        <v>0.1083671958615969</v>
      </c>
      <c r="J10">
        <f t="shared" si="3"/>
        <v>5.1665080942465448E-2</v>
      </c>
      <c r="K10">
        <f t="shared" si="4"/>
        <v>2.6692805887915064E-3</v>
      </c>
      <c r="M10">
        <v>7.3773</v>
      </c>
      <c r="N10" s="20"/>
    </row>
    <row r="11" spans="1:14" x14ac:dyDescent="0.25">
      <c r="A11" s="20"/>
      <c r="B11" s="3">
        <v>240</v>
      </c>
      <c r="E11">
        <f>D4/B11</f>
        <v>1.2672008333333333</v>
      </c>
      <c r="F11">
        <f t="shared" si="0"/>
        <v>0.78914089518827912</v>
      </c>
      <c r="G11">
        <f t="shared" si="1"/>
        <v>0.21085910481172088</v>
      </c>
      <c r="I11">
        <f t="shared" si="2"/>
        <v>9.6825230075333849E-2</v>
      </c>
      <c r="J11">
        <f t="shared" si="3"/>
        <v>4.4461562082000292E-2</v>
      </c>
      <c r="K11">
        <f t="shared" si="4"/>
        <v>1.9768305027715663E-3</v>
      </c>
      <c r="M11">
        <v>7.3773</v>
      </c>
      <c r="N11" s="20"/>
    </row>
    <row r="12" spans="1:14" x14ac:dyDescent="0.25">
      <c r="A12" s="20"/>
      <c r="B12" s="3">
        <v>245</v>
      </c>
      <c r="E12">
        <f>D4/B12</f>
        <v>1.2413395918367347</v>
      </c>
      <c r="F12">
        <f t="shared" si="0"/>
        <v>0.8055813305047016</v>
      </c>
      <c r="G12">
        <f t="shared" si="1"/>
        <v>0.1944186694952984</v>
      </c>
      <c r="I12">
        <f t="shared" si="2"/>
        <v>8.57248926749659E-2</v>
      </c>
      <c r="J12">
        <f t="shared" si="3"/>
        <v>3.7798619048322074E-2</v>
      </c>
      <c r="K12">
        <f t="shared" si="4"/>
        <v>1.4287356019601764E-3</v>
      </c>
      <c r="M12">
        <v>7.3773</v>
      </c>
      <c r="N12" s="20"/>
    </row>
    <row r="13" spans="1:14" x14ac:dyDescent="0.25">
      <c r="A13" s="20"/>
      <c r="B13" s="3">
        <v>260</v>
      </c>
      <c r="E13">
        <f>D4/B13</f>
        <v>1.1697238461538462</v>
      </c>
      <c r="F13">
        <f t="shared" si="0"/>
        <v>0.85490263645396902</v>
      </c>
      <c r="G13">
        <f t="shared" si="1"/>
        <v>0.14509736354603098</v>
      </c>
      <c r="I13">
        <f t="shared" si="2"/>
        <v>5.5269976752673061E-2</v>
      </c>
      <c r="J13">
        <f t="shared" si="3"/>
        <v>2.105324490800908E-2</v>
      </c>
      <c r="K13">
        <f t="shared" si="4"/>
        <v>4.4323912115661025E-4</v>
      </c>
      <c r="M13">
        <v>7.3773</v>
      </c>
      <c r="N13" s="20"/>
    </row>
    <row r="14" spans="1:14" x14ac:dyDescent="0.25">
      <c r="A14" s="20"/>
      <c r="B14" s="3">
        <v>265</v>
      </c>
      <c r="E14">
        <f>D4/B14</f>
        <v>1.1476535849056604</v>
      </c>
      <c r="F14">
        <f t="shared" si="0"/>
        <v>0.87134307177039161</v>
      </c>
      <c r="G14">
        <f t="shared" si="1"/>
        <v>0.12865692822960839</v>
      </c>
      <c r="I14">
        <f t="shared" si="2"/>
        <v>4.6147668812698828E-2</v>
      </c>
      <c r="J14">
        <f t="shared" si="3"/>
        <v>1.6552605181478604E-2</v>
      </c>
      <c r="K14">
        <f t="shared" si="4"/>
        <v>2.7398873829391235E-4</v>
      </c>
      <c r="M14">
        <v>7.3773</v>
      </c>
      <c r="N14" s="20"/>
    </row>
    <row r="15" spans="1:14" x14ac:dyDescent="0.25">
      <c r="A15" s="20"/>
      <c r="B15" s="3">
        <v>270</v>
      </c>
      <c r="E15">
        <f>D4/B15</f>
        <v>1.1264007407407408</v>
      </c>
      <c r="F15">
        <f t="shared" si="0"/>
        <v>0.88778350708681397</v>
      </c>
      <c r="G15">
        <f t="shared" si="1"/>
        <v>0.11221649291318603</v>
      </c>
      <c r="I15">
        <f t="shared" si="2"/>
        <v>3.7591100269888787E-2</v>
      </c>
      <c r="J15">
        <f t="shared" si="3"/>
        <v>1.2592541281735131E-2</v>
      </c>
      <c r="K15">
        <f t="shared" si="4"/>
        <v>1.5857209593220345E-4</v>
      </c>
      <c r="M15">
        <v>7.3773</v>
      </c>
      <c r="N15" s="20"/>
    </row>
    <row r="16" spans="1:14" x14ac:dyDescent="0.25">
      <c r="A16" s="20"/>
      <c r="B16" s="3">
        <v>275</v>
      </c>
      <c r="E16">
        <f>D4/B16</f>
        <v>1.1059207272727272</v>
      </c>
      <c r="F16">
        <f t="shared" si="0"/>
        <v>0.90422394240323667</v>
      </c>
      <c r="G16">
        <f t="shared" si="1"/>
        <v>9.5776057596763331E-2</v>
      </c>
      <c r="I16">
        <f t="shared" si="2"/>
        <v>2.9640493795855472E-2</v>
      </c>
      <c r="J16">
        <f t="shared" si="3"/>
        <v>9.1730532087785262E-3</v>
      </c>
      <c r="K16">
        <f t="shared" si="4"/>
        <v>8.4144905171082009E-5</v>
      </c>
      <c r="M16">
        <v>7.3773</v>
      </c>
      <c r="N16" s="20"/>
    </row>
    <row r="17" spans="1:14" x14ac:dyDescent="0.25">
      <c r="A17" s="20"/>
      <c r="B17" s="3">
        <v>280</v>
      </c>
      <c r="E17">
        <f>D4/B17</f>
        <v>1.0861721428571429</v>
      </c>
      <c r="F17">
        <f t="shared" si="0"/>
        <v>0.92066437771965892</v>
      </c>
      <c r="G17">
        <f t="shared" si="1"/>
        <v>7.9335622280341078E-2</v>
      </c>
      <c r="I17">
        <f t="shared" si="2"/>
        <v>2.2346131432280765E-2</v>
      </c>
      <c r="J17">
        <f t="shared" si="3"/>
        <v>6.2941409626089519E-3</v>
      </c>
      <c r="K17">
        <f t="shared" si="4"/>
        <v>3.9616210457191945E-5</v>
      </c>
      <c r="M17">
        <v>7.3773</v>
      </c>
      <c r="N17" s="20"/>
    </row>
    <row r="18" spans="1:14" x14ac:dyDescent="0.25">
      <c r="A18" s="20"/>
      <c r="B18" s="3">
        <v>285</v>
      </c>
      <c r="E18">
        <f>D4/B18</f>
        <v>1.0671164912280702</v>
      </c>
      <c r="F18">
        <f t="shared" si="0"/>
        <v>0.93710481303608151</v>
      </c>
      <c r="G18">
        <f t="shared" si="1"/>
        <v>6.2895186963918492E-2</v>
      </c>
      <c r="I18">
        <f t="shared" si="2"/>
        <v>1.5773429124287908E-2</v>
      </c>
      <c r="J18">
        <f t="shared" si="3"/>
        <v>3.9558045432262628E-3</v>
      </c>
      <c r="K18">
        <f t="shared" si="4"/>
        <v>1.5648389584209541E-5</v>
      </c>
      <c r="M18">
        <v>7.3773</v>
      </c>
      <c r="N18" s="20"/>
    </row>
    <row r="19" spans="1:14" x14ac:dyDescent="0.25">
      <c r="A19" s="20"/>
      <c r="B19" s="3">
        <v>290</v>
      </c>
      <c r="E19">
        <f>D4/B19</f>
        <v>1.0487179310344827</v>
      </c>
      <c r="F19">
        <f t="shared" si="0"/>
        <v>0.95354524835250398</v>
      </c>
      <c r="G19">
        <f t="shared" si="1"/>
        <v>4.6454751647496018E-2</v>
      </c>
      <c r="I19">
        <f t="shared" si="2"/>
        <v>1.0012561898481456E-2</v>
      </c>
      <c r="J19">
        <f t="shared" si="3"/>
        <v>2.158043950630534E-3</v>
      </c>
      <c r="K19">
        <f>G19^4</f>
        <v>4.6571536928530429E-6</v>
      </c>
      <c r="M19">
        <v>7.3773</v>
      </c>
      <c r="N19" s="20"/>
    </row>
    <row r="20" spans="1:14" x14ac:dyDescent="0.25">
      <c r="A20" s="20"/>
      <c r="B20" s="3"/>
      <c r="N20" s="20"/>
    </row>
    <row r="21" spans="1:14" x14ac:dyDescent="0.25">
      <c r="A21" s="20"/>
      <c r="J21" s="1" t="s">
        <v>1</v>
      </c>
      <c r="K21" t="s">
        <v>16</v>
      </c>
      <c r="N21" s="20"/>
    </row>
    <row r="22" spans="1:14" x14ac:dyDescent="0.25">
      <c r="A22" s="20"/>
      <c r="B22" s="1" t="s">
        <v>10</v>
      </c>
      <c r="C22" s="1" t="s">
        <v>11</v>
      </c>
      <c r="D22" s="1" t="s">
        <v>12</v>
      </c>
      <c r="E22" s="1" t="s">
        <v>13</v>
      </c>
      <c r="G22" s="1" t="s">
        <v>14</v>
      </c>
      <c r="I22" s="5" t="s">
        <v>15</v>
      </c>
      <c r="J22" s="3">
        <v>216.59200000000001</v>
      </c>
      <c r="K22">
        <v>0.51795000000000002</v>
      </c>
      <c r="N22" s="20"/>
    </row>
    <row r="23" spans="1:14" x14ac:dyDescent="0.25">
      <c r="A23" s="20"/>
      <c r="B23">
        <f>-7.0602087*G6</f>
        <v>-2.0226446467487715</v>
      </c>
      <c r="C23">
        <f>1.9391218*I6</f>
        <v>0.29734330503534784</v>
      </c>
      <c r="D23">
        <f t="shared" ref="D23:D36" si="5">-1.6463597*J6</f>
        <v>-0.13512285958094236</v>
      </c>
      <c r="E23">
        <f t="shared" ref="E23:E35" si="6">-3.2995634*K6</f>
        <v>-2.2226172424058593E-2</v>
      </c>
      <c r="G23">
        <f>E6*(SUM(B23,C23,D23,E23))</f>
        <v>-2.6385579234484413</v>
      </c>
      <c r="I23">
        <f>EXP(G23)</f>
        <v>7.1464252206488485E-2</v>
      </c>
      <c r="J23" s="2">
        <v>217</v>
      </c>
      <c r="K23">
        <f>M6*I23</f>
        <v>0.52721322780292745</v>
      </c>
      <c r="L23" s="2"/>
      <c r="N23" s="20"/>
    </row>
    <row r="24" spans="1:14" x14ac:dyDescent="0.25">
      <c r="A24" s="20"/>
      <c r="B24">
        <f t="shared" ref="B24:B36" si="7">-7.0602087*G7</f>
        <v>-1.9530009040770964</v>
      </c>
      <c r="C24">
        <f t="shared" ref="C24:C36" si="8">1.9391218*I7</f>
        <v>0.28211907212845033</v>
      </c>
      <c r="D24">
        <f t="shared" si="5"/>
        <v>-0.12597795014718963</v>
      </c>
      <c r="E24">
        <f t="shared" si="6"/>
        <v>-1.9319509630508234E-2</v>
      </c>
      <c r="G24">
        <f t="shared" ref="G24:G35" si="9">E7*(SUM(B24,C24,D24,E24))</f>
        <v>-2.5106879039545813</v>
      </c>
      <c r="I24">
        <f t="shared" ref="I24:I35" si="10">EXP(G24)</f>
        <v>8.1212353721874603E-2</v>
      </c>
      <c r="J24" s="2">
        <v>220</v>
      </c>
      <c r="K24">
        <f t="shared" ref="K24:K35" si="11">M7*I24</f>
        <v>0.59912789711238545</v>
      </c>
      <c r="L24" s="2"/>
      <c r="N24" s="20"/>
    </row>
    <row r="25" spans="1:14" x14ac:dyDescent="0.25">
      <c r="A25" s="20"/>
      <c r="B25">
        <f t="shared" si="7"/>
        <v>-1.8369279996243031</v>
      </c>
      <c r="C25">
        <f t="shared" si="8"/>
        <v>0.25734573869913646</v>
      </c>
      <c r="D25">
        <f t="shared" si="5"/>
        <v>-0.11144842022908126</v>
      </c>
      <c r="E25">
        <f t="shared" si="6"/>
        <v>-1.5120106758282759E-2</v>
      </c>
      <c r="G25">
        <f t="shared" si="9"/>
        <v>-2.3061714135840874</v>
      </c>
      <c r="I25">
        <f t="shared" si="10"/>
        <v>9.9642010257683947E-2</v>
      </c>
      <c r="J25" s="2">
        <v>230</v>
      </c>
      <c r="K25">
        <f t="shared" si="11"/>
        <v>0.73508900227401175</v>
      </c>
      <c r="L25" s="2"/>
      <c r="N25" s="20"/>
    </row>
    <row r="26" spans="1:14" x14ac:dyDescent="0.25">
      <c r="A26" s="20"/>
      <c r="B26">
        <f t="shared" si="7"/>
        <v>-1.7208550951715098</v>
      </c>
      <c r="C26">
        <f t="shared" si="8"/>
        <v>0.23334324514304317</v>
      </c>
      <c r="D26">
        <f t="shared" si="5"/>
        <v>-9.78088725669891E-2</v>
      </c>
      <c r="E26">
        <f t="shared" si="6"/>
        <v>-1.1645644533773611E-2</v>
      </c>
      <c r="G26">
        <f t="shared" si="9"/>
        <v>-2.111663072589355</v>
      </c>
      <c r="I26">
        <f t="shared" si="10"/>
        <v>0.12103650646232836</v>
      </c>
      <c r="J26" s="3">
        <v>233.15</v>
      </c>
      <c r="K26">
        <f t="shared" si="11"/>
        <v>0.89292261912453497</v>
      </c>
      <c r="L26" s="3"/>
      <c r="N26" s="20"/>
    </row>
    <row r="27" spans="1:14" x14ac:dyDescent="0.25">
      <c r="A27" s="20"/>
      <c r="B27">
        <f t="shared" si="7"/>
        <v>-1.6047821907187168</v>
      </c>
      <c r="C27">
        <f t="shared" si="8"/>
        <v>0.21013719190009233</v>
      </c>
      <c r="D27">
        <f t="shared" si="5"/>
        <v>-8.5059307160913131E-2</v>
      </c>
      <c r="E27">
        <f t="shared" si="6"/>
        <v>-8.8074605351069046E-3</v>
      </c>
      <c r="G27">
        <f t="shared" si="9"/>
        <v>-1.9263761882081665</v>
      </c>
      <c r="I27">
        <f t="shared" si="10"/>
        <v>0.14567514243304813</v>
      </c>
      <c r="J27" s="3">
        <v>240</v>
      </c>
      <c r="K27">
        <f t="shared" si="11"/>
        <v>1.0746892282713261</v>
      </c>
      <c r="L27" s="3"/>
      <c r="N27" s="20"/>
    </row>
    <row r="28" spans="1:14" x14ac:dyDescent="0.25">
      <c r="A28" s="20"/>
      <c r="B28">
        <f t="shared" si="7"/>
        <v>-1.4887092862659235</v>
      </c>
      <c r="C28">
        <f t="shared" si="8"/>
        <v>0.18775591442909551</v>
      </c>
      <c r="D28">
        <f t="shared" si="5"/>
        <v>-7.3199724010853381E-2</v>
      </c>
      <c r="E28">
        <f t="shared" si="6"/>
        <v>-6.5226775749486583E-3</v>
      </c>
      <c r="G28">
        <f t="shared" si="9"/>
        <v>-1.7495934906443014</v>
      </c>
      <c r="I28">
        <f t="shared" si="10"/>
        <v>0.17384459854423973</v>
      </c>
      <c r="J28" s="3">
        <v>250</v>
      </c>
      <c r="K28">
        <f t="shared" si="11"/>
        <v>1.2825037568404196</v>
      </c>
      <c r="L28" s="3"/>
      <c r="N28" s="20"/>
    </row>
    <row r="29" spans="1:14" x14ac:dyDescent="0.25">
      <c r="A29" s="20"/>
      <c r="B29">
        <f t="shared" si="7"/>
        <v>-1.3726363818131302</v>
      </c>
      <c r="C29">
        <f t="shared" si="8"/>
        <v>0.16623100818868669</v>
      </c>
      <c r="D29">
        <f t="shared" si="5"/>
        <v>-6.2230123116809817E-2</v>
      </c>
      <c r="E29">
        <f t="shared" si="6"/>
        <v>-4.7142037005047663E-3</v>
      </c>
      <c r="G29">
        <f t="shared" si="9"/>
        <v>-1.5806593974118006</v>
      </c>
      <c r="I29">
        <f t="shared" si="10"/>
        <v>0.20583932352788673</v>
      </c>
      <c r="J29" s="3">
        <v>260</v>
      </c>
      <c r="K29">
        <f t="shared" si="11"/>
        <v>1.5185384414622787</v>
      </c>
      <c r="L29" s="3"/>
      <c r="N29" s="20"/>
    </row>
    <row r="30" spans="1:14" x14ac:dyDescent="0.25">
      <c r="A30" s="20"/>
      <c r="B30">
        <f t="shared" si="7"/>
        <v>-1.0244176684547508</v>
      </c>
      <c r="C30">
        <f t="shared" si="8"/>
        <v>0.10717521680660154</v>
      </c>
      <c r="D30">
        <f t="shared" si="5"/>
        <v>-3.4661213970776358E-2</v>
      </c>
      <c r="E30">
        <f t="shared" si="6"/>
        <v>-1.4624955816165167E-3</v>
      </c>
      <c r="G30">
        <f t="shared" si="9"/>
        <v>-1.1151751328724258</v>
      </c>
      <c r="I30">
        <f t="shared" si="10"/>
        <v>0.32785785518341953</v>
      </c>
      <c r="J30" s="3">
        <v>270</v>
      </c>
      <c r="K30">
        <f t="shared" si="11"/>
        <v>2.4187057550446407</v>
      </c>
      <c r="L30" s="3"/>
      <c r="N30" s="20"/>
    </row>
    <row r="31" spans="1:14" x14ac:dyDescent="0.25">
      <c r="A31" s="20"/>
      <c r="B31">
        <f t="shared" si="7"/>
        <v>-0.90834476400195674</v>
      </c>
      <c r="C31">
        <f t="shared" si="8"/>
        <v>8.948595061388441E-2</v>
      </c>
      <c r="D31">
        <f t="shared" si="5"/>
        <v>-2.7251542100797561E-2</v>
      </c>
      <c r="E31">
        <f t="shared" si="6"/>
        <v>-9.0404321288677157E-4</v>
      </c>
      <c r="G31">
        <f t="shared" si="9"/>
        <v>-0.97207911113678336</v>
      </c>
      <c r="I31">
        <f t="shared" si="10"/>
        <v>0.37829570110129579</v>
      </c>
      <c r="J31" s="3">
        <v>280</v>
      </c>
      <c r="K31">
        <f t="shared" si="11"/>
        <v>2.7908008757345892</v>
      </c>
      <c r="L31" s="3"/>
      <c r="N31" s="20"/>
    </row>
    <row r="32" spans="1:14" x14ac:dyDescent="0.25">
      <c r="A32" s="20"/>
      <c r="B32">
        <f t="shared" si="7"/>
        <v>-0.79227185954916424</v>
      </c>
      <c r="C32">
        <f t="shared" si="8"/>
        <v>7.2893722019327228E-2</v>
      </c>
      <c r="D32">
        <f t="shared" si="5"/>
        <v>-2.0731852486835067E-2</v>
      </c>
      <c r="E32">
        <f t="shared" si="6"/>
        <v>-5.2321868399918736E-4</v>
      </c>
      <c r="G32">
        <f t="shared" si="9"/>
        <v>-0.83424979489762785</v>
      </c>
      <c r="I32">
        <f t="shared" si="10"/>
        <v>0.43420009840723711</v>
      </c>
      <c r="J32" s="3">
        <v>290</v>
      </c>
      <c r="K32">
        <f t="shared" si="11"/>
        <v>3.2032243859797105</v>
      </c>
      <c r="L32" s="3"/>
      <c r="N32" s="20"/>
    </row>
    <row r="33" spans="1:19" x14ac:dyDescent="0.25">
      <c r="A33" s="20"/>
      <c r="B33">
        <f t="shared" si="7"/>
        <v>-0.67619895509636951</v>
      </c>
      <c r="C33">
        <f t="shared" si="8"/>
        <v>5.7476527682308091E-2</v>
      </c>
      <c r="D33">
        <f t="shared" si="5"/>
        <v>-1.5102145128888652E-2</v>
      </c>
      <c r="E33">
        <f t="shared" si="6"/>
        <v>-2.7764144939897292E-4</v>
      </c>
      <c r="G33">
        <f t="shared" si="9"/>
        <v>-0.70126678166366518</v>
      </c>
      <c r="I33">
        <f t="shared" si="10"/>
        <v>0.49595663691003022</v>
      </c>
      <c r="J33" s="3">
        <v>297</v>
      </c>
      <c r="K33">
        <f t="shared" si="11"/>
        <v>3.6588208974763661</v>
      </c>
      <c r="L33" s="3"/>
      <c r="N33" s="20"/>
    </row>
    <row r="34" spans="1:19" x14ac:dyDescent="0.25">
      <c r="A34" s="20"/>
      <c r="B34">
        <f t="shared" si="7"/>
        <v>-0.5601260506435779</v>
      </c>
      <c r="C34">
        <f t="shared" si="8"/>
        <v>4.3331870606000855E-2</v>
      </c>
      <c r="D34">
        <f t="shared" si="5"/>
        <v>-1.0362420026958585E-2</v>
      </c>
      <c r="E34">
        <f t="shared" si="6"/>
        <v>-1.3071619807124781E-4</v>
      </c>
      <c r="G34">
        <f t="shared" si="9"/>
        <v>-0.5727247942063477</v>
      </c>
      <c r="I34">
        <f t="shared" si="10"/>
        <v>0.56398659572792842</v>
      </c>
      <c r="J34" s="3">
        <v>300</v>
      </c>
      <c r="K34">
        <f t="shared" si="11"/>
        <v>4.1606983126636461</v>
      </c>
      <c r="L34" s="3"/>
      <c r="N34" s="20"/>
    </row>
    <row r="35" spans="1:19" x14ac:dyDescent="0.25">
      <c r="A35" s="20"/>
      <c r="B35">
        <f t="shared" si="7"/>
        <v>-0.4440531461907839</v>
      </c>
      <c r="C35">
        <f t="shared" si="8"/>
        <v>3.0586600275661589E-2</v>
      </c>
      <c r="D35">
        <f t="shared" si="5"/>
        <v>-6.5126771810446278E-3</v>
      </c>
      <c r="E35">
        <f t="shared" si="6"/>
        <v>-5.1632853540999018E-5</v>
      </c>
      <c r="G35">
        <f t="shared" si="9"/>
        <v>-0.44822185320857533</v>
      </c>
      <c r="I35">
        <f t="shared" si="10"/>
        <v>0.63876295669970296</v>
      </c>
      <c r="J35" s="3">
        <v>303</v>
      </c>
      <c r="K35">
        <f t="shared" si="11"/>
        <v>4.712345960460719</v>
      </c>
      <c r="L35" s="3"/>
      <c r="N35" s="20"/>
    </row>
    <row r="36" spans="1:19" x14ac:dyDescent="0.25">
      <c r="A36" s="20"/>
      <c r="B36">
        <f t="shared" si="7"/>
        <v>-0.32798024173799067</v>
      </c>
      <c r="C36">
        <f t="shared" si="8"/>
        <v>1.9415577051194777E-2</v>
      </c>
      <c r="D36">
        <f t="shared" si="5"/>
        <v>-3.5529165911469011E-3</v>
      </c>
      <c r="E36">
        <f>-3.2995634*K19</f>
        <v>-1.5366573873112742E-5</v>
      </c>
      <c r="G36">
        <f>E19*(SUM(B36,C36,D36,E36))</f>
        <v>-0.32733941927885052</v>
      </c>
      <c r="I36">
        <f>EXP(G36)</f>
        <v>0.72083903483424649</v>
      </c>
      <c r="J36">
        <v>304.12819999999999</v>
      </c>
      <c r="K36">
        <f>M19*I36</f>
        <v>5.3178458116826866</v>
      </c>
      <c r="N36" s="20"/>
    </row>
    <row r="37" spans="1:19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2"/>
      <c r="K37" s="20"/>
      <c r="L37" s="20"/>
      <c r="M37" s="20"/>
      <c r="N37" s="20"/>
    </row>
    <row r="39" spans="1:19" x14ac:dyDescent="0.25">
      <c r="A39" s="21"/>
      <c r="B39" s="21" t="s">
        <v>71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x14ac:dyDescent="0.25">
      <c r="A41" s="20"/>
      <c r="B41" s="1" t="s">
        <v>1</v>
      </c>
      <c r="C41" s="1" t="s">
        <v>19</v>
      </c>
      <c r="D41" s="1" t="s">
        <v>20</v>
      </c>
      <c r="E41" s="1" t="s">
        <v>21</v>
      </c>
      <c r="F41" s="1" t="s">
        <v>22</v>
      </c>
      <c r="H41" s="1" t="s">
        <v>23</v>
      </c>
      <c r="I41" s="1" t="s">
        <v>31</v>
      </c>
      <c r="J41" s="1" t="s">
        <v>24</v>
      </c>
      <c r="K41" s="1" t="s">
        <v>25</v>
      </c>
      <c r="L41" s="1" t="s">
        <v>26</v>
      </c>
      <c r="N41" s="1" t="s">
        <v>27</v>
      </c>
      <c r="P41" s="5" t="s">
        <v>15</v>
      </c>
      <c r="Q41" s="5" t="s">
        <v>28</v>
      </c>
      <c r="R41" s="1" t="s">
        <v>1</v>
      </c>
      <c r="S41" s="20"/>
    </row>
    <row r="42" spans="1:19" x14ac:dyDescent="0.25">
      <c r="A42" s="20"/>
      <c r="B42" s="3">
        <v>73.150000000000006</v>
      </c>
      <c r="C42" s="7">
        <v>216.59200000000001</v>
      </c>
      <c r="D42">
        <f>C42/B42</f>
        <v>2.9609295967190703</v>
      </c>
      <c r="E42">
        <f>D42^-1</f>
        <v>0.33773177217995126</v>
      </c>
      <c r="F42">
        <f>1-E42</f>
        <v>0.66226822782004868</v>
      </c>
      <c r="H42">
        <f>F42^1.9</f>
        <v>0.45705077393812144</v>
      </c>
      <c r="I42">
        <f>F42^2.9</f>
        <v>0.30269020607978137</v>
      </c>
      <c r="J42">
        <f>-14.740846*F42</f>
        <v>-9.7623939569882534</v>
      </c>
      <c r="K42">
        <f>2.4327015*H42</f>
        <v>1.111868103335429</v>
      </c>
      <c r="L42">
        <f>-5.3061778*I42</f>
        <v>-1.606128051777961</v>
      </c>
      <c r="N42">
        <f>D42*SUM(J42,K42,L42,)</f>
        <v>-30.369230111894257</v>
      </c>
      <c r="P42">
        <f>EXP(N42)</f>
        <v>6.4686096267807457E-14</v>
      </c>
      <c r="Q42">
        <f>0.51795*P42</f>
        <v>3.3504163561910871E-14</v>
      </c>
      <c r="R42" s="3">
        <v>73.150000000000006</v>
      </c>
      <c r="S42" s="20"/>
    </row>
    <row r="43" spans="1:19" x14ac:dyDescent="0.25">
      <c r="A43" s="20"/>
      <c r="B43" s="3">
        <v>90</v>
      </c>
      <c r="C43" s="7">
        <v>216.59200000000001</v>
      </c>
      <c r="D43">
        <f>C43/B43</f>
        <v>2.4065777777777777</v>
      </c>
      <c r="E43">
        <f>D43^-1</f>
        <v>0.41552781266159416</v>
      </c>
      <c r="F43">
        <f>1-E43</f>
        <v>0.58447218733840578</v>
      </c>
      <c r="H43">
        <f>F43^1.9</f>
        <v>0.36045521598475611</v>
      </c>
      <c r="I43">
        <f>F43^2.9</f>
        <v>0.21067604852414787</v>
      </c>
      <c r="J43">
        <f>-14.740846*F43</f>
        <v>-8.6156145048385895</v>
      </c>
      <c r="K43">
        <f>2.4327015*H43</f>
        <v>0.87687994460894014</v>
      </c>
      <c r="L43">
        <f>-5.3061778*I43</f>
        <v>-1.1178845716705563</v>
      </c>
      <c r="N43">
        <f>D43*SUM(J43,K43,L43,)</f>
        <v>-21.314142789072548</v>
      </c>
      <c r="P43">
        <f>EXP(N43)</f>
        <v>5.5384137933261131E-10</v>
      </c>
      <c r="Q43">
        <f>0.51795*P43</f>
        <v>2.8686214242532602E-10</v>
      </c>
      <c r="R43" s="3">
        <v>90</v>
      </c>
      <c r="S43" s="20"/>
    </row>
    <row r="44" spans="1:19" x14ac:dyDescent="0.25">
      <c r="A44" s="20"/>
      <c r="B44" s="3">
        <v>110</v>
      </c>
      <c r="C44" s="7">
        <v>216.59200000000001</v>
      </c>
      <c r="D44">
        <f>C44/B44</f>
        <v>1.969018181818182</v>
      </c>
      <c r="E44">
        <f>D44^-1</f>
        <v>0.50786732658639278</v>
      </c>
      <c r="F44">
        <f>1-E44</f>
        <v>0.49213267341360722</v>
      </c>
      <c r="H44">
        <f>F44^1.9</f>
        <v>0.25998972158300132</v>
      </c>
      <c r="I44">
        <f>F44^2.9</f>
        <v>0.12794943674270184</v>
      </c>
      <c r="J44">
        <f>-14.740846*F44</f>
        <v>-7.2544519503582778</v>
      </c>
      <c r="K44">
        <f>2.4327015*H44</f>
        <v>0.6324773856795497</v>
      </c>
      <c r="L44">
        <f>-5.3061778*I44</f>
        <v>-0.67892246076662888</v>
      </c>
      <c r="N44">
        <f>D44*SUM(J44,K44,L44,)</f>
        <v>-14.37559898668419</v>
      </c>
      <c r="P44">
        <f>EXP(N44)</f>
        <v>5.7115855479575244E-7</v>
      </c>
      <c r="Q44">
        <f>0.51795*P44</f>
        <v>2.9583157345645998E-7</v>
      </c>
      <c r="R44" s="3">
        <v>110</v>
      </c>
      <c r="S44" s="20"/>
    </row>
    <row r="45" spans="1:19" x14ac:dyDescent="0.25">
      <c r="A45" s="20"/>
      <c r="B45" s="3">
        <v>130</v>
      </c>
      <c r="C45" s="7">
        <v>216.59200000000001</v>
      </c>
      <c r="D45">
        <f t="shared" ref="D45:D58" si="12">C45/B45</f>
        <v>1.6660923076923078</v>
      </c>
      <c r="E45">
        <f t="shared" ref="E45:E58" si="13">D45^-1</f>
        <v>0.60020684051119155</v>
      </c>
      <c r="F45">
        <f t="shared" ref="F45:F58" si="14">1-E45</f>
        <v>0.39979315948880845</v>
      </c>
      <c r="H45">
        <f t="shared" ref="H45:H58" si="15">F45^1.9</f>
        <v>0.17518107300644822</v>
      </c>
      <c r="I45">
        <f t="shared" ref="I45:I58" si="16">F45^2.9</f>
        <v>7.0036194659887557E-2</v>
      </c>
      <c r="J45">
        <f t="shared" ref="J45:J58" si="17">-14.740846*F45</f>
        <v>-5.8932893958779635</v>
      </c>
      <c r="K45">
        <f t="shared" ref="K45:K58" si="18">2.4327015*H45</f>
        <v>0.42616325907439606</v>
      </c>
      <c r="L45">
        <f t="shared" ref="L45:L58" si="19">-5.3061778*I45</f>
        <v>-0.37162450130077396</v>
      </c>
      <c r="N45">
        <f t="shared" ref="N45:N58" si="20">D45*SUM(J45,K45,L45,)</f>
        <v>-9.7278975246791966</v>
      </c>
      <c r="P45">
        <f t="shared" ref="P45:P58" si="21">EXP(N45)</f>
        <v>5.9597464623069746E-5</v>
      </c>
      <c r="Q45">
        <f t="shared" ref="Q45:Q58" si="22">0.51795*P45</f>
        <v>3.0868506801518974E-5</v>
      </c>
      <c r="R45" s="3">
        <v>130</v>
      </c>
      <c r="S45" s="20"/>
    </row>
    <row r="46" spans="1:19" x14ac:dyDescent="0.25">
      <c r="A46" s="20"/>
      <c r="B46" s="3">
        <v>140</v>
      </c>
      <c r="C46" s="7">
        <v>216.59200000000001</v>
      </c>
      <c r="D46">
        <f t="shared" si="12"/>
        <v>1.5470857142857144</v>
      </c>
      <c r="E46">
        <f t="shared" si="13"/>
        <v>0.64637659747359089</v>
      </c>
      <c r="F46">
        <f t="shared" si="14"/>
        <v>0.35362340252640911</v>
      </c>
      <c r="H46">
        <f t="shared" si="15"/>
        <v>0.13874837239550722</v>
      </c>
      <c r="I46">
        <f t="shared" si="16"/>
        <v>4.9064671541500571E-2</v>
      </c>
      <c r="J46">
        <f t="shared" si="17"/>
        <v>-5.2127081186378073</v>
      </c>
      <c r="K46">
        <f t="shared" si="18"/>
        <v>0.33753337364910896</v>
      </c>
      <c r="L46">
        <f t="shared" si="19"/>
        <v>-0.26034587089780215</v>
      </c>
      <c r="N46">
        <f t="shared" si="20"/>
        <v>-7.9450905802577783</v>
      </c>
      <c r="P46">
        <f t="shared" si="21"/>
        <v>3.5439778818784399E-4</v>
      </c>
      <c r="Q46">
        <f t="shared" si="22"/>
        <v>1.835603343918938E-4</v>
      </c>
      <c r="R46" s="3">
        <v>140</v>
      </c>
      <c r="S46" s="20"/>
    </row>
    <row r="47" spans="1:19" x14ac:dyDescent="0.25">
      <c r="A47" s="20"/>
      <c r="B47" s="3">
        <v>150</v>
      </c>
      <c r="C47" s="7">
        <v>216.59200000000001</v>
      </c>
      <c r="D47">
        <f t="shared" si="12"/>
        <v>1.4439466666666667</v>
      </c>
      <c r="E47">
        <f t="shared" si="13"/>
        <v>0.69254635443599022</v>
      </c>
      <c r="F47">
        <f t="shared" si="14"/>
        <v>0.30745364556400978</v>
      </c>
      <c r="H47">
        <f t="shared" si="15"/>
        <v>0.10636073485081173</v>
      </c>
      <c r="I47">
        <f t="shared" si="16"/>
        <v>3.2700995674749087E-2</v>
      </c>
      <c r="J47">
        <f t="shared" si="17"/>
        <v>-4.532126841397651</v>
      </c>
      <c r="K47">
        <f t="shared" si="18"/>
        <v>0.25874391921267192</v>
      </c>
      <c r="L47">
        <f t="shared" si="19"/>
        <v>-0.17351729728724963</v>
      </c>
      <c r="N47">
        <f t="shared" si="20"/>
        <v>-6.4210867489061929</v>
      </c>
      <c r="P47">
        <f t="shared" si="21"/>
        <v>1.6268872557986516E-3</v>
      </c>
      <c r="Q47">
        <f t="shared" si="22"/>
        <v>8.4264625414091161E-4</v>
      </c>
      <c r="R47" s="3">
        <v>150</v>
      </c>
      <c r="S47" s="20"/>
    </row>
    <row r="48" spans="1:19" x14ac:dyDescent="0.25">
      <c r="A48" s="20"/>
      <c r="B48" s="3">
        <v>160</v>
      </c>
      <c r="C48" s="7">
        <v>216.59200000000001</v>
      </c>
      <c r="D48">
        <f t="shared" si="12"/>
        <v>1.3537000000000001</v>
      </c>
      <c r="E48">
        <f t="shared" si="13"/>
        <v>0.73871611139838955</v>
      </c>
      <c r="F48">
        <f t="shared" si="14"/>
        <v>0.26128388860161045</v>
      </c>
      <c r="H48">
        <f t="shared" si="15"/>
        <v>7.8075360594156332E-2</v>
      </c>
      <c r="I48">
        <f t="shared" si="16"/>
        <v>2.0399833820014104E-2</v>
      </c>
      <c r="J48">
        <f t="shared" si="17"/>
        <v>-3.8515455641574947</v>
      </c>
      <c r="K48">
        <f t="shared" si="18"/>
        <v>0.18993404683044499</v>
      </c>
      <c r="L48">
        <f t="shared" si="19"/>
        <v>-0.10824514533944804</v>
      </c>
      <c r="N48">
        <f t="shared" si="20"/>
        <v>-5.1032549642516392</v>
      </c>
      <c r="P48">
        <f t="shared" si="21"/>
        <v>6.0769341352620646E-3</v>
      </c>
      <c r="Q48">
        <f t="shared" si="22"/>
        <v>3.1475480353589866E-3</v>
      </c>
      <c r="R48" s="3">
        <v>160</v>
      </c>
      <c r="S48" s="20"/>
    </row>
    <row r="49" spans="1:19" x14ac:dyDescent="0.25">
      <c r="A49" s="20"/>
      <c r="B49" s="3">
        <v>170</v>
      </c>
      <c r="C49" s="7">
        <v>216.59200000000001</v>
      </c>
      <c r="D49">
        <f t="shared" si="12"/>
        <v>1.2740705882352943</v>
      </c>
      <c r="E49">
        <f t="shared" si="13"/>
        <v>0.78488586836078889</v>
      </c>
      <c r="F49">
        <f t="shared" si="14"/>
        <v>0.21511413163921111</v>
      </c>
      <c r="H49">
        <f t="shared" si="15"/>
        <v>5.3959881751704492E-2</v>
      </c>
      <c r="I49">
        <f t="shared" si="16"/>
        <v>1.1607533106372421E-2</v>
      </c>
      <c r="J49">
        <f t="shared" si="17"/>
        <v>-3.1709642869173384</v>
      </c>
      <c r="K49">
        <f t="shared" si="18"/>
        <v>0.13126828527719414</v>
      </c>
      <c r="L49">
        <f t="shared" si="19"/>
        <v>-6.1591634481798385E-2</v>
      </c>
      <c r="N49">
        <f t="shared" si="20"/>
        <v>-3.9512593628407289</v>
      </c>
      <c r="P49">
        <f t="shared" si="21"/>
        <v>1.9230468381982103E-2</v>
      </c>
      <c r="Q49">
        <f t="shared" si="22"/>
        <v>9.9604210984476308E-3</v>
      </c>
      <c r="R49" s="3">
        <v>170</v>
      </c>
      <c r="S49" s="20"/>
    </row>
    <row r="50" spans="1:19" x14ac:dyDescent="0.25">
      <c r="A50" s="20"/>
      <c r="B50" s="3">
        <v>180</v>
      </c>
      <c r="C50" s="7">
        <v>216.59200000000001</v>
      </c>
      <c r="D50">
        <f t="shared" si="12"/>
        <v>1.2032888888888889</v>
      </c>
      <c r="E50">
        <f t="shared" si="13"/>
        <v>0.83105562532318833</v>
      </c>
      <c r="F50">
        <f t="shared" si="14"/>
        <v>0.16894437467681167</v>
      </c>
      <c r="H50">
        <f t="shared" si="15"/>
        <v>3.4096758832523263E-2</v>
      </c>
      <c r="I50">
        <f t="shared" si="16"/>
        <v>5.7604555994666979E-3</v>
      </c>
      <c r="J50">
        <f t="shared" si="17"/>
        <v>-2.4903830096771804</v>
      </c>
      <c r="K50">
        <f t="shared" si="18"/>
        <v>8.294723635701759E-2</v>
      </c>
      <c r="L50">
        <f t="shared" si="19"/>
        <v>-3.0566001619775886E-2</v>
      </c>
      <c r="N50">
        <f t="shared" si="20"/>
        <v>-2.9336204468766178</v>
      </c>
      <c r="P50">
        <f t="shared" si="21"/>
        <v>5.3204066537733838E-2</v>
      </c>
      <c r="Q50">
        <f t="shared" si="22"/>
        <v>2.7557046263219243E-2</v>
      </c>
      <c r="R50" s="3">
        <v>180</v>
      </c>
      <c r="S50" s="20"/>
    </row>
    <row r="51" spans="1:19" x14ac:dyDescent="0.25">
      <c r="A51" s="20"/>
      <c r="B51" s="3">
        <v>185</v>
      </c>
      <c r="C51" s="7">
        <v>216.59200000000001</v>
      </c>
      <c r="D51">
        <f t="shared" si="12"/>
        <v>1.1707675675675677</v>
      </c>
      <c r="E51">
        <f t="shared" si="13"/>
        <v>0.85414050380438789</v>
      </c>
      <c r="F51">
        <f t="shared" si="14"/>
        <v>0.14585949619561211</v>
      </c>
      <c r="H51">
        <f t="shared" si="15"/>
        <v>2.5791461192323926E-2</v>
      </c>
      <c r="I51">
        <f t="shared" si="16"/>
        <v>3.7619295356610483E-3</v>
      </c>
      <c r="J51">
        <f t="shared" si="17"/>
        <v>-2.150092371057104</v>
      </c>
      <c r="K51">
        <f t="shared" si="18"/>
        <v>6.2742926329758197E-2</v>
      </c>
      <c r="L51">
        <f t="shared" si="19"/>
        <v>-1.9961466987288963E-2</v>
      </c>
      <c r="N51">
        <f t="shared" si="20"/>
        <v>-2.4671712702167365</v>
      </c>
      <c r="P51">
        <f t="shared" si="21"/>
        <v>8.482446544260179E-2</v>
      </c>
      <c r="Q51">
        <f t="shared" si="22"/>
        <v>4.3934831875995596E-2</v>
      </c>
      <c r="R51" s="3">
        <v>185</v>
      </c>
      <c r="S51" s="20"/>
    </row>
    <row r="52" spans="1:19" x14ac:dyDescent="0.25">
      <c r="A52" s="20"/>
      <c r="B52" s="3">
        <v>190</v>
      </c>
      <c r="C52" s="7">
        <v>216.59200000000001</v>
      </c>
      <c r="D52">
        <f t="shared" si="12"/>
        <v>1.1399578947368423</v>
      </c>
      <c r="E52">
        <f t="shared" si="13"/>
        <v>0.87722538228558755</v>
      </c>
      <c r="F52">
        <f t="shared" si="14"/>
        <v>0.12277461771441245</v>
      </c>
      <c r="H52">
        <f t="shared" si="15"/>
        <v>1.8591152872010495E-2</v>
      </c>
      <c r="I52">
        <f t="shared" si="16"/>
        <v>2.2825216867312891E-3</v>
      </c>
      <c r="J52">
        <f t="shared" si="17"/>
        <v>-1.8098017324370259</v>
      </c>
      <c r="K52">
        <f t="shared" si="18"/>
        <v>4.5226725478469239E-2</v>
      </c>
      <c r="L52">
        <f t="shared" si="19"/>
        <v>-1.2111465902152122E-2</v>
      </c>
      <c r="N52">
        <f t="shared" si="20"/>
        <v>-2.0253477712097196</v>
      </c>
      <c r="P52">
        <f t="shared" si="21"/>
        <v>0.13194794751036945</v>
      </c>
      <c r="Q52">
        <f t="shared" si="22"/>
        <v>6.8342439412995865E-2</v>
      </c>
      <c r="R52" s="3">
        <v>190</v>
      </c>
      <c r="S52" s="20"/>
    </row>
    <row r="53" spans="1:19" x14ac:dyDescent="0.25">
      <c r="A53" s="20"/>
      <c r="B53" s="3">
        <v>195</v>
      </c>
      <c r="C53" s="7">
        <v>216.59200000000001</v>
      </c>
      <c r="D53">
        <f t="shared" si="12"/>
        <v>1.1107282051282052</v>
      </c>
      <c r="E53">
        <f t="shared" si="13"/>
        <v>0.90031026076678722</v>
      </c>
      <c r="F53">
        <f t="shared" si="14"/>
        <v>9.9689739233212782E-2</v>
      </c>
      <c r="H53">
        <f t="shared" si="15"/>
        <v>1.2515144661917816E-2</v>
      </c>
      <c r="I53">
        <f t="shared" si="16"/>
        <v>1.2476315078125222E-3</v>
      </c>
      <c r="J53">
        <f t="shared" si="17"/>
        <v>-1.4695110938169476</v>
      </c>
      <c r="K53">
        <f t="shared" si="18"/>
        <v>3.0445611191764463E-2</v>
      </c>
      <c r="L53">
        <f t="shared" si="19"/>
        <v>-6.6201546093353327E-3</v>
      </c>
      <c r="N53">
        <f t="shared" si="20"/>
        <v>-1.6057638130251224</v>
      </c>
      <c r="P53">
        <f t="shared" si="21"/>
        <v>0.200736171437185</v>
      </c>
      <c r="Q53">
        <f t="shared" si="22"/>
        <v>0.10397129999588997</v>
      </c>
      <c r="R53" s="3">
        <v>195</v>
      </c>
      <c r="S53" s="20"/>
    </row>
    <row r="54" spans="1:19" x14ac:dyDescent="0.25">
      <c r="A54" s="20"/>
      <c r="B54" s="3">
        <v>200</v>
      </c>
      <c r="C54" s="7">
        <v>216.59200000000001</v>
      </c>
      <c r="D54">
        <f t="shared" si="12"/>
        <v>1.0829600000000001</v>
      </c>
      <c r="E54">
        <f t="shared" si="13"/>
        <v>0.92339513924798688</v>
      </c>
      <c r="F54">
        <f t="shared" si="14"/>
        <v>7.6604860752013115E-2</v>
      </c>
      <c r="H54">
        <f t="shared" si="15"/>
        <v>7.5872959102215726E-3</v>
      </c>
      <c r="I54">
        <f t="shared" si="16"/>
        <v>5.8122374668684198E-4</v>
      </c>
      <c r="J54">
        <f t="shared" si="17"/>
        <v>-1.1292204551968694</v>
      </c>
      <c r="K54">
        <f t="shared" si="18"/>
        <v>1.8457626141739885E-2</v>
      </c>
      <c r="L54">
        <f t="shared" si="19"/>
        <v>-3.0840765415025449E-3</v>
      </c>
      <c r="N54">
        <f t="shared" si="20"/>
        <v>-1.2062516448849288</v>
      </c>
      <c r="P54">
        <f t="shared" si="21"/>
        <v>0.29931712620806916</v>
      </c>
      <c r="Q54">
        <f t="shared" si="22"/>
        <v>0.15503130551946942</v>
      </c>
      <c r="R54" s="3">
        <v>200</v>
      </c>
      <c r="S54" s="20"/>
    </row>
    <row r="55" spans="1:19" x14ac:dyDescent="0.25">
      <c r="A55" s="20"/>
      <c r="B55" s="3">
        <v>205</v>
      </c>
      <c r="C55" s="7">
        <v>216.59200000000001</v>
      </c>
      <c r="D55">
        <f t="shared" si="12"/>
        <v>1.0565463414634146</v>
      </c>
      <c r="E55">
        <f t="shared" si="13"/>
        <v>0.94648001772918666</v>
      </c>
      <c r="F55">
        <f t="shared" si="14"/>
        <v>5.3519982270813338E-2</v>
      </c>
      <c r="H55">
        <f t="shared" si="15"/>
        <v>3.838665996791463E-3</v>
      </c>
      <c r="I55">
        <f t="shared" si="16"/>
        <v>2.054453360918529E-4</v>
      </c>
      <c r="J55">
        <f t="shared" si="17"/>
        <v>-0.78892981657678962</v>
      </c>
      <c r="K55">
        <f t="shared" si="18"/>
        <v>9.3383285283935857E-3</v>
      </c>
      <c r="L55">
        <f t="shared" si="19"/>
        <v>-1.0901294814841286E-3</v>
      </c>
      <c r="N55">
        <f t="shared" si="20"/>
        <v>-0.82482630684893565</v>
      </c>
      <c r="P55">
        <f t="shared" si="21"/>
        <v>0.43831111749270374</v>
      </c>
      <c r="Q55">
        <f t="shared" si="22"/>
        <v>0.2270232433053459</v>
      </c>
      <c r="R55" s="3">
        <v>205</v>
      </c>
      <c r="S55" s="20"/>
    </row>
    <row r="56" spans="1:19" x14ac:dyDescent="0.25">
      <c r="A56" s="20"/>
      <c r="B56" s="3">
        <v>210</v>
      </c>
      <c r="C56" s="7">
        <v>216.59200000000001</v>
      </c>
      <c r="D56">
        <f t="shared" si="12"/>
        <v>1.0313904761904762</v>
      </c>
      <c r="E56">
        <f t="shared" si="13"/>
        <v>0.96956489621038633</v>
      </c>
      <c r="F56">
        <f t="shared" si="14"/>
        <v>3.0435103789613671E-2</v>
      </c>
      <c r="H56">
        <f t="shared" si="15"/>
        <v>1.3134456167745493E-3</v>
      </c>
      <c r="I56">
        <f t="shared" si="16"/>
        <v>3.9974853668546545E-5</v>
      </c>
      <c r="J56">
        <f t="shared" si="17"/>
        <v>-0.44863917795671149</v>
      </c>
      <c r="K56">
        <f t="shared" si="18"/>
        <v>3.195221122095871E-3</v>
      </c>
      <c r="L56">
        <f t="shared" si="19"/>
        <v>-2.1211368109429025E-4</v>
      </c>
      <c r="N56">
        <f t="shared" si="20"/>
        <v>-0.45964542678637449</v>
      </c>
      <c r="P56">
        <f t="shared" si="21"/>
        <v>0.63150752146568612</v>
      </c>
      <c r="Q56">
        <f t="shared" si="22"/>
        <v>0.32708932074315211</v>
      </c>
      <c r="R56" s="3">
        <v>210</v>
      </c>
      <c r="S56" s="20"/>
    </row>
    <row r="57" spans="1:19" x14ac:dyDescent="0.25">
      <c r="A57" s="20"/>
      <c r="B57" s="3">
        <v>213</v>
      </c>
      <c r="C57" s="7">
        <v>216.59200000000001</v>
      </c>
      <c r="D57">
        <f t="shared" si="12"/>
        <v>1.0168638497652582</v>
      </c>
      <c r="E57">
        <f t="shared" si="13"/>
        <v>0.98341582329910615</v>
      </c>
      <c r="F57">
        <f t="shared" si="14"/>
        <v>1.6584176700893849E-2</v>
      </c>
      <c r="H57">
        <f t="shared" si="15"/>
        <v>4.1439875427916908E-4</v>
      </c>
      <c r="I57">
        <f t="shared" si="16"/>
        <v>6.8724621655960331E-6</v>
      </c>
      <c r="J57">
        <f t="shared" si="17"/>
        <v>-0.24446479478466429</v>
      </c>
      <c r="K57">
        <f t="shared" si="18"/>
        <v>1.0081084711330659E-3</v>
      </c>
      <c r="L57">
        <f t="shared" si="19"/>
        <v>-3.6466506174425595E-5</v>
      </c>
      <c r="N57">
        <f t="shared" si="20"/>
        <v>-0.24759938476772622</v>
      </c>
      <c r="P57">
        <f t="shared" si="21"/>
        <v>0.78067262998731513</v>
      </c>
      <c r="Q57">
        <f t="shared" si="22"/>
        <v>0.40434938870192988</v>
      </c>
      <c r="R57" s="3">
        <v>213</v>
      </c>
      <c r="S57" s="20"/>
    </row>
    <row r="58" spans="1:19" x14ac:dyDescent="0.25">
      <c r="A58" s="20"/>
      <c r="B58" s="6">
        <v>216.59200000000001</v>
      </c>
      <c r="C58" s="7">
        <v>216.59200000000001</v>
      </c>
      <c r="D58">
        <f t="shared" si="12"/>
        <v>1</v>
      </c>
      <c r="E58">
        <f t="shared" si="13"/>
        <v>1</v>
      </c>
      <c r="F58">
        <f t="shared" si="14"/>
        <v>0</v>
      </c>
      <c r="H58">
        <f t="shared" si="15"/>
        <v>0</v>
      </c>
      <c r="I58">
        <f t="shared" si="16"/>
        <v>0</v>
      </c>
      <c r="J58">
        <f t="shared" si="17"/>
        <v>0</v>
      </c>
      <c r="K58">
        <f t="shared" si="18"/>
        <v>0</v>
      </c>
      <c r="L58">
        <f t="shared" si="19"/>
        <v>0</v>
      </c>
      <c r="N58">
        <f t="shared" si="20"/>
        <v>0</v>
      </c>
      <c r="P58">
        <f t="shared" si="21"/>
        <v>1</v>
      </c>
      <c r="Q58">
        <f t="shared" si="22"/>
        <v>0.51795000000000002</v>
      </c>
      <c r="R58" s="6">
        <v>216.59200000000001</v>
      </c>
      <c r="S58" s="20"/>
    </row>
    <row r="59" spans="1:19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1" spans="1:19" x14ac:dyDescent="0.25">
      <c r="A61" s="21"/>
      <c r="B61" s="21" t="s">
        <v>72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1:19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9" x14ac:dyDescent="0.25">
      <c r="A63" s="20"/>
      <c r="B63" s="1" t="s">
        <v>1</v>
      </c>
      <c r="C63" s="1" t="s">
        <v>19</v>
      </c>
      <c r="D63" s="1" t="s">
        <v>20</v>
      </c>
      <c r="E63" s="1" t="s">
        <v>21</v>
      </c>
      <c r="F63" s="1" t="s">
        <v>29</v>
      </c>
      <c r="G63" s="1" t="s">
        <v>30</v>
      </c>
      <c r="H63" s="1" t="s">
        <v>24</v>
      </c>
      <c r="I63" s="1" t="s">
        <v>32</v>
      </c>
      <c r="J63" s="1" t="s">
        <v>33</v>
      </c>
      <c r="L63" s="1" t="s">
        <v>34</v>
      </c>
      <c r="M63" s="20"/>
    </row>
    <row r="64" spans="1:19" x14ac:dyDescent="0.25">
      <c r="A64" s="20"/>
      <c r="B64" s="6">
        <v>216.59200000000001</v>
      </c>
      <c r="C64" s="7">
        <v>216.59200000000001</v>
      </c>
      <c r="D64">
        <f>C64/B64</f>
        <v>1</v>
      </c>
      <c r="E64">
        <f>D64^-1</f>
        <v>1</v>
      </c>
      <c r="F64">
        <f>E64-1</f>
        <v>0</v>
      </c>
      <c r="G64">
        <f>F64^2</f>
        <v>0</v>
      </c>
      <c r="H64">
        <f>1955.539*F64</f>
        <v>0</v>
      </c>
      <c r="I64">
        <f>2055.4593*G64</f>
        <v>0</v>
      </c>
      <c r="J64">
        <f>1+SUM(H64,I64,)</f>
        <v>1</v>
      </c>
      <c r="L64">
        <f>0.51795*J64</f>
        <v>0.51795000000000002</v>
      </c>
      <c r="M64" s="20"/>
    </row>
    <row r="65" spans="1:13" x14ac:dyDescent="0.25">
      <c r="A65" s="20"/>
      <c r="B65" s="3">
        <v>216.8</v>
      </c>
      <c r="C65" s="7">
        <v>216.59200000000001</v>
      </c>
      <c r="D65">
        <f t="shared" ref="D65:D89" si="23">C65/B65</f>
        <v>0.99904059040590409</v>
      </c>
      <c r="E65">
        <f t="shared" ref="E65:E89" si="24">D65^-1</f>
        <v>1.0009603309448178</v>
      </c>
      <c r="F65">
        <f t="shared" ref="F65:F89" si="25">E65-1</f>
        <v>9.6033094481784431E-4</v>
      </c>
      <c r="G65">
        <f t="shared" ref="G65:G89" si="26">F65^2</f>
        <v>9.222355235747335E-7</v>
      </c>
      <c r="H65">
        <f t="shared" ref="H65:H89" si="27">1955.539*F65</f>
        <v>1.8779646154981424</v>
      </c>
      <c r="I65">
        <f t="shared" ref="I65:I89" si="28">2055.4593*G65</f>
        <v>1.8956175837220551E-3</v>
      </c>
      <c r="J65">
        <f t="shared" ref="J65:J89" si="29">1+SUM(H65,I65,)</f>
        <v>2.8798602330818648</v>
      </c>
      <c r="L65">
        <f t="shared" ref="L65:L89" si="30">0.51795*J65</f>
        <v>1.491623607724752</v>
      </c>
      <c r="M65" s="20"/>
    </row>
    <row r="66" spans="1:13" x14ac:dyDescent="0.25">
      <c r="A66" s="20"/>
      <c r="B66" s="3">
        <v>217</v>
      </c>
      <c r="C66" s="7">
        <v>216.59200000000001</v>
      </c>
      <c r="D66">
        <f t="shared" si="23"/>
        <v>0.99811981566820285</v>
      </c>
      <c r="E66">
        <f t="shared" si="24"/>
        <v>1.0018837260840658</v>
      </c>
      <c r="F66">
        <f t="shared" si="25"/>
        <v>1.8837260840658399E-3</v>
      </c>
      <c r="G66">
        <f t="shared" si="26"/>
        <v>3.5484239597900234E-6</v>
      </c>
      <c r="H66">
        <f t="shared" si="27"/>
        <v>3.6836998227080282</v>
      </c>
      <c r="I66">
        <f t="shared" si="28"/>
        <v>7.2936410284932295E-3</v>
      </c>
      <c r="J66">
        <f t="shared" si="29"/>
        <v>4.6909934637365218</v>
      </c>
      <c r="L66">
        <f t="shared" si="30"/>
        <v>2.4297000645423315</v>
      </c>
      <c r="M66" s="20"/>
    </row>
    <row r="67" spans="1:13" x14ac:dyDescent="0.25">
      <c r="A67" s="20"/>
      <c r="B67" s="3">
        <v>217.3</v>
      </c>
      <c r="C67" s="7">
        <v>216.59200000000001</v>
      </c>
      <c r="D67">
        <f t="shared" si="23"/>
        <v>0.99674183156925911</v>
      </c>
      <c r="E67">
        <f t="shared" si="24"/>
        <v>1.0032688187929379</v>
      </c>
      <c r="F67">
        <f t="shared" si="25"/>
        <v>3.2688187929379442E-3</v>
      </c>
      <c r="G67">
        <f t="shared" si="26"/>
        <v>1.0685176301064278E-5</v>
      </c>
      <c r="H67">
        <f t="shared" si="27"/>
        <v>6.3923026335230748</v>
      </c>
      <c r="I67">
        <f t="shared" si="28"/>
        <v>2.196294500016217E-2</v>
      </c>
      <c r="J67">
        <f t="shared" si="29"/>
        <v>7.4142655785232368</v>
      </c>
      <c r="L67">
        <f t="shared" si="30"/>
        <v>3.8402188563961106</v>
      </c>
      <c r="M67" s="20"/>
    </row>
    <row r="68" spans="1:13" x14ac:dyDescent="0.25">
      <c r="A68" s="20"/>
      <c r="B68" s="3">
        <v>217.7</v>
      </c>
      <c r="C68" s="7">
        <v>216.59200000000001</v>
      </c>
      <c r="D68">
        <f t="shared" si="23"/>
        <v>0.99491042719338552</v>
      </c>
      <c r="E68">
        <f t="shared" si="24"/>
        <v>1.0051156090714337</v>
      </c>
      <c r="F68">
        <f t="shared" si="25"/>
        <v>5.1156090714337132E-3</v>
      </c>
      <c r="G68">
        <f t="shared" si="26"/>
        <v>2.6169456171734897E-5</v>
      </c>
      <c r="H68">
        <f t="shared" si="27"/>
        <v>10.003773047942412</v>
      </c>
      <c r="I68">
        <f t="shared" si="28"/>
        <v>5.3790252064134889E-2</v>
      </c>
      <c r="J68">
        <f t="shared" si="29"/>
        <v>11.057563300006546</v>
      </c>
      <c r="L68">
        <f t="shared" si="30"/>
        <v>5.7272649112383904</v>
      </c>
      <c r="M68" s="20"/>
    </row>
    <row r="69" spans="1:13" x14ac:dyDescent="0.25">
      <c r="A69" s="20"/>
      <c r="B69" s="3">
        <v>217.9</v>
      </c>
      <c r="C69" s="7">
        <v>216.59200000000001</v>
      </c>
      <c r="D69">
        <f t="shared" si="23"/>
        <v>0.99399724644332266</v>
      </c>
      <c r="E69">
        <f t="shared" si="24"/>
        <v>1.0060390042106817</v>
      </c>
      <c r="F69">
        <f t="shared" si="25"/>
        <v>6.0390042106817088E-3</v>
      </c>
      <c r="G69">
        <f t="shared" si="26"/>
        <v>3.6469571856631411E-5</v>
      </c>
      <c r="H69">
        <f t="shared" si="27"/>
        <v>11.809508255152299</v>
      </c>
      <c r="I69">
        <f t="shared" si="28"/>
        <v>7.4961720639731305E-2</v>
      </c>
      <c r="J69">
        <f t="shared" si="29"/>
        <v>12.88446997579203</v>
      </c>
      <c r="L69">
        <f t="shared" si="30"/>
        <v>6.6735112239614818</v>
      </c>
      <c r="M69" s="20"/>
    </row>
    <row r="70" spans="1:13" x14ac:dyDescent="0.25">
      <c r="A70" s="20"/>
      <c r="B70" s="3">
        <v>218</v>
      </c>
      <c r="C70" s="7">
        <v>216.59200000000001</v>
      </c>
      <c r="D70">
        <f t="shared" si="23"/>
        <v>0.99354128440366973</v>
      </c>
      <c r="E70">
        <f t="shared" si="24"/>
        <v>1.0065007017803058</v>
      </c>
      <c r="F70">
        <f t="shared" si="25"/>
        <v>6.5007017803058176E-3</v>
      </c>
      <c r="G70">
        <f t="shared" si="26"/>
        <v>4.2259123636471229E-5</v>
      </c>
      <c r="H70">
        <f t="shared" si="27"/>
        <v>12.712375858757458</v>
      </c>
      <c r="I70">
        <f t="shared" si="28"/>
        <v>8.6861908688434603E-2</v>
      </c>
      <c r="J70">
        <f t="shared" si="29"/>
        <v>13.799237767445893</v>
      </c>
      <c r="L70">
        <f t="shared" si="30"/>
        <v>7.1473152016486008</v>
      </c>
      <c r="M70" s="20"/>
    </row>
    <row r="71" spans="1:13" x14ac:dyDescent="0.25">
      <c r="A71" s="20"/>
      <c r="B71" s="3">
        <v>218.2</v>
      </c>
      <c r="C71" s="7">
        <v>216.59200000000001</v>
      </c>
      <c r="D71">
        <f t="shared" si="23"/>
        <v>0.99263061411549047</v>
      </c>
      <c r="E71">
        <f t="shared" si="24"/>
        <v>1.0074240969195538</v>
      </c>
      <c r="F71">
        <f t="shared" si="25"/>
        <v>7.4240969195538131E-3</v>
      </c>
      <c r="G71">
        <f t="shared" si="26"/>
        <v>5.5117215070928421E-5</v>
      </c>
      <c r="H71">
        <f t="shared" si="27"/>
        <v>14.518111065967345</v>
      </c>
      <c r="I71">
        <f t="shared" si="28"/>
        <v>0.11329119230763998</v>
      </c>
      <c r="J71">
        <f t="shared" si="29"/>
        <v>15.631402258274985</v>
      </c>
      <c r="L71">
        <f t="shared" si="30"/>
        <v>8.0962847996735281</v>
      </c>
      <c r="M71" s="20"/>
    </row>
    <row r="72" spans="1:13" x14ac:dyDescent="0.25">
      <c r="A72" s="20"/>
      <c r="B72" s="3">
        <v>218.5</v>
      </c>
      <c r="C72" s="7">
        <v>216.59200000000001</v>
      </c>
      <c r="D72">
        <f t="shared" si="23"/>
        <v>0.99126773455377581</v>
      </c>
      <c r="E72">
        <f t="shared" si="24"/>
        <v>1.0088091896284257</v>
      </c>
      <c r="F72">
        <f t="shared" si="25"/>
        <v>8.8091896284256954E-3</v>
      </c>
      <c r="G72">
        <f t="shared" si="26"/>
        <v>7.7601821909562848E-5</v>
      </c>
      <c r="H72">
        <f t="shared" si="27"/>
        <v>17.226713876781957</v>
      </c>
      <c r="I72">
        <f t="shared" si="28"/>
        <v>0.15950738654095473</v>
      </c>
      <c r="J72">
        <f t="shared" si="29"/>
        <v>18.386221263322913</v>
      </c>
      <c r="L72">
        <f t="shared" si="30"/>
        <v>9.5231433033381023</v>
      </c>
      <c r="M72" s="20"/>
    </row>
    <row r="73" spans="1:13" x14ac:dyDescent="0.25">
      <c r="A73" s="20"/>
      <c r="B73" s="3">
        <v>218.60006999999999</v>
      </c>
      <c r="C73" s="7">
        <v>216.59200000000001</v>
      </c>
      <c r="D73">
        <f t="shared" si="23"/>
        <v>0.99081395536607109</v>
      </c>
      <c r="E73">
        <f t="shared" si="24"/>
        <v>1.0092712103863484</v>
      </c>
      <c r="F73">
        <f t="shared" si="25"/>
        <v>9.2712103863483719E-3</v>
      </c>
      <c r="G73">
        <f t="shared" si="26"/>
        <v>8.5955342027933929E-5</v>
      </c>
      <c r="H73">
        <f t="shared" si="27"/>
        <v>18.130213487709309</v>
      </c>
      <c r="I73">
        <f t="shared" si="28"/>
        <v>0.17667770715599765</v>
      </c>
      <c r="J73">
        <f t="shared" si="29"/>
        <v>19.306891194865308</v>
      </c>
      <c r="L73">
        <f t="shared" si="30"/>
        <v>10.000004294380487</v>
      </c>
      <c r="M73" s="20"/>
    </row>
    <row r="74" spans="1:13" x14ac:dyDescent="0.25">
      <c r="A74" s="20"/>
      <c r="B74" s="8">
        <v>218.81</v>
      </c>
      <c r="C74" s="7">
        <v>216.59200000000001</v>
      </c>
      <c r="D74">
        <f t="shared" si="23"/>
        <v>0.98986335176637275</v>
      </c>
      <c r="E74">
        <f t="shared" si="24"/>
        <v>1.0102404520942601</v>
      </c>
      <c r="F74">
        <f t="shared" si="25"/>
        <v>1.0240452094260055E-2</v>
      </c>
      <c r="G74">
        <f t="shared" si="26"/>
        <v>1.0486685909483516E-4</v>
      </c>
      <c r="H74">
        <f t="shared" si="27"/>
        <v>20.025603447957213</v>
      </c>
      <c r="I74">
        <f t="shared" si="28"/>
        <v>0.21554956078826851</v>
      </c>
      <c r="J74">
        <f t="shared" si="29"/>
        <v>21.241153008745481</v>
      </c>
      <c r="L74">
        <f t="shared" si="30"/>
        <v>11.001855200879723</v>
      </c>
      <c r="M74" s="20"/>
    </row>
    <row r="75" spans="1:13" x14ac:dyDescent="0.25">
      <c r="A75" s="20"/>
      <c r="B75" s="8">
        <v>218.95</v>
      </c>
      <c r="C75" s="7">
        <v>216.59200000000001</v>
      </c>
      <c r="D75">
        <f t="shared" si="23"/>
        <v>0.98923041790363109</v>
      </c>
      <c r="E75">
        <f t="shared" si="24"/>
        <v>1.0108868286917336</v>
      </c>
      <c r="F75">
        <f t="shared" si="25"/>
        <v>1.088682869173363E-2</v>
      </c>
      <c r="G75">
        <f t="shared" si="26"/>
        <v>1.1852303896315458E-4</v>
      </c>
      <c r="H75">
        <f t="shared" si="27"/>
        <v>21.289618093004091</v>
      </c>
      <c r="I75">
        <f t="shared" si="28"/>
        <v>0.24361928270107844</v>
      </c>
      <c r="J75">
        <f t="shared" si="29"/>
        <v>22.53323737570517</v>
      </c>
      <c r="L75">
        <f t="shared" si="30"/>
        <v>11.671090298746494</v>
      </c>
      <c r="M75" s="20"/>
    </row>
    <row r="76" spans="1:13" x14ac:dyDescent="0.25">
      <c r="A76" s="20"/>
      <c r="B76" s="8">
        <v>219.98</v>
      </c>
      <c r="C76" s="7">
        <v>216.59200000000001</v>
      </c>
      <c r="D76">
        <f t="shared" si="23"/>
        <v>0.98459859987271581</v>
      </c>
      <c r="E76">
        <f t="shared" si="24"/>
        <v>1.0156423136588608</v>
      </c>
      <c r="F76">
        <f t="shared" si="25"/>
        <v>1.5642313658860818E-2</v>
      </c>
      <c r="G76">
        <f t="shared" si="26"/>
        <v>2.4468197660218374E-4</v>
      </c>
      <c r="H76">
        <f t="shared" si="27"/>
        <v>30.589154410135023</v>
      </c>
      <c r="I76">
        <f t="shared" si="28"/>
        <v>0.50293384434934096</v>
      </c>
      <c r="J76">
        <f t="shared" si="29"/>
        <v>32.092088254484366</v>
      </c>
      <c r="L76">
        <f t="shared" si="30"/>
        <v>16.622097111410177</v>
      </c>
      <c r="M76" s="20"/>
    </row>
    <row r="77" spans="1:13" x14ac:dyDescent="0.25">
      <c r="A77" s="20"/>
      <c r="B77" s="8">
        <v>219.99</v>
      </c>
      <c r="C77" s="7">
        <v>216.59200000000001</v>
      </c>
      <c r="D77">
        <f t="shared" si="23"/>
        <v>0.98455384335651619</v>
      </c>
      <c r="E77">
        <f t="shared" si="24"/>
        <v>1.0156884834158233</v>
      </c>
      <c r="F77">
        <f t="shared" si="25"/>
        <v>1.5688483415823296E-2</v>
      </c>
      <c r="G77">
        <f t="shared" si="26"/>
        <v>2.461285118885626E-4</v>
      </c>
      <c r="H77">
        <f t="shared" si="27"/>
        <v>30.679441170495672</v>
      </c>
      <c r="I77">
        <f t="shared" si="28"/>
        <v>0.5059071387565065</v>
      </c>
      <c r="J77">
        <f t="shared" si="29"/>
        <v>32.185348309252177</v>
      </c>
      <c r="L77">
        <f t="shared" si="30"/>
        <v>16.670401156777167</v>
      </c>
      <c r="M77" s="20"/>
    </row>
    <row r="78" spans="1:13" x14ac:dyDescent="0.25">
      <c r="A78" s="20"/>
      <c r="B78" s="8">
        <v>221.94</v>
      </c>
      <c r="C78" s="7">
        <v>216.59200000000001</v>
      </c>
      <c r="D78">
        <f t="shared" si="23"/>
        <v>0.97590339731458964</v>
      </c>
      <c r="E78">
        <f t="shared" si="24"/>
        <v>1.0246915860234911</v>
      </c>
      <c r="F78">
        <f t="shared" si="25"/>
        <v>2.4691586023491086E-2</v>
      </c>
      <c r="G78">
        <f t="shared" si="26"/>
        <v>6.0967442035546034E-4</v>
      </c>
      <c r="H78">
        <f t="shared" si="27"/>
        <v>48.285359440791737</v>
      </c>
      <c r="I78">
        <f t="shared" si="28"/>
        <v>1.2531609572917402</v>
      </c>
      <c r="J78">
        <f t="shared" si="29"/>
        <v>50.538520398083477</v>
      </c>
      <c r="L78">
        <f t="shared" si="30"/>
        <v>26.176426640187337</v>
      </c>
      <c r="M78" s="20"/>
    </row>
    <row r="79" spans="1:13" x14ac:dyDescent="0.25">
      <c r="A79" s="20"/>
      <c r="B79" s="8">
        <v>222.03</v>
      </c>
      <c r="C79" s="7">
        <v>216.59200000000001</v>
      </c>
      <c r="D79">
        <f t="shared" si="23"/>
        <v>0.97550781425933442</v>
      </c>
      <c r="E79">
        <f t="shared" si="24"/>
        <v>1.0251071138361527</v>
      </c>
      <c r="F79">
        <f t="shared" si="25"/>
        <v>2.5107113836152717E-2</v>
      </c>
      <c r="G79">
        <f t="shared" si="26"/>
        <v>6.3036716518153116E-4</v>
      </c>
      <c r="H79">
        <f t="shared" si="27"/>
        <v>49.097940284036248</v>
      </c>
      <c r="I79">
        <f t="shared" si="28"/>
        <v>1.2956940520870144</v>
      </c>
      <c r="J79">
        <f t="shared" si="29"/>
        <v>51.393634336123263</v>
      </c>
      <c r="L79">
        <f t="shared" si="30"/>
        <v>26.619332904395044</v>
      </c>
      <c r="M79" s="20"/>
    </row>
    <row r="80" spans="1:13" x14ac:dyDescent="0.25">
      <c r="A80" s="20"/>
      <c r="B80" s="8">
        <v>226.25</v>
      </c>
      <c r="C80" s="7">
        <v>216.59200000000001</v>
      </c>
      <c r="D80">
        <f t="shared" si="23"/>
        <v>0.95731270718232053</v>
      </c>
      <c r="E80">
        <f t="shared" si="24"/>
        <v>1.0445907512742851</v>
      </c>
      <c r="F80">
        <f t="shared" si="25"/>
        <v>4.4590751274285134E-2</v>
      </c>
      <c r="G80">
        <f t="shared" si="26"/>
        <v>1.9883350992051614E-3</v>
      </c>
      <c r="H80">
        <f t="shared" si="27"/>
        <v>87.198953156164279</v>
      </c>
      <c r="I80">
        <f t="shared" si="28"/>
        <v>4.0869418711776717</v>
      </c>
      <c r="J80">
        <f t="shared" si="29"/>
        <v>92.285895027341951</v>
      </c>
      <c r="L80">
        <f t="shared" si="30"/>
        <v>47.799479329411767</v>
      </c>
      <c r="M80" s="20"/>
    </row>
    <row r="81" spans="1:22" x14ac:dyDescent="0.25">
      <c r="A81" s="20"/>
      <c r="B81" s="8">
        <v>235.25</v>
      </c>
      <c r="C81" s="7">
        <v>216.59200000000001</v>
      </c>
      <c r="D81">
        <f t="shared" si="23"/>
        <v>0.92068862911795968</v>
      </c>
      <c r="E81">
        <f t="shared" si="24"/>
        <v>1.0861435325404447</v>
      </c>
      <c r="F81">
        <f t="shared" si="25"/>
        <v>8.6143532540444712E-2</v>
      </c>
      <c r="G81">
        <f t="shared" si="26"/>
        <v>7.4207081985466572E-3</v>
      </c>
      <c r="H81">
        <f t="shared" si="27"/>
        <v>168.4570374806087</v>
      </c>
      <c r="I81">
        <f t="shared" si="28"/>
        <v>15.252963679288973</v>
      </c>
      <c r="J81">
        <f t="shared" si="29"/>
        <v>184.71000115989767</v>
      </c>
      <c r="L81">
        <f t="shared" si="30"/>
        <v>95.670545100769004</v>
      </c>
      <c r="M81" s="20"/>
    </row>
    <row r="82" spans="1:22" x14ac:dyDescent="0.25">
      <c r="A82" s="20"/>
      <c r="B82" s="8">
        <v>242.65</v>
      </c>
      <c r="C82" s="7">
        <v>216.59200000000001</v>
      </c>
      <c r="D82">
        <f t="shared" si="23"/>
        <v>0.89261075623325781</v>
      </c>
      <c r="E82">
        <f t="shared" si="24"/>
        <v>1.1203091526926201</v>
      </c>
      <c r="F82">
        <f t="shared" si="25"/>
        <v>0.1203091526926201</v>
      </c>
      <c r="G82">
        <f t="shared" si="26"/>
        <v>1.4474292221616178E-2</v>
      </c>
      <c r="H82">
        <f t="shared" si="27"/>
        <v>235.26924014737361</v>
      </c>
      <c r="I82">
        <f t="shared" si="28"/>
        <v>29.751318557838633</v>
      </c>
      <c r="J82">
        <f t="shared" si="29"/>
        <v>266.02055870521224</v>
      </c>
      <c r="L82">
        <f t="shared" si="30"/>
        <v>137.78534838136468</v>
      </c>
      <c r="M82" s="20"/>
    </row>
    <row r="83" spans="1:22" x14ac:dyDescent="0.25">
      <c r="A83" s="20"/>
      <c r="B83" s="8">
        <v>242.66</v>
      </c>
      <c r="C83" s="7">
        <v>216.59200000000001</v>
      </c>
      <c r="D83">
        <f t="shared" si="23"/>
        <v>0.89257397181241249</v>
      </c>
      <c r="E83">
        <f t="shared" si="24"/>
        <v>1.1203553224495826</v>
      </c>
      <c r="F83">
        <f t="shared" si="25"/>
        <v>0.12035532244958258</v>
      </c>
      <c r="G83">
        <f t="shared" si="26"/>
        <v>1.4485403641942996E-2</v>
      </c>
      <c r="H83">
        <f t="shared" si="27"/>
        <v>235.35952690773428</v>
      </c>
      <c r="I83">
        <f t="shared" si="28"/>
        <v>29.7741576300856</v>
      </c>
      <c r="J83">
        <f t="shared" si="29"/>
        <v>266.13368453781987</v>
      </c>
      <c r="L83">
        <f t="shared" si="30"/>
        <v>137.8439419063638</v>
      </c>
      <c r="M83" s="20"/>
    </row>
    <row r="84" spans="1:22" x14ac:dyDescent="0.25">
      <c r="A84" s="20"/>
      <c r="B84" s="8">
        <v>252.25</v>
      </c>
      <c r="C84" s="7">
        <v>216.59200000000001</v>
      </c>
      <c r="D84">
        <f t="shared" si="23"/>
        <v>0.85864023785926669</v>
      </c>
      <c r="E84">
        <f t="shared" si="24"/>
        <v>1.1646321193765234</v>
      </c>
      <c r="F84">
        <f t="shared" si="25"/>
        <v>0.16463211937652344</v>
      </c>
      <c r="G84">
        <f t="shared" si="26"/>
        <v>2.7103734730405865E-2</v>
      </c>
      <c r="H84">
        <f t="shared" si="27"/>
        <v>321.94453009344727</v>
      </c>
      <c r="I84">
        <f t="shared" si="28"/>
        <v>55.710623616345728</v>
      </c>
      <c r="J84">
        <f t="shared" si="29"/>
        <v>378.65515370979301</v>
      </c>
      <c r="L84">
        <f t="shared" si="30"/>
        <v>196.12443686398731</v>
      </c>
      <c r="M84" s="20"/>
    </row>
    <row r="85" spans="1:22" x14ac:dyDescent="0.25">
      <c r="A85" s="20"/>
      <c r="B85" s="8">
        <v>259.08999999999997</v>
      </c>
      <c r="C85" s="7">
        <v>216.59200000000001</v>
      </c>
      <c r="D85">
        <f t="shared" si="23"/>
        <v>0.83597205604230207</v>
      </c>
      <c r="E85">
        <f t="shared" si="24"/>
        <v>1.1962122331388045</v>
      </c>
      <c r="F85">
        <f t="shared" si="25"/>
        <v>0.19621223313880454</v>
      </c>
      <c r="G85">
        <f t="shared" si="26"/>
        <v>3.8499240433316588E-2</v>
      </c>
      <c r="H85">
        <f t="shared" si="27"/>
        <v>383.70067418002469</v>
      </c>
      <c r="I85">
        <f t="shared" si="28"/>
        <v>79.13362179159661</v>
      </c>
      <c r="J85">
        <f t="shared" si="29"/>
        <v>463.83429597162132</v>
      </c>
      <c r="L85">
        <f t="shared" si="30"/>
        <v>240.24297359850127</v>
      </c>
      <c r="M85" s="20"/>
    </row>
    <row r="86" spans="1:22" x14ac:dyDescent="0.25">
      <c r="A86" s="20"/>
      <c r="B86" s="8">
        <v>259.2</v>
      </c>
      <c r="C86" s="7">
        <v>216.59200000000001</v>
      </c>
      <c r="D86">
        <f t="shared" si="23"/>
        <v>0.83561728395061741</v>
      </c>
      <c r="E86">
        <f t="shared" si="24"/>
        <v>1.1967201004653909</v>
      </c>
      <c r="F86">
        <f t="shared" si="25"/>
        <v>0.1967201004653909</v>
      </c>
      <c r="G86">
        <f t="shared" si="26"/>
        <v>3.869879792711349E-2</v>
      </c>
      <c r="H86">
        <f t="shared" si="27"/>
        <v>384.69382854399004</v>
      </c>
      <c r="I86">
        <f t="shared" si="28"/>
        <v>79.54380409810615</v>
      </c>
      <c r="J86">
        <f t="shared" si="29"/>
        <v>465.23763264209617</v>
      </c>
      <c r="L86">
        <f t="shared" si="30"/>
        <v>240.96983182697372</v>
      </c>
      <c r="M86" s="20"/>
    </row>
    <row r="87" spans="1:22" x14ac:dyDescent="0.25">
      <c r="A87" s="20"/>
      <c r="B87" s="8">
        <v>261.62</v>
      </c>
      <c r="C87" s="7">
        <v>216.59200000000001</v>
      </c>
      <c r="D87">
        <f t="shared" si="23"/>
        <v>0.82788777616390186</v>
      </c>
      <c r="E87">
        <f t="shared" si="24"/>
        <v>1.2078931816502918</v>
      </c>
      <c r="F87">
        <f t="shared" si="25"/>
        <v>0.2078931816502918</v>
      </c>
      <c r="G87">
        <f t="shared" si="26"/>
        <v>4.3219574976681226E-2</v>
      </c>
      <c r="H87">
        <f t="shared" si="27"/>
        <v>406.54322455122997</v>
      </c>
      <c r="I87">
        <f t="shared" si="28"/>
        <v>88.836077327866704</v>
      </c>
      <c r="J87">
        <f t="shared" si="29"/>
        <v>496.37930187909666</v>
      </c>
      <c r="L87">
        <f t="shared" si="30"/>
        <v>257.09965940827811</v>
      </c>
      <c r="M87" s="20"/>
    </row>
    <row r="88" spans="1:22" x14ac:dyDescent="0.25">
      <c r="A88" s="20"/>
      <c r="B88" s="8">
        <v>265.67</v>
      </c>
      <c r="C88" s="7">
        <v>216.59200000000001</v>
      </c>
      <c r="D88">
        <f t="shared" si="23"/>
        <v>0.81526706063913879</v>
      </c>
      <c r="E88">
        <f t="shared" si="24"/>
        <v>1.2265919332200634</v>
      </c>
      <c r="F88">
        <f t="shared" si="25"/>
        <v>0.22659193322006344</v>
      </c>
      <c r="G88">
        <f t="shared" si="26"/>
        <v>5.1343904200405688E-2</v>
      </c>
      <c r="H88">
        <f t="shared" si="27"/>
        <v>443.10936249722965</v>
      </c>
      <c r="I88">
        <f t="shared" si="28"/>
        <v>105.53530538703293</v>
      </c>
      <c r="J88">
        <f t="shared" si="29"/>
        <v>549.64466788426262</v>
      </c>
      <c r="L88">
        <f t="shared" si="30"/>
        <v>284.68845573065386</v>
      </c>
      <c r="M88" s="20"/>
    </row>
    <row r="89" spans="1:22" x14ac:dyDescent="0.25">
      <c r="A89" s="20"/>
      <c r="B89" s="8">
        <v>266</v>
      </c>
      <c r="C89" s="7">
        <v>216.59200000000001</v>
      </c>
      <c r="D89">
        <f t="shared" si="23"/>
        <v>0.81425563909774445</v>
      </c>
      <c r="E89">
        <f t="shared" si="24"/>
        <v>1.2281155351998225</v>
      </c>
      <c r="F89">
        <f t="shared" si="25"/>
        <v>0.22811553519982253</v>
      </c>
      <c r="G89">
        <f t="shared" si="26"/>
        <v>5.2036697399501473E-2</v>
      </c>
      <c r="H89">
        <f t="shared" si="27"/>
        <v>446.08882558912575</v>
      </c>
      <c r="I89">
        <f t="shared" si="28"/>
        <v>106.95931361109112</v>
      </c>
      <c r="J89">
        <f t="shared" si="29"/>
        <v>554.04813920021684</v>
      </c>
      <c r="L89">
        <f t="shared" si="30"/>
        <v>286.9692336987523</v>
      </c>
      <c r="M89" s="20"/>
    </row>
    <row r="90" spans="1:22" x14ac:dyDescent="0.25">
      <c r="A90" s="20"/>
      <c r="B90" s="33"/>
      <c r="C90" s="23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2" spans="1:22" x14ac:dyDescent="0.25">
      <c r="A92" s="21"/>
      <c r="B92" s="21" t="s">
        <v>73</v>
      </c>
      <c r="C92" s="24"/>
      <c r="D92" s="21"/>
      <c r="E92" s="21"/>
      <c r="F92" s="21"/>
      <c r="G92" s="21"/>
      <c r="H92" s="21"/>
      <c r="J92" s="21" t="s">
        <v>74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</row>
    <row r="93" spans="1:22" x14ac:dyDescent="0.25">
      <c r="A93" s="20"/>
      <c r="B93" s="20"/>
      <c r="C93" s="20"/>
      <c r="D93" s="20"/>
      <c r="E93" s="20"/>
      <c r="F93" s="20"/>
      <c r="G93" s="20"/>
      <c r="H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 x14ac:dyDescent="0.25">
      <c r="A94" s="20"/>
      <c r="B94" t="s">
        <v>54</v>
      </c>
      <c r="C94" s="11"/>
      <c r="D94" t="s">
        <v>56</v>
      </c>
      <c r="F94" t="s">
        <v>55</v>
      </c>
      <c r="H94" s="20"/>
      <c r="J94" s="20"/>
      <c r="M94" s="8" t="s">
        <v>46</v>
      </c>
      <c r="N94" s="14" t="s">
        <v>47</v>
      </c>
      <c r="O94" s="8" t="s">
        <v>48</v>
      </c>
      <c r="P94" s="8" t="s">
        <v>49</v>
      </c>
      <c r="Q94" s="8" t="s">
        <v>52</v>
      </c>
      <c r="R94" s="8" t="s">
        <v>50</v>
      </c>
      <c r="S94" s="8" t="s">
        <v>51</v>
      </c>
      <c r="T94" s="8" t="s">
        <v>53</v>
      </c>
      <c r="U94" s="8">
        <v>73.150000000000006</v>
      </c>
      <c r="V94" s="20"/>
    </row>
    <row r="95" spans="1:22" x14ac:dyDescent="0.25">
      <c r="A95" s="20"/>
      <c r="B95" s="3">
        <v>73.64</v>
      </c>
      <c r="C95" s="15">
        <v>3.2199999999999998E-14</v>
      </c>
      <c r="D95">
        <v>216.5932799</v>
      </c>
      <c r="E95">
        <v>0.51798999999999995</v>
      </c>
      <c r="F95">
        <v>216.5932799</v>
      </c>
      <c r="G95" s="8">
        <v>0.51798999999999995</v>
      </c>
      <c r="H95" s="20"/>
      <c r="J95" s="20"/>
      <c r="K95" s="1" t="s">
        <v>43</v>
      </c>
      <c r="L95" s="1" t="s">
        <v>45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20"/>
    </row>
    <row r="96" spans="1:22" x14ac:dyDescent="0.25">
      <c r="A96" s="20"/>
      <c r="B96" s="3">
        <v>90</v>
      </c>
      <c r="C96" s="15">
        <v>4.5900000000000002E-10</v>
      </c>
      <c r="D96" s="8">
        <v>217</v>
      </c>
      <c r="E96">
        <v>0.52722000000000002</v>
      </c>
      <c r="F96" s="8">
        <v>216.6</v>
      </c>
      <c r="G96" s="8">
        <v>0.54908999999999997</v>
      </c>
      <c r="H96" s="20"/>
      <c r="J96" s="20"/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20"/>
    </row>
    <row r="97" spans="1:22" x14ac:dyDescent="0.25">
      <c r="A97" s="20"/>
      <c r="B97" s="3">
        <v>110</v>
      </c>
      <c r="C97" s="15">
        <v>3.5880000000000001E-7</v>
      </c>
      <c r="D97" s="8">
        <v>220</v>
      </c>
      <c r="E97">
        <v>0.59913000000000005</v>
      </c>
      <c r="F97" s="8">
        <v>216.61</v>
      </c>
      <c r="G97" s="8">
        <v>0.59535000000000005</v>
      </c>
      <c r="H97" s="20"/>
      <c r="J97" s="20"/>
      <c r="K97" s="13">
        <v>44.01</v>
      </c>
      <c r="L97" s="10">
        <f>K97/44.01</f>
        <v>1</v>
      </c>
      <c r="M97">
        <v>2.1361024073332202</v>
      </c>
      <c r="N97">
        <v>2.3279630618684499</v>
      </c>
      <c r="O97">
        <v>2.2324723667117001</v>
      </c>
      <c r="P97">
        <v>2.08753573970569</v>
      </c>
      <c r="Q97">
        <v>2.1651150684447198</v>
      </c>
      <c r="R97">
        <v>2.2036606713609599</v>
      </c>
      <c r="S97">
        <v>2.2420585359499401</v>
      </c>
      <c r="T97">
        <v>1.30350235315319</v>
      </c>
      <c r="U97">
        <v>225246438013.35199</v>
      </c>
      <c r="V97" s="20"/>
    </row>
    <row r="98" spans="1:22" x14ac:dyDescent="0.25">
      <c r="A98" s="20"/>
      <c r="B98" s="3">
        <v>130</v>
      </c>
      <c r="C98" s="15">
        <v>3.2703500000000003E-5</v>
      </c>
      <c r="D98" s="8">
        <v>225</v>
      </c>
      <c r="E98">
        <v>0.73509000000000002</v>
      </c>
      <c r="F98" s="8">
        <v>216.61</v>
      </c>
      <c r="G98" s="8">
        <v>0.59535000000000005</v>
      </c>
      <c r="H98" s="20"/>
      <c r="J98" s="20"/>
      <c r="K98" s="13">
        <v>132.03</v>
      </c>
      <c r="L98" s="10">
        <f t="shared" ref="L98:L111" si="31">K98/44.01</f>
        <v>3</v>
      </c>
      <c r="M98">
        <v>4.8270253928955196</v>
      </c>
      <c r="N98">
        <v>5.5495909381139299</v>
      </c>
      <c r="O98">
        <v>5.1933742231713804</v>
      </c>
      <c r="P98">
        <v>4.6388467218251304</v>
      </c>
      <c r="Q98">
        <v>4.9381949187026501</v>
      </c>
      <c r="R98">
        <v>5.0846792024924499</v>
      </c>
      <c r="S98">
        <v>5.2294013746427099</v>
      </c>
      <c r="T98">
        <v>6.2285103014644196</v>
      </c>
      <c r="U98">
        <v>53561722495112.5</v>
      </c>
      <c r="V98" s="20"/>
    </row>
    <row r="99" spans="1:22" x14ac:dyDescent="0.25">
      <c r="A99" s="20"/>
      <c r="B99" s="3">
        <v>140</v>
      </c>
      <c r="C99" s="8">
        <v>1.9000000000000001E-4</v>
      </c>
      <c r="D99" s="8">
        <v>230</v>
      </c>
      <c r="E99">
        <v>0.89290999999999998</v>
      </c>
      <c r="F99" s="8">
        <v>216.62</v>
      </c>
      <c r="G99" s="8">
        <v>0.64161999999999997</v>
      </c>
      <c r="H99" s="20"/>
      <c r="J99" s="20"/>
      <c r="K99" s="13">
        <v>220.05</v>
      </c>
      <c r="L99" s="10">
        <f t="shared" si="31"/>
        <v>5.0000000000000009</v>
      </c>
      <c r="M99">
        <v>5.9009013622715196</v>
      </c>
      <c r="N99">
        <v>7.3363888442063603</v>
      </c>
      <c r="O99">
        <v>6.63970546645883</v>
      </c>
      <c r="P99">
        <v>5.4854710868136403</v>
      </c>
      <c r="Q99">
        <v>6.1293897261433603</v>
      </c>
      <c r="R99">
        <v>6.4239395815561799</v>
      </c>
      <c r="S99">
        <v>6.7108252041098799</v>
      </c>
      <c r="T99">
        <v>-400.57897699760298</v>
      </c>
      <c r="U99">
        <v>645957376248214</v>
      </c>
      <c r="V99" s="20"/>
    </row>
    <row r="100" spans="1:22" x14ac:dyDescent="0.25">
      <c r="A100" s="20"/>
      <c r="B100" s="3">
        <v>150</v>
      </c>
      <c r="C100" s="8">
        <v>8.4999999999999995E-4</v>
      </c>
      <c r="D100" s="8">
        <v>235</v>
      </c>
      <c r="E100">
        <v>1.07467</v>
      </c>
      <c r="F100" s="8">
        <v>216.63</v>
      </c>
      <c r="G100" s="8">
        <v>0.68789</v>
      </c>
      <c r="H100" s="20"/>
      <c r="J100" s="20"/>
      <c r="K100" s="13">
        <v>308.07</v>
      </c>
      <c r="L100" s="10">
        <f t="shared" si="31"/>
        <v>7</v>
      </c>
      <c r="M100">
        <v>5.5752939054774702</v>
      </c>
      <c r="N100">
        <v>8.2230652891301492</v>
      </c>
      <c r="O100">
        <v>7.1340775599216402</v>
      </c>
      <c r="P100">
        <v>1.30995336111039</v>
      </c>
      <c r="Q100">
        <v>6.2521555068801904</v>
      </c>
      <c r="R100">
        <v>6.7894686528437003</v>
      </c>
      <c r="S100">
        <v>7.2459089624925497</v>
      </c>
      <c r="T100">
        <v>-3367.6832382938701</v>
      </c>
      <c r="U100" s="13">
        <v>2693327310997520</v>
      </c>
      <c r="V100" s="20"/>
    </row>
    <row r="101" spans="1:22" x14ac:dyDescent="0.25">
      <c r="A101" s="20"/>
      <c r="B101" s="3">
        <v>160</v>
      </c>
      <c r="C101" s="8">
        <v>3.1700000000000001E-3</v>
      </c>
      <c r="D101" s="8">
        <v>240</v>
      </c>
      <c r="E101">
        <v>1.2824800000000001</v>
      </c>
      <c r="F101" s="8">
        <v>216.64</v>
      </c>
      <c r="G101" s="8">
        <v>0.73416999999999999</v>
      </c>
      <c r="H101" s="20"/>
      <c r="J101" s="20"/>
      <c r="K101" s="13">
        <v>352.08</v>
      </c>
      <c r="L101" s="10">
        <f t="shared" si="31"/>
        <v>8</v>
      </c>
      <c r="M101">
        <v>3.8154195908492099</v>
      </c>
      <c r="N101">
        <v>8.4791129692660601</v>
      </c>
      <c r="O101">
        <v>7.19383553223226</v>
      </c>
      <c r="P101">
        <v>-15.568778538731101</v>
      </c>
      <c r="Q101">
        <v>5.8572156379492304</v>
      </c>
      <c r="R101">
        <v>6.7703097918489199</v>
      </c>
      <c r="S101">
        <v>7.3259991827953401</v>
      </c>
      <c r="T101">
        <v>-6369.7435789423298</v>
      </c>
      <c r="U101" s="13">
        <v>3816385338528400</v>
      </c>
      <c r="V101" s="20"/>
    </row>
    <row r="102" spans="1:22" x14ac:dyDescent="0.25">
      <c r="A102" s="20"/>
      <c r="B102" s="8">
        <v>170.11</v>
      </c>
      <c r="C102" s="8">
        <v>1.0120000000000001E-2</v>
      </c>
      <c r="D102" s="8">
        <v>245</v>
      </c>
      <c r="E102">
        <v>1.5185299999999999</v>
      </c>
      <c r="F102" s="8">
        <v>216.65</v>
      </c>
      <c r="G102" s="8">
        <v>0.78044999999999998</v>
      </c>
      <c r="H102" s="20"/>
      <c r="J102" s="20"/>
      <c r="K102" s="13">
        <v>396.09</v>
      </c>
      <c r="L102" s="10">
        <f t="shared" si="31"/>
        <v>9</v>
      </c>
      <c r="M102">
        <v>0.17412751698762199</v>
      </c>
      <c r="N102">
        <v>8.6728668193196299</v>
      </c>
      <c r="O102">
        <v>7.2016100803053096</v>
      </c>
      <c r="P102">
        <v>-51.680061345279299</v>
      </c>
      <c r="Q102">
        <v>5.0681830687335196</v>
      </c>
      <c r="R102">
        <v>6.6816705234621097</v>
      </c>
      <c r="S102">
        <v>7.3527698178875198</v>
      </c>
      <c r="T102">
        <v>-9613.7263439378494</v>
      </c>
      <c r="U102" s="13">
        <v>3613227647485960</v>
      </c>
      <c r="V102" s="20"/>
    </row>
    <row r="103" spans="1:22" x14ac:dyDescent="0.25">
      <c r="A103" s="20"/>
      <c r="B103" s="8">
        <v>171.81</v>
      </c>
      <c r="C103" s="8">
        <v>1.214E-2</v>
      </c>
      <c r="D103" s="8">
        <v>250</v>
      </c>
      <c r="E103">
        <v>1.78505</v>
      </c>
      <c r="F103" s="8">
        <v>216.66</v>
      </c>
      <c r="G103" s="8">
        <v>0.82674000000000003</v>
      </c>
      <c r="H103" s="20"/>
      <c r="J103" s="20"/>
      <c r="K103" s="13">
        <v>484.11</v>
      </c>
      <c r="L103" s="10">
        <f t="shared" si="31"/>
        <v>11</v>
      </c>
      <c r="M103">
        <v>6.0166612727757203</v>
      </c>
      <c r="N103">
        <v>8.9706465343908306</v>
      </c>
      <c r="O103">
        <v>7.1826864178466296</v>
      </c>
      <c r="P103">
        <v>6.3866831140999301</v>
      </c>
      <c r="Q103">
        <v>6.1758626816412496</v>
      </c>
      <c r="R103">
        <v>6.6921880002150296</v>
      </c>
      <c r="S103">
        <v>7.35499869983955</v>
      </c>
      <c r="T103">
        <v>-8465.4819534005892</v>
      </c>
      <c r="U103" s="13">
        <v>-5458507531228240</v>
      </c>
      <c r="V103" s="20"/>
    </row>
    <row r="104" spans="1:22" x14ac:dyDescent="0.25">
      <c r="A104" s="20"/>
      <c r="B104" s="8">
        <v>172.14</v>
      </c>
      <c r="C104" s="8">
        <v>1.2565E-2</v>
      </c>
      <c r="D104" s="8">
        <v>255</v>
      </c>
      <c r="E104">
        <v>2.0843400000000001</v>
      </c>
      <c r="F104" s="8">
        <v>216.67</v>
      </c>
      <c r="G104" s="8">
        <v>0.87302999999999997</v>
      </c>
      <c r="H104" s="20"/>
      <c r="J104" s="20"/>
      <c r="K104" s="13">
        <v>572.13</v>
      </c>
      <c r="L104" s="10">
        <f t="shared" si="31"/>
        <v>13</v>
      </c>
      <c r="M104">
        <v>16.320474892832902</v>
      </c>
      <c r="N104">
        <v>9.4019195688256101</v>
      </c>
      <c r="O104">
        <v>7.1807166510779403</v>
      </c>
      <c r="P104">
        <v>121.574206390417</v>
      </c>
      <c r="Q104">
        <v>7.8445085584583802</v>
      </c>
      <c r="R104">
        <v>6.6661511090806602</v>
      </c>
      <c r="S104">
        <v>7.3942270679386999</v>
      </c>
      <c r="T104">
        <v>16870.609199151098</v>
      </c>
      <c r="U104" s="13">
        <v>-1.24350596660482E+16</v>
      </c>
      <c r="V104" s="20"/>
    </row>
    <row r="105" spans="1:22" x14ac:dyDescent="0.25">
      <c r="A105" s="20"/>
      <c r="B105" s="8">
        <v>173.59</v>
      </c>
      <c r="C105" s="8">
        <v>1.4619999999999999E-2</v>
      </c>
      <c r="D105" s="8">
        <v>260</v>
      </c>
      <c r="E105">
        <v>2.4188000000000001</v>
      </c>
      <c r="F105" s="8">
        <v>216.68</v>
      </c>
      <c r="G105" s="8">
        <v>0.91934000000000005</v>
      </c>
      <c r="H105" s="20"/>
      <c r="J105" s="20"/>
      <c r="K105" s="13">
        <v>660.15</v>
      </c>
      <c r="L105" s="10">
        <f t="shared" si="31"/>
        <v>15</v>
      </c>
      <c r="M105">
        <v>6.0607554975692697</v>
      </c>
      <c r="N105">
        <v>10.447392655502901</v>
      </c>
      <c r="O105">
        <v>7.5052913117007902</v>
      </c>
      <c r="P105">
        <v>20.0180709988004</v>
      </c>
      <c r="Q105">
        <v>5.7438697077841701</v>
      </c>
      <c r="R105">
        <v>6.6580048088194896</v>
      </c>
      <c r="S105">
        <v>7.7929070495789201</v>
      </c>
      <c r="T105">
        <v>30559.716567799202</v>
      </c>
      <c r="U105" s="13">
        <v>-3008724950519810</v>
      </c>
      <c r="V105" s="20"/>
    </row>
    <row r="106" spans="1:22" x14ac:dyDescent="0.25">
      <c r="A106" s="20"/>
      <c r="B106" s="8">
        <v>175.34</v>
      </c>
      <c r="C106" s="8">
        <v>1.7479999999999999E-2</v>
      </c>
      <c r="D106" s="8">
        <v>265</v>
      </c>
      <c r="E106">
        <v>2.7909199999999998</v>
      </c>
      <c r="F106" s="8">
        <v>216.69</v>
      </c>
      <c r="G106" s="8">
        <v>0.96564000000000005</v>
      </c>
      <c r="H106" s="20"/>
      <c r="J106" s="20"/>
      <c r="K106" s="13">
        <v>748.17</v>
      </c>
      <c r="L106" s="10">
        <f t="shared" si="31"/>
        <v>17</v>
      </c>
      <c r="M106">
        <v>5.1129044980699501</v>
      </c>
      <c r="N106">
        <v>13.095592995221701</v>
      </c>
      <c r="O106">
        <v>9.0044571163313698</v>
      </c>
      <c r="P106">
        <v>3.4352739091362099</v>
      </c>
      <c r="Q106">
        <v>6.2517707615780802</v>
      </c>
      <c r="R106">
        <v>7.81198301048709</v>
      </c>
      <c r="S106">
        <v>9.4058537496757992</v>
      </c>
      <c r="T106">
        <v>9787.11895554894</v>
      </c>
      <c r="U106">
        <v>119348642305332</v>
      </c>
      <c r="V106" s="20"/>
    </row>
    <row r="107" spans="1:22" x14ac:dyDescent="0.25">
      <c r="A107" s="20"/>
      <c r="B107" s="8">
        <v>177.2</v>
      </c>
      <c r="C107" s="8">
        <v>2.1059999999999999E-2</v>
      </c>
      <c r="D107" s="8">
        <v>270</v>
      </c>
      <c r="E107">
        <v>3.2033499999999999</v>
      </c>
      <c r="F107" s="8">
        <v>216.7</v>
      </c>
      <c r="G107" s="8">
        <v>1.01196</v>
      </c>
      <c r="H107" s="20"/>
      <c r="J107" s="20"/>
      <c r="K107" s="13">
        <v>792.18</v>
      </c>
      <c r="L107" s="10">
        <f t="shared" si="31"/>
        <v>18</v>
      </c>
      <c r="M107">
        <v>6.2186301586758201</v>
      </c>
      <c r="N107">
        <v>15.659933740232299</v>
      </c>
      <c r="O107">
        <v>10.8617475053566</v>
      </c>
      <c r="P107">
        <v>3.9916261135899398</v>
      </c>
      <c r="Q107">
        <v>7.5915580302068504</v>
      </c>
      <c r="R107">
        <v>9.4498966406942397</v>
      </c>
      <c r="S107">
        <v>11.335524932604899</v>
      </c>
      <c r="T107">
        <v>3273.14838947319</v>
      </c>
      <c r="U107">
        <v>69163872253000.297</v>
      </c>
      <c r="V107" s="20"/>
    </row>
    <row r="108" spans="1:22" x14ac:dyDescent="0.25">
      <c r="A108" s="20"/>
      <c r="B108" s="8">
        <v>179.2</v>
      </c>
      <c r="C108" s="8">
        <v>2.5610000000000001E-2</v>
      </c>
      <c r="D108" s="8">
        <v>275</v>
      </c>
      <c r="E108">
        <v>3.6589200000000002</v>
      </c>
      <c r="F108" s="8">
        <v>216.71</v>
      </c>
      <c r="G108" s="8">
        <v>1.0582800000000001</v>
      </c>
      <c r="H108" s="20"/>
      <c r="J108" s="20"/>
      <c r="K108" s="13">
        <v>880.2</v>
      </c>
      <c r="L108" s="10">
        <f t="shared" si="31"/>
        <v>20.000000000000004</v>
      </c>
      <c r="M108">
        <v>12.109204433325701</v>
      </c>
      <c r="N108">
        <v>24.991628891687299</v>
      </c>
      <c r="O108">
        <v>18.526421290432001</v>
      </c>
      <c r="P108">
        <v>8.9265709341655501</v>
      </c>
      <c r="Q108">
        <v>14.0280376946701</v>
      </c>
      <c r="R108">
        <v>16.595233520717599</v>
      </c>
      <c r="S108">
        <v>19.1711476318244</v>
      </c>
      <c r="T108">
        <v>164.74362751625901</v>
      </c>
      <c r="U108">
        <v>2764057257781.6201</v>
      </c>
      <c r="V108" s="20"/>
    </row>
    <row r="109" spans="1:22" x14ac:dyDescent="0.25">
      <c r="A109" s="20"/>
      <c r="B109" s="8">
        <v>179.73</v>
      </c>
      <c r="C109" s="8">
        <v>2.6960000000000001E-2</v>
      </c>
      <c r="D109" s="8">
        <v>280</v>
      </c>
      <c r="E109">
        <v>4.1607399999999997</v>
      </c>
      <c r="F109" s="8">
        <v>216.72</v>
      </c>
      <c r="G109" s="8">
        <v>1.1046</v>
      </c>
      <c r="H109" s="20"/>
      <c r="J109" s="20"/>
      <c r="K109" s="13">
        <v>924.21</v>
      </c>
      <c r="L109" s="10">
        <f t="shared" si="31"/>
        <v>21</v>
      </c>
      <c r="M109">
        <v>17.778069385936998</v>
      </c>
      <c r="N109">
        <v>32.650516383761101</v>
      </c>
      <c r="O109">
        <v>25.2095425993578</v>
      </c>
      <c r="P109">
        <v>14.069643703420899</v>
      </c>
      <c r="Q109">
        <v>20.0058526784808</v>
      </c>
      <c r="R109">
        <v>22.978593561503999</v>
      </c>
      <c r="S109">
        <v>25.953401939966501</v>
      </c>
      <c r="T109">
        <v>11.4837394568266</v>
      </c>
      <c r="U109">
        <v>290045284423.71399</v>
      </c>
      <c r="V109" s="20"/>
    </row>
    <row r="110" spans="1:22" x14ac:dyDescent="0.25">
      <c r="A110" s="20"/>
      <c r="B110" s="8">
        <v>180.95</v>
      </c>
      <c r="C110" s="8">
        <v>3.0290000000000001E-2</v>
      </c>
      <c r="D110" s="8">
        <v>285</v>
      </c>
      <c r="E110">
        <v>4.7123499999999998</v>
      </c>
      <c r="F110" s="8">
        <v>216.73</v>
      </c>
      <c r="G110" s="8">
        <v>1.15093</v>
      </c>
      <c r="H110" s="20"/>
      <c r="J110" s="20"/>
      <c r="K110" s="13">
        <v>1012.23</v>
      </c>
      <c r="L110" s="10">
        <f t="shared" si="31"/>
        <v>23</v>
      </c>
      <c r="M110">
        <v>37.441400384924599</v>
      </c>
      <c r="N110">
        <v>56.951641672506398</v>
      </c>
      <c r="O110">
        <v>47.217726644921903</v>
      </c>
      <c r="P110">
        <v>32.538672026459203</v>
      </c>
      <c r="Q110">
        <v>40.378485613045903</v>
      </c>
      <c r="R110">
        <v>44.289073971093501</v>
      </c>
      <c r="S110">
        <v>48.193103764106802</v>
      </c>
      <c r="T110">
        <v>-51.051072389036001</v>
      </c>
      <c r="U110">
        <v>843676179.20746195</v>
      </c>
      <c r="V110" s="20"/>
    </row>
    <row r="111" spans="1:22" x14ac:dyDescent="0.25">
      <c r="A111" s="20"/>
      <c r="B111" s="8">
        <v>183.02</v>
      </c>
      <c r="C111" s="8">
        <v>3.678E-2</v>
      </c>
      <c r="D111" s="8">
        <v>290</v>
      </c>
      <c r="E111">
        <v>5.3180399999999999</v>
      </c>
      <c r="F111" s="8">
        <v>216.74</v>
      </c>
      <c r="G111" s="8">
        <v>1.1972700000000001</v>
      </c>
      <c r="H111" s="20"/>
      <c r="J111" s="20"/>
      <c r="K111" s="13">
        <v>1100.25</v>
      </c>
      <c r="L111" s="10">
        <f t="shared" si="31"/>
        <v>25</v>
      </c>
      <c r="M111">
        <v>73.469442160659199</v>
      </c>
      <c r="N111">
        <v>98.639412349731401</v>
      </c>
      <c r="O111">
        <v>86.1065876769662</v>
      </c>
      <c r="P111">
        <v>67.113372522697304</v>
      </c>
      <c r="Q111">
        <v>77.271230223885297</v>
      </c>
      <c r="R111">
        <v>82.326162009236697</v>
      </c>
      <c r="S111">
        <v>87.364649586469895</v>
      </c>
      <c r="T111">
        <v>-50.6469358701586</v>
      </c>
      <c r="U111">
        <v>4912063.9650617102</v>
      </c>
      <c r="V111" s="20"/>
    </row>
    <row r="112" spans="1:22" x14ac:dyDescent="0.25">
      <c r="A112" s="20"/>
      <c r="B112" s="8">
        <v>184.37</v>
      </c>
      <c r="C112" s="8">
        <v>4.1640000000000003E-2</v>
      </c>
      <c r="D112" s="8">
        <v>295</v>
      </c>
      <c r="E112">
        <v>5.9835700000000003</v>
      </c>
      <c r="F112" s="8">
        <v>216.75</v>
      </c>
      <c r="G112" s="8">
        <v>1.2436100000000001</v>
      </c>
      <c r="H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spans="1:26" x14ac:dyDescent="0.25">
      <c r="A113" s="20"/>
      <c r="B113" s="8">
        <v>185.23</v>
      </c>
      <c r="C113" s="8">
        <v>4.5019999999999998E-2</v>
      </c>
      <c r="D113" s="8">
        <v>297</v>
      </c>
      <c r="E113">
        <v>6.2681500000000003</v>
      </c>
      <c r="F113" s="8">
        <v>216.76</v>
      </c>
      <c r="G113" s="8">
        <v>1.28996</v>
      </c>
      <c r="H113" s="20"/>
    </row>
    <row r="114" spans="1:26" x14ac:dyDescent="0.25">
      <c r="A114" s="20"/>
      <c r="B114" s="8">
        <v>187.25</v>
      </c>
      <c r="C114" s="8">
        <v>5.3940000000000002E-2</v>
      </c>
      <c r="D114" s="8">
        <v>299</v>
      </c>
      <c r="E114">
        <v>6.5638500000000004</v>
      </c>
      <c r="F114" s="8">
        <v>216.78</v>
      </c>
      <c r="G114" s="8">
        <v>1.3826799999999999</v>
      </c>
      <c r="H114" s="20"/>
    </row>
    <row r="115" spans="1:26" x14ac:dyDescent="0.25">
      <c r="A115" s="20"/>
      <c r="B115" s="8">
        <v>189.88</v>
      </c>
      <c r="C115" s="17">
        <v>6.7849999999999994E-2</v>
      </c>
      <c r="D115" s="8">
        <v>300</v>
      </c>
      <c r="E115">
        <v>6.7158499999999997</v>
      </c>
      <c r="F115" s="8">
        <v>216.81</v>
      </c>
      <c r="G115" s="8">
        <v>1.5218</v>
      </c>
      <c r="H115" s="20"/>
      <c r="J115" s="21"/>
      <c r="K115" s="21" t="s">
        <v>95</v>
      </c>
      <c r="L115" s="24"/>
      <c r="M115" s="21"/>
      <c r="N115" s="21"/>
      <c r="O115" s="21"/>
    </row>
    <row r="116" spans="1:26" x14ac:dyDescent="0.25">
      <c r="A116" s="20"/>
      <c r="B116" s="8">
        <v>192.79</v>
      </c>
      <c r="C116" s="8">
        <v>8.6819999999999994E-2</v>
      </c>
      <c r="D116" s="8">
        <v>301</v>
      </c>
      <c r="E116">
        <v>6.8705800000000004</v>
      </c>
      <c r="F116" s="8">
        <v>216.91</v>
      </c>
      <c r="G116" s="8">
        <v>1.9859100000000001</v>
      </c>
      <c r="H116" s="20"/>
      <c r="J116" s="1" t="s">
        <v>1</v>
      </c>
      <c r="K116" s="1" t="s">
        <v>96</v>
      </c>
      <c r="L116" s="1" t="s">
        <v>97</v>
      </c>
      <c r="M116" s="1" t="s">
        <v>98</v>
      </c>
      <c r="N116" s="1" t="s">
        <v>99</v>
      </c>
      <c r="O116" s="1" t="s">
        <v>100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s="20"/>
      <c r="B117" s="8">
        <v>194.54</v>
      </c>
      <c r="C117" s="8">
        <v>0.10034</v>
      </c>
      <c r="D117" s="8">
        <v>302</v>
      </c>
      <c r="E117">
        <v>7.0282</v>
      </c>
      <c r="F117" s="8">
        <v>216.97</v>
      </c>
      <c r="G117" s="8">
        <v>2.2646600000000001</v>
      </c>
      <c r="H117" s="20"/>
      <c r="J117" s="8">
        <v>170.11</v>
      </c>
      <c r="K117" s="8">
        <v>1</v>
      </c>
      <c r="L117" s="34">
        <v>10079.3946303761</v>
      </c>
      <c r="M117" s="34">
        <v>10122.2609922269</v>
      </c>
      <c r="N117" s="35">
        <v>0.314688450462349</v>
      </c>
      <c r="O117">
        <v>0.31603133273461398</v>
      </c>
      <c r="R117" s="16">
        <v>0.20100000000000001</v>
      </c>
      <c r="S117" s="16">
        <f>R117/2.01588</f>
        <v>9.970831597118876E-2</v>
      </c>
      <c r="T117" s="13">
        <v>2.70833457855587E-2</v>
      </c>
      <c r="U117" s="13">
        <v>1.6342045142054899E-2</v>
      </c>
      <c r="V117" s="13">
        <v>1.1332549914159501E-2</v>
      </c>
      <c r="W117" s="13">
        <v>1.3005927464524799E-2</v>
      </c>
      <c r="X117" s="13">
        <v>2.8831272155972199E-2</v>
      </c>
      <c r="Y117" s="13">
        <v>1.21698976979042E-2</v>
      </c>
      <c r="Z117" s="13">
        <v>1.11674294715811E-2</v>
      </c>
    </row>
    <row r="118" spans="1:26" x14ac:dyDescent="0.25">
      <c r="A118" s="20"/>
      <c r="B118" s="8">
        <v>197.47</v>
      </c>
      <c r="C118" s="8">
        <v>0.12716</v>
      </c>
      <c r="D118" s="8">
        <v>302.5</v>
      </c>
      <c r="E118">
        <v>7.1082799999999997</v>
      </c>
      <c r="F118" s="8">
        <v>216.99</v>
      </c>
      <c r="G118" s="8">
        <v>2.3576299999999999</v>
      </c>
      <c r="H118" s="20"/>
      <c r="K118" s="8">
        <v>2</v>
      </c>
      <c r="L118" s="34">
        <v>10122.2609922269</v>
      </c>
      <c r="M118" s="34">
        <v>10122.260993452601</v>
      </c>
      <c r="N118">
        <v>0.31603133273461398</v>
      </c>
      <c r="O118">
        <v>0.31603133277301199</v>
      </c>
      <c r="R118" s="16">
        <v>0.43</v>
      </c>
      <c r="S118" s="16">
        <f t="shared" ref="S118:S145" si="32">R118/2.01588</f>
        <v>0.21330634760005554</v>
      </c>
      <c r="T118" s="13">
        <v>5.7475570791324399E-2</v>
      </c>
      <c r="U118" s="13">
        <v>3.4378044192839498E-2</v>
      </c>
      <c r="V118" s="13">
        <v>2.35478391221846E-2</v>
      </c>
      <c r="W118" s="13">
        <v>2.7179967401663899E-2</v>
      </c>
      <c r="X118" s="13">
        <v>6.1231861133696899E-2</v>
      </c>
      <c r="Y118" s="13">
        <v>2.5368022588125601E-2</v>
      </c>
      <c r="Z118" s="13">
        <v>2.3188210400931299E-2</v>
      </c>
    </row>
    <row r="119" spans="1:26" x14ac:dyDescent="0.25">
      <c r="A119" s="20"/>
      <c r="B119" s="8">
        <v>199.29</v>
      </c>
      <c r="C119" s="8">
        <v>0.14682999999999999</v>
      </c>
      <c r="D119" s="8">
        <v>303</v>
      </c>
      <c r="E119">
        <v>7.1894099999999996</v>
      </c>
      <c r="F119" s="8">
        <v>217.1</v>
      </c>
      <c r="G119" s="8">
        <v>2.8693599999999999</v>
      </c>
      <c r="H119" s="20"/>
      <c r="K119" s="8">
        <v>3</v>
      </c>
      <c r="L119" s="34">
        <v>10122.260993452601</v>
      </c>
      <c r="M119" s="34">
        <v>10122.260993452601</v>
      </c>
      <c r="N119">
        <v>0.31603133277301199</v>
      </c>
      <c r="O119">
        <v>0.31603133277301299</v>
      </c>
      <c r="R119" s="16">
        <v>0.85</v>
      </c>
      <c r="S119" s="16">
        <f t="shared" si="32"/>
        <v>0.42165208246522606</v>
      </c>
      <c r="T119">
        <v>0.111947163239698</v>
      </c>
      <c r="U119" s="13">
        <v>6.5834375119655494E-2</v>
      </c>
      <c r="V119" s="13">
        <v>4.38607034423322E-2</v>
      </c>
      <c r="W119" s="13">
        <v>5.1314278351546103E-2</v>
      </c>
      <c r="X119">
        <v>0.119433492059071</v>
      </c>
      <c r="Y119" s="13">
        <v>4.7611685368014203E-2</v>
      </c>
      <c r="Z119" s="13">
        <v>4.31153941833059E-2</v>
      </c>
    </row>
    <row r="120" spans="1:26" x14ac:dyDescent="0.25">
      <c r="A120" s="20"/>
      <c r="B120" s="8">
        <v>201.74</v>
      </c>
      <c r="C120" s="8">
        <v>0.17751</v>
      </c>
      <c r="D120" s="8">
        <v>303.39999999999998</v>
      </c>
      <c r="E120">
        <v>7.2551800000000002</v>
      </c>
      <c r="F120" s="8">
        <v>217.29</v>
      </c>
      <c r="G120" s="8">
        <v>3.7549199999999998</v>
      </c>
      <c r="H120" s="20"/>
      <c r="J120" s="8">
        <v>171.81</v>
      </c>
      <c r="K120" s="8">
        <v>1</v>
      </c>
      <c r="L120" s="34">
        <v>12085.0167200455</v>
      </c>
      <c r="M120" s="34">
        <v>12135.527452444399</v>
      </c>
      <c r="N120">
        <v>0.37377029459462202</v>
      </c>
      <c r="O120">
        <v>0.375338664837641</v>
      </c>
      <c r="R120" s="16">
        <v>1.07</v>
      </c>
      <c r="S120" s="16">
        <f t="shared" si="32"/>
        <v>0.53078556263269638</v>
      </c>
      <c r="T120">
        <v>0.13983172034321001</v>
      </c>
      <c r="U120" s="13">
        <v>8.1466769399005004E-2</v>
      </c>
      <c r="V120" s="13">
        <v>5.3329576263566103E-2</v>
      </c>
      <c r="W120" s="13">
        <v>6.2949420758358507E-2</v>
      </c>
      <c r="X120">
        <v>0.14929580410207199</v>
      </c>
      <c r="Y120" s="13">
        <v>5.8184708177501099E-2</v>
      </c>
      <c r="Z120" s="13">
        <v>5.2361116413003603E-2</v>
      </c>
    </row>
    <row r="121" spans="1:26" x14ac:dyDescent="0.25">
      <c r="A121" s="20"/>
      <c r="B121" s="8">
        <v>202.82</v>
      </c>
      <c r="C121" s="8">
        <v>0.19273000000000001</v>
      </c>
      <c r="D121" s="8">
        <v>303.60000000000002</v>
      </c>
      <c r="E121">
        <v>7.2883899999999997</v>
      </c>
      <c r="F121" s="8">
        <v>217.31</v>
      </c>
      <c r="G121" s="8">
        <v>3.8482699999999999</v>
      </c>
      <c r="H121" s="20"/>
      <c r="K121" s="8">
        <v>2</v>
      </c>
      <c r="L121" s="34">
        <v>12135.527452444399</v>
      </c>
      <c r="M121" s="34">
        <v>12135.5274538495</v>
      </c>
      <c r="N121">
        <v>0.375338664837641</v>
      </c>
      <c r="O121">
        <v>0.37533866488126899</v>
      </c>
      <c r="R121" s="16">
        <v>2.08</v>
      </c>
      <c r="S121" s="16">
        <f t="shared" si="32"/>
        <v>1.0318074488560827</v>
      </c>
      <c r="T121">
        <v>0.262253130992953</v>
      </c>
      <c r="U121">
        <v>0.14564264344995201</v>
      </c>
      <c r="V121" s="13">
        <v>8.48228710535298E-2</v>
      </c>
      <c r="W121" s="13">
        <v>0.106659773954824</v>
      </c>
      <c r="X121">
        <v>0.28100690529130201</v>
      </c>
      <c r="Y121" s="13">
        <v>9.6035734608989107E-2</v>
      </c>
      <c r="Z121" s="13">
        <v>8.2534212956698397E-2</v>
      </c>
    </row>
    <row r="122" spans="1:26" x14ac:dyDescent="0.25">
      <c r="A122" s="20"/>
      <c r="B122" s="8">
        <v>203.8</v>
      </c>
      <c r="C122" s="8">
        <v>0.20754</v>
      </c>
      <c r="D122" s="8">
        <v>303.8</v>
      </c>
      <c r="E122">
        <v>7.3218399999999999</v>
      </c>
      <c r="F122" s="8">
        <v>217.52</v>
      </c>
      <c r="G122" s="8">
        <v>4.8297600000000003</v>
      </c>
      <c r="H122" s="20"/>
      <c r="K122" s="8">
        <v>3</v>
      </c>
      <c r="L122" s="34">
        <v>12135.5274538495</v>
      </c>
      <c r="M122" s="34">
        <v>12135.5274538495</v>
      </c>
      <c r="N122">
        <v>0.37533866488126899</v>
      </c>
      <c r="O122">
        <v>0.37533866488126999</v>
      </c>
      <c r="R122" s="16">
        <v>6.09</v>
      </c>
      <c r="S122" s="16">
        <f t="shared" si="32"/>
        <v>3.0210131555449729</v>
      </c>
      <c r="T122">
        <v>0.66360558101338996</v>
      </c>
      <c r="U122">
        <v>0.26753337944901701</v>
      </c>
      <c r="V122" s="13">
        <v>-7.7501182030902796E-2</v>
      </c>
      <c r="W122" s="13">
        <v>7.4802230941029405E-2</v>
      </c>
      <c r="X122">
        <v>0.72272112622740503</v>
      </c>
      <c r="Y122" s="13">
        <v>5.6848660238804404E-3</v>
      </c>
      <c r="Z122" s="13">
        <v>-9.5827809277938894E-2</v>
      </c>
    </row>
    <row r="123" spans="1:26" x14ac:dyDescent="0.25">
      <c r="A123" s="20"/>
      <c r="B123" s="8">
        <v>205.24</v>
      </c>
      <c r="C123" s="8">
        <v>0.23111999999999999</v>
      </c>
      <c r="D123" s="8">
        <v>303.89999999999998</v>
      </c>
      <c r="E123">
        <v>7.3386500000000003</v>
      </c>
      <c r="F123" s="8">
        <v>217.66</v>
      </c>
      <c r="G123" s="8">
        <v>5.4855099999999997</v>
      </c>
      <c r="H123" s="20"/>
      <c r="J123" s="8">
        <v>172.14</v>
      </c>
      <c r="K123" s="8">
        <v>1</v>
      </c>
      <c r="L123" s="34">
        <v>12512.8694395525</v>
      </c>
      <c r="M123" s="34">
        <v>12565.0244144106</v>
      </c>
      <c r="N123">
        <v>0.38630387593494597</v>
      </c>
      <c r="O123">
        <v>0.387920555220928</v>
      </c>
      <c r="R123" s="16">
        <v>8.41</v>
      </c>
      <c r="S123" s="16">
        <f t="shared" si="32"/>
        <v>4.1718753100382955</v>
      </c>
      <c r="T123">
        <v>0.83951963182290901</v>
      </c>
      <c r="U123">
        <v>0.23109639193210599</v>
      </c>
      <c r="V123">
        <v>-0.46780143855719297</v>
      </c>
      <c r="W123">
        <v>-0.138847701215492</v>
      </c>
      <c r="X123">
        <v>0.92468940437605995</v>
      </c>
      <c r="Y123">
        <v>-0.28521631432957001</v>
      </c>
      <c r="Z123">
        <v>-0.50877587635659305</v>
      </c>
    </row>
    <row r="124" spans="1:26" x14ac:dyDescent="0.25">
      <c r="A124" s="20"/>
      <c r="B124" s="8">
        <v>207.03</v>
      </c>
      <c r="C124" s="8">
        <v>0.26371</v>
      </c>
      <c r="D124" s="8">
        <v>304</v>
      </c>
      <c r="E124">
        <v>7.3555400000000004</v>
      </c>
      <c r="F124" s="8">
        <v>217.9</v>
      </c>
      <c r="G124" s="8">
        <v>6.6123099999999999</v>
      </c>
      <c r="H124" s="20"/>
      <c r="I124" s="11"/>
      <c r="K124" s="8">
        <v>2</v>
      </c>
      <c r="L124" s="34">
        <v>12565.0244144106</v>
      </c>
      <c r="M124" s="34">
        <v>12565.0244158552</v>
      </c>
      <c r="N124">
        <v>0.387920555220928</v>
      </c>
      <c r="O124">
        <v>0.38792055526570901</v>
      </c>
      <c r="R124" s="16">
        <v>12.13</v>
      </c>
      <c r="S124" s="16">
        <f t="shared" si="32"/>
        <v>6.0172232474155205</v>
      </c>
      <c r="T124">
        <v>1.04616711342596</v>
      </c>
      <c r="U124" s="13">
        <v>7.5006318462408003E-3</v>
      </c>
      <c r="V124">
        <v>-1.60638093281808</v>
      </c>
      <c r="W124">
        <v>-0.80843577079892104</v>
      </c>
      <c r="X124">
        <v>1.1774261631062399</v>
      </c>
      <c r="Y124">
        <v>-1.1583545594803299</v>
      </c>
      <c r="Z124">
        <v>-1.7082302663256499</v>
      </c>
    </row>
    <row r="125" spans="1:26" x14ac:dyDescent="0.25">
      <c r="A125" s="20"/>
      <c r="B125" s="8">
        <v>207.22</v>
      </c>
      <c r="C125" s="8">
        <v>0.26740000000000003</v>
      </c>
      <c r="D125" s="8">
        <v>304.10000000000002</v>
      </c>
      <c r="E125">
        <v>7.3724999999999996</v>
      </c>
      <c r="F125" s="8">
        <v>218</v>
      </c>
      <c r="G125" s="8">
        <v>7.0827900000000001</v>
      </c>
      <c r="H125" s="20"/>
      <c r="I125" s="11"/>
      <c r="K125" s="8">
        <v>3</v>
      </c>
      <c r="L125" s="34">
        <v>12565.0244158552</v>
      </c>
      <c r="M125" s="34">
        <v>12565.0244158552</v>
      </c>
      <c r="N125">
        <v>0.38792055526570901</v>
      </c>
      <c r="O125">
        <v>0.38792055526570901</v>
      </c>
      <c r="R125" s="16">
        <v>15.15</v>
      </c>
      <c r="S125" s="16">
        <f t="shared" si="32"/>
        <v>7.5153282933507946</v>
      </c>
      <c r="T125">
        <v>1.1550052284513399</v>
      </c>
      <c r="U125">
        <v>-0.28678883322479498</v>
      </c>
      <c r="V125">
        <v>-2.8297216504067899</v>
      </c>
      <c r="W125">
        <v>-1.5520142933444501</v>
      </c>
      <c r="X125">
        <v>1.32713682778276</v>
      </c>
      <c r="Y125">
        <v>-2.10970279900712</v>
      </c>
      <c r="Z125">
        <v>-2.9940698307843401</v>
      </c>
    </row>
    <row r="126" spans="1:26" x14ac:dyDescent="0.25">
      <c r="A126" s="20"/>
      <c r="B126" s="8">
        <v>207.61</v>
      </c>
      <c r="C126" s="8">
        <v>0.27511999999999998</v>
      </c>
      <c r="D126">
        <v>304.12</v>
      </c>
      <c r="E126">
        <v>7.3759100000000002</v>
      </c>
      <c r="F126" s="8">
        <v>218.5</v>
      </c>
      <c r="G126" s="8">
        <v>9.4438099999999991</v>
      </c>
      <c r="H126" s="20"/>
      <c r="J126" s="8">
        <v>173.59</v>
      </c>
      <c r="K126" s="8">
        <v>1</v>
      </c>
      <c r="L126" s="34">
        <v>14555.7895601247</v>
      </c>
      <c r="M126" s="34">
        <v>14615.8254606753</v>
      </c>
      <c r="N126">
        <v>0.44585108776907001</v>
      </c>
      <c r="O126">
        <v>0.44769843625686701</v>
      </c>
      <c r="R126" s="16">
        <v>18.170000000000002</v>
      </c>
      <c r="S126" s="16">
        <f t="shared" si="32"/>
        <v>9.0134333392860686</v>
      </c>
      <c r="T126">
        <v>1.2217016694267799</v>
      </c>
      <c r="U126">
        <v>-0.60610987160402696</v>
      </c>
      <c r="V126">
        <v>-3.94145598218828</v>
      </c>
      <c r="W126">
        <v>-2.25843368198192</v>
      </c>
      <c r="X126">
        <v>1.43668100664605</v>
      </c>
      <c r="Y126">
        <v>-2.9920816377851698</v>
      </c>
      <c r="Z126">
        <v>-4.1584078034357299</v>
      </c>
    </row>
    <row r="127" spans="1:26" x14ac:dyDescent="0.25">
      <c r="A127" s="20"/>
      <c r="B127" s="8">
        <v>207.98</v>
      </c>
      <c r="C127" s="8">
        <v>0.28261999999999998</v>
      </c>
      <c r="D127">
        <v>304.12700000000001</v>
      </c>
      <c r="E127">
        <v>7.3807900000000002</v>
      </c>
      <c r="F127" s="8">
        <v>218.61799999999999</v>
      </c>
      <c r="G127" s="8">
        <v>10.002649999999999</v>
      </c>
      <c r="H127" s="20"/>
      <c r="K127" s="8">
        <v>2</v>
      </c>
      <c r="L127" s="34">
        <v>14615.8254606753</v>
      </c>
      <c r="M127" s="34">
        <v>14615.825462311899</v>
      </c>
      <c r="N127">
        <v>0.44769843625686701</v>
      </c>
      <c r="O127">
        <v>0.447698436307226</v>
      </c>
      <c r="R127" s="16">
        <v>21.18</v>
      </c>
      <c r="S127" s="16">
        <f t="shared" si="32"/>
        <v>10.506577772486457</v>
      </c>
      <c r="T127">
        <v>1.25737814977347</v>
      </c>
      <c r="U127">
        <v>-0.854023633020628</v>
      </c>
      <c r="V127">
        <v>-4.4503854216690897</v>
      </c>
      <c r="W127">
        <v>-2.64878232267889</v>
      </c>
      <c r="X127">
        <v>1.51560429339834</v>
      </c>
      <c r="Y127">
        <v>-3.4356485300099102</v>
      </c>
      <c r="Z127">
        <v>-4.6819103682087899</v>
      </c>
    </row>
    <row r="128" spans="1:26" x14ac:dyDescent="0.25">
      <c r="A128" s="20"/>
      <c r="B128" s="8">
        <v>208.44</v>
      </c>
      <c r="C128" s="8">
        <v>0.29220000000000002</v>
      </c>
      <c r="F128" s="8">
        <v>218.81</v>
      </c>
      <c r="G128" s="8">
        <v>10.9148</v>
      </c>
      <c r="H128" s="20"/>
      <c r="K128" s="8">
        <v>3</v>
      </c>
      <c r="L128" s="34">
        <v>14615.825462311899</v>
      </c>
      <c r="M128" s="34">
        <v>14615.825462311899</v>
      </c>
      <c r="N128">
        <v>0.447698436307226</v>
      </c>
      <c r="O128">
        <v>0.447698436307227</v>
      </c>
      <c r="R128" s="16">
        <v>22.02</v>
      </c>
      <c r="S128" s="16">
        <f t="shared" si="32"/>
        <v>10.923269242216797</v>
      </c>
      <c r="T128">
        <v>1.2633646523348501</v>
      </c>
      <c r="U128">
        <v>-0.89805054032117204</v>
      </c>
      <c r="V128">
        <v>-4.4202728148469301</v>
      </c>
      <c r="W128">
        <v>-2.6648657688321702</v>
      </c>
      <c r="X128">
        <v>1.5335805145855299</v>
      </c>
      <c r="Y128">
        <v>-3.4326465305267599</v>
      </c>
      <c r="Z128">
        <v>-4.6453453485797596</v>
      </c>
    </row>
    <row r="129" spans="1:26" x14ac:dyDescent="0.25">
      <c r="A129" s="20"/>
      <c r="B129" s="8">
        <v>209.3</v>
      </c>
      <c r="C129" s="8">
        <v>0.31089</v>
      </c>
      <c r="F129" s="8">
        <v>218.95</v>
      </c>
      <c r="G129" s="8">
        <v>11.5809</v>
      </c>
      <c r="H129" s="20"/>
      <c r="J129" s="8">
        <v>175.34</v>
      </c>
      <c r="K129" s="8">
        <v>1</v>
      </c>
      <c r="L129" s="34">
        <v>17409.860403989602</v>
      </c>
      <c r="M129" s="34">
        <v>17480.895897616701</v>
      </c>
      <c r="N129">
        <v>0.52831975869311099</v>
      </c>
      <c r="O129">
        <v>0.53048680844496998</v>
      </c>
      <c r="R129" s="16">
        <v>24.21</v>
      </c>
      <c r="S129" s="16">
        <f t="shared" si="32"/>
        <v>12.009643431156617</v>
      </c>
      <c r="T129">
        <v>1.27331937131878</v>
      </c>
      <c r="U129">
        <v>-0.94433885964668296</v>
      </c>
      <c r="V129">
        <v>-3.9001083122234301</v>
      </c>
      <c r="W129">
        <v>-2.4665840615330299</v>
      </c>
      <c r="X129">
        <v>1.57445227834098</v>
      </c>
      <c r="Y129">
        <v>-3.0984141632791702</v>
      </c>
      <c r="Z129">
        <v>-4.0816164470537002</v>
      </c>
    </row>
    <row r="130" spans="1:26" x14ac:dyDescent="0.25">
      <c r="A130" s="20"/>
      <c r="B130" s="8">
        <v>210.73</v>
      </c>
      <c r="C130" s="8">
        <v>0.34433999999999998</v>
      </c>
      <c r="F130" s="8">
        <v>219.98</v>
      </c>
      <c r="G130" s="8">
        <v>16.515250000000002</v>
      </c>
      <c r="H130" s="20"/>
      <c r="K130" s="8">
        <v>2</v>
      </c>
      <c r="L130" s="34">
        <v>17480.895897616701</v>
      </c>
      <c r="M130" s="34">
        <v>17480.8958995225</v>
      </c>
      <c r="N130">
        <v>0.53048680844496998</v>
      </c>
      <c r="O130">
        <v>0.53048680850310903</v>
      </c>
      <c r="R130" s="16">
        <v>29.23</v>
      </c>
      <c r="S130" s="16">
        <f t="shared" si="32"/>
        <v>14.499871024068892</v>
      </c>
      <c r="T130">
        <v>1.2789735832448199</v>
      </c>
      <c r="U130">
        <v>-0.65499152409519201</v>
      </c>
      <c r="V130">
        <v>-0.174515640611628</v>
      </c>
      <c r="W130">
        <v>-0.63619374547589702</v>
      </c>
      <c r="X130">
        <v>1.64996419250605</v>
      </c>
      <c r="Y130">
        <v>-0.46170901101897099</v>
      </c>
      <c r="Z130">
        <v>-0.102254626599764</v>
      </c>
    </row>
    <row r="131" spans="1:26" x14ac:dyDescent="0.25">
      <c r="A131" s="20"/>
      <c r="B131" s="8">
        <v>210.93</v>
      </c>
      <c r="C131" s="8">
        <v>0.34927000000000002</v>
      </c>
      <c r="F131" s="8">
        <v>219.99</v>
      </c>
      <c r="G131" s="8">
        <v>16.56344</v>
      </c>
      <c r="H131" s="20"/>
      <c r="K131" s="8">
        <v>3</v>
      </c>
      <c r="L131" s="34">
        <v>17480.8958995225</v>
      </c>
      <c r="M131" s="34">
        <v>17480.8958995225</v>
      </c>
      <c r="N131">
        <v>0.53048680850310903</v>
      </c>
      <c r="O131">
        <v>0.53048680850311003</v>
      </c>
      <c r="R131" s="16">
        <v>31.321999999999999</v>
      </c>
      <c r="S131" s="16">
        <f t="shared" si="32"/>
        <v>15.537631208206836</v>
      </c>
      <c r="T131">
        <v>1.27862003801876</v>
      </c>
      <c r="U131">
        <v>-0.41426337254102502</v>
      </c>
      <c r="V131">
        <v>2.2015830051060599</v>
      </c>
      <c r="W131">
        <v>0.56645647755859796</v>
      </c>
      <c r="X131">
        <v>1.67980288230075</v>
      </c>
      <c r="Y131">
        <v>1.2405163835697199</v>
      </c>
      <c r="Z131">
        <v>2.43082734774802</v>
      </c>
    </row>
    <row r="132" spans="1:26" x14ac:dyDescent="0.25">
      <c r="A132" s="20"/>
      <c r="B132" s="8">
        <v>211.11</v>
      </c>
      <c r="C132" s="8">
        <v>0.35376000000000002</v>
      </c>
      <c r="F132" s="8">
        <v>221.94</v>
      </c>
      <c r="G132" s="8">
        <v>26.065539999999999</v>
      </c>
      <c r="H132" s="20"/>
      <c r="J132" s="8">
        <v>179.73</v>
      </c>
      <c r="K132" s="8">
        <v>1</v>
      </c>
      <c r="L132" s="34">
        <v>26851.4287266545</v>
      </c>
      <c r="M132" s="34">
        <v>26957.384244643901</v>
      </c>
      <c r="N132">
        <v>0.79665900322806804</v>
      </c>
      <c r="O132">
        <v>0.79982623595638802</v>
      </c>
      <c r="R132" s="16">
        <v>35</v>
      </c>
      <c r="S132" s="16">
        <f t="shared" si="32"/>
        <v>17.362144572097545</v>
      </c>
      <c r="T132">
        <v>1.27863993319252</v>
      </c>
      <c r="U132" s="13">
        <v>1.40791823276932E-2</v>
      </c>
      <c r="V132">
        <v>6.6712247996929097</v>
      </c>
      <c r="W132">
        <v>2.8071626526847</v>
      </c>
      <c r="X132">
        <v>1.73883124800902</v>
      </c>
      <c r="Y132">
        <v>4.4289220411195096</v>
      </c>
      <c r="Z132">
        <v>7.1992616750321998</v>
      </c>
    </row>
    <row r="133" spans="1:26" x14ac:dyDescent="0.25">
      <c r="A133" s="20"/>
      <c r="B133" s="8">
        <v>211.23</v>
      </c>
      <c r="C133" s="8">
        <v>0.35677999999999999</v>
      </c>
      <c r="F133" s="8">
        <v>222.03</v>
      </c>
      <c r="G133" s="8">
        <v>26.509029999999999</v>
      </c>
      <c r="H133" s="20"/>
      <c r="K133" s="8">
        <v>2</v>
      </c>
      <c r="L133" s="34">
        <v>26957.384244643901</v>
      </c>
      <c r="M133" s="34">
        <v>26957.384247351602</v>
      </c>
      <c r="N133">
        <v>0.79982623595638802</v>
      </c>
      <c r="O133">
        <v>0.79982623603733005</v>
      </c>
      <c r="R133" s="16">
        <v>40</v>
      </c>
      <c r="S133" s="16">
        <f t="shared" si="32"/>
        <v>19.842450939540051</v>
      </c>
      <c r="T133">
        <v>1.2956617440153499</v>
      </c>
      <c r="U133">
        <v>0.19063078508219999</v>
      </c>
      <c r="V133">
        <v>11.022982108831901</v>
      </c>
      <c r="W133">
        <v>4.8112101514985497</v>
      </c>
      <c r="X133">
        <v>1.85837840840321</v>
      </c>
      <c r="Y133">
        <v>7.4252595708473299</v>
      </c>
      <c r="Z133">
        <v>11.8685716136983</v>
      </c>
    </row>
    <row r="134" spans="1:26" x14ac:dyDescent="0.25">
      <c r="A134" s="20"/>
      <c r="B134" s="8">
        <v>211.29</v>
      </c>
      <c r="C134" s="8">
        <v>0.35830000000000001</v>
      </c>
      <c r="F134" s="8">
        <v>226.25</v>
      </c>
      <c r="G134" s="8">
        <v>47.774900000000002</v>
      </c>
      <c r="H134" s="20"/>
      <c r="K134" s="8">
        <v>3</v>
      </c>
      <c r="L134" s="34">
        <v>26957.384247351602</v>
      </c>
      <c r="M134" s="34">
        <v>26957.384247351602</v>
      </c>
      <c r="N134">
        <v>0.79982623603733005</v>
      </c>
      <c r="O134">
        <v>0.79982623603733005</v>
      </c>
      <c r="R134" s="16">
        <v>45</v>
      </c>
      <c r="S134" s="16">
        <f t="shared" si="32"/>
        <v>22.322757306982556</v>
      </c>
      <c r="T134">
        <v>1.3911231061451701</v>
      </c>
      <c r="U134">
        <v>-0.47283937703831902</v>
      </c>
      <c r="V134">
        <v>10.972160967202299</v>
      </c>
      <c r="W134">
        <v>4.3054839160563096</v>
      </c>
      <c r="X134">
        <v>2.0916804298929801</v>
      </c>
      <c r="Y134">
        <v>7.0982555241549399</v>
      </c>
      <c r="Z134">
        <v>11.885691955234901</v>
      </c>
    </row>
    <row r="135" spans="1:26" x14ac:dyDescent="0.25">
      <c r="A135" s="20"/>
      <c r="B135" s="8">
        <v>213.19</v>
      </c>
      <c r="C135" s="8">
        <v>0.40949999999999998</v>
      </c>
      <c r="F135" s="8">
        <v>235.25</v>
      </c>
      <c r="G135" s="8">
        <v>96.021569999999997</v>
      </c>
      <c r="H135" s="20"/>
      <c r="I135" s="12"/>
      <c r="J135" s="8">
        <v>183.02</v>
      </c>
      <c r="K135" s="8">
        <v>1</v>
      </c>
      <c r="L135" s="34">
        <v>36637.763217601198</v>
      </c>
      <c r="M135" s="34">
        <v>36775.748357995901</v>
      </c>
      <c r="N135">
        <v>1.0697076536772701</v>
      </c>
      <c r="O135">
        <v>1.0737753479305201</v>
      </c>
      <c r="R135" s="16">
        <v>50</v>
      </c>
      <c r="S135" s="16">
        <f t="shared" si="32"/>
        <v>24.803063674425065</v>
      </c>
      <c r="T135">
        <v>1.69730120973218</v>
      </c>
      <c r="U135">
        <v>-1.81582642638181</v>
      </c>
      <c r="V135">
        <v>6.5431454246426197</v>
      </c>
      <c r="W135">
        <v>1.4099008960605599</v>
      </c>
      <c r="X135">
        <v>2.57005301159578</v>
      </c>
      <c r="Y135">
        <v>3.5306847329037598</v>
      </c>
      <c r="Z135">
        <v>7.2604060265998704</v>
      </c>
    </row>
    <row r="136" spans="1:26" x14ac:dyDescent="0.25">
      <c r="A136" s="20"/>
      <c r="B136" s="8">
        <v>213.27</v>
      </c>
      <c r="C136" s="17">
        <v>0.4118</v>
      </c>
      <c r="F136" s="8">
        <v>242.65</v>
      </c>
      <c r="G136" s="8">
        <v>138.42627999999999</v>
      </c>
      <c r="H136" s="20"/>
      <c r="K136" s="8">
        <v>2</v>
      </c>
      <c r="L136" s="34">
        <v>36775.748357995901</v>
      </c>
      <c r="M136" s="34">
        <v>36775.748361288097</v>
      </c>
      <c r="N136">
        <v>1.0737753479305201</v>
      </c>
      <c r="O136">
        <v>1.07377534802757</v>
      </c>
      <c r="R136" s="16">
        <v>55</v>
      </c>
      <c r="S136" s="16">
        <f t="shared" si="32"/>
        <v>27.28337004186757</v>
      </c>
      <c r="T136">
        <v>2.4198204120836899</v>
      </c>
      <c r="U136">
        <v>-3.1673065554842901</v>
      </c>
      <c r="V136">
        <v>0.27843126589238498</v>
      </c>
      <c r="W136">
        <v>-2.3182863103563198</v>
      </c>
      <c r="X136">
        <v>3.4891296045393898</v>
      </c>
      <c r="Y136">
        <v>-1.2948475455958499</v>
      </c>
      <c r="Z136">
        <v>0.66414795628013501</v>
      </c>
    </row>
    <row r="137" spans="1:26" x14ac:dyDescent="0.25">
      <c r="A137" s="20"/>
      <c r="B137" s="8">
        <v>213.28</v>
      </c>
      <c r="C137" s="8">
        <v>0.41208</v>
      </c>
      <c r="F137" s="8">
        <v>242.66</v>
      </c>
      <c r="G137" s="8">
        <v>138.48518000000001</v>
      </c>
      <c r="H137" s="20"/>
      <c r="K137" s="8">
        <v>3</v>
      </c>
      <c r="L137" s="34">
        <v>36775.748361288097</v>
      </c>
      <c r="M137" s="34">
        <v>36775.748361288097</v>
      </c>
      <c r="N137">
        <v>1.07377534802757</v>
      </c>
      <c r="O137">
        <v>1.07377534802757</v>
      </c>
      <c r="R137" s="16">
        <v>60</v>
      </c>
      <c r="S137" s="16">
        <f t="shared" si="32"/>
        <v>29.763676409310076</v>
      </c>
      <c r="T137">
        <v>3.8245721792730998</v>
      </c>
      <c r="U137">
        <v>-3.7566830354668999</v>
      </c>
      <c r="V137">
        <v>-4.7691924139920596</v>
      </c>
      <c r="W137">
        <v>-5.0517197563801304</v>
      </c>
      <c r="X137">
        <v>5.1046845609105702</v>
      </c>
      <c r="Y137">
        <v>-5.0261788509905996</v>
      </c>
      <c r="Z137">
        <v>-4.6877079542973199</v>
      </c>
    </row>
    <row r="138" spans="1:26" x14ac:dyDescent="0.25">
      <c r="A138" s="20"/>
      <c r="B138" s="8">
        <v>213.35</v>
      </c>
      <c r="C138" s="8">
        <v>0.41410000000000002</v>
      </c>
      <c r="F138" s="8">
        <v>252.25</v>
      </c>
      <c r="G138" s="8">
        <v>196.88381000000001</v>
      </c>
      <c r="H138" s="20"/>
      <c r="J138" s="8">
        <v>185.23</v>
      </c>
      <c r="K138" s="8">
        <v>1</v>
      </c>
      <c r="L138" s="34">
        <v>44860.268270530898</v>
      </c>
      <c r="M138" s="34">
        <v>45021.156850212901</v>
      </c>
      <c r="N138">
        <v>1.2963195343097</v>
      </c>
      <c r="O138">
        <v>1.30102172371767</v>
      </c>
      <c r="R138" s="16">
        <v>65</v>
      </c>
      <c r="S138" s="16">
        <f t="shared" si="32"/>
        <v>32.243982776752581</v>
      </c>
      <c r="T138">
        <v>6.2322951857389599</v>
      </c>
      <c r="U138">
        <v>-3.03776030853553</v>
      </c>
      <c r="V138">
        <v>-6.8309658234981798</v>
      </c>
      <c r="W138">
        <v>-5.6981128495762698</v>
      </c>
      <c r="X138">
        <v>7.7325073124325199</v>
      </c>
      <c r="Y138">
        <v>-6.2849441010462899</v>
      </c>
      <c r="Z138">
        <v>-6.93472582054242</v>
      </c>
    </row>
    <row r="139" spans="1:26" x14ac:dyDescent="0.25">
      <c r="A139" s="20"/>
      <c r="B139" s="8">
        <v>213.39</v>
      </c>
      <c r="C139" s="17">
        <v>0.41526000000000002</v>
      </c>
      <c r="F139" s="8">
        <v>259.08999999999997</v>
      </c>
      <c r="G139" s="8">
        <v>240.81712999999999</v>
      </c>
      <c r="H139" s="20"/>
      <c r="K139" s="8">
        <v>2</v>
      </c>
      <c r="L139" s="34">
        <v>45021.156850212901</v>
      </c>
      <c r="M139" s="34">
        <v>45021.156853786903</v>
      </c>
      <c r="N139">
        <v>1.30102172371767</v>
      </c>
      <c r="O139">
        <v>1.30102172382213</v>
      </c>
      <c r="R139" s="16">
        <v>70</v>
      </c>
      <c r="S139" s="16">
        <f t="shared" si="32"/>
        <v>34.72428914419509</v>
      </c>
      <c r="T139">
        <v>10.0213707571756</v>
      </c>
      <c r="U139">
        <v>-0.69317165821681304</v>
      </c>
      <c r="V139">
        <v>-5.72236793633137</v>
      </c>
      <c r="W139">
        <v>-4.0232971395903103</v>
      </c>
      <c r="X139">
        <v>11.7489398156118</v>
      </c>
      <c r="Y139">
        <v>-4.8623644176863099</v>
      </c>
      <c r="Z139">
        <v>-5.8967629712458196</v>
      </c>
    </row>
    <row r="140" spans="1:26" x14ac:dyDescent="0.25">
      <c r="A140" s="20"/>
      <c r="B140" s="8">
        <v>213.41</v>
      </c>
      <c r="C140" s="17">
        <v>0.41583999999999999</v>
      </c>
      <c r="F140" s="8">
        <v>259.2</v>
      </c>
      <c r="G140" s="8">
        <v>241.53886</v>
      </c>
      <c r="H140" s="20"/>
      <c r="K140" s="8">
        <v>3</v>
      </c>
      <c r="L140" s="34">
        <v>45021.156853786903</v>
      </c>
      <c r="M140" s="34">
        <v>45021.156853786903</v>
      </c>
      <c r="N140">
        <v>1.30102172382213</v>
      </c>
      <c r="O140">
        <v>1.30102172382213</v>
      </c>
      <c r="R140" s="16">
        <v>75</v>
      </c>
      <c r="S140" s="16">
        <f t="shared" si="32"/>
        <v>37.204595511637592</v>
      </c>
      <c r="T140">
        <v>15.6193607944116</v>
      </c>
      <c r="U140">
        <v>3.5646003733473099</v>
      </c>
      <c r="V140">
        <v>-1.9556612377251399</v>
      </c>
      <c r="W140">
        <v>-0.112837719574594</v>
      </c>
      <c r="X140">
        <v>17.577155401087701</v>
      </c>
      <c r="Y140">
        <v>-1.0277023862796999</v>
      </c>
      <c r="Z140">
        <v>-2.1421460251275</v>
      </c>
    </row>
    <row r="141" spans="1:26" x14ac:dyDescent="0.25">
      <c r="A141" s="20"/>
      <c r="B141" s="8">
        <v>213.43</v>
      </c>
      <c r="C141" s="17">
        <v>0.41642000000000001</v>
      </c>
      <c r="F141" s="8">
        <v>261.62</v>
      </c>
      <c r="G141" s="8">
        <v>257.53726999999998</v>
      </c>
      <c r="H141" s="20"/>
      <c r="J141" s="8">
        <v>189.88</v>
      </c>
      <c r="K141" s="8">
        <v>1</v>
      </c>
      <c r="L141" s="34">
        <v>67639.8107489018</v>
      </c>
      <c r="M141" s="34">
        <v>67844.457203498503</v>
      </c>
      <c r="N141">
        <v>1.9150460583500699</v>
      </c>
      <c r="O141">
        <v>1.9209325643440001</v>
      </c>
      <c r="R141" s="16">
        <v>80</v>
      </c>
      <c r="S141" s="16">
        <f t="shared" si="32"/>
        <v>39.684901879080101</v>
      </c>
      <c r="T141">
        <v>23.474129439715099</v>
      </c>
      <c r="U141">
        <v>10.146114192918899</v>
      </c>
      <c r="V141">
        <v>4.2345683169553796</v>
      </c>
      <c r="W141">
        <v>6.1660254440950704</v>
      </c>
      <c r="X141">
        <v>25.6564398793581</v>
      </c>
      <c r="Y141">
        <v>5.1976781272296</v>
      </c>
      <c r="Z141">
        <v>4.0441510019626099</v>
      </c>
    </row>
    <row r="142" spans="1:26" x14ac:dyDescent="0.25">
      <c r="A142" s="20"/>
      <c r="B142" s="8">
        <v>213.47</v>
      </c>
      <c r="C142" s="8">
        <v>0.41758000000000001</v>
      </c>
      <c r="F142" s="8">
        <v>265.67</v>
      </c>
      <c r="G142" s="8">
        <v>284.82368000000002</v>
      </c>
      <c r="H142" s="20"/>
      <c r="K142" s="8">
        <v>2</v>
      </c>
      <c r="L142" s="34">
        <v>67844.457203498503</v>
      </c>
      <c r="M142" s="34">
        <v>67844.4572070797</v>
      </c>
      <c r="N142">
        <v>1.9209325643440001</v>
      </c>
      <c r="O142">
        <v>1.9209325644470201</v>
      </c>
      <c r="R142" s="16">
        <v>85</v>
      </c>
      <c r="S142" s="16">
        <f t="shared" si="32"/>
        <v>42.16520824652261</v>
      </c>
      <c r="T142">
        <v>34.021893196194803</v>
      </c>
      <c r="U142">
        <v>19.578587251223901</v>
      </c>
      <c r="V142">
        <v>13.2347268492891</v>
      </c>
      <c r="W142">
        <v>15.3067380591014</v>
      </c>
      <c r="X142">
        <v>36.413134537445202</v>
      </c>
      <c r="Y142">
        <v>14.2665638649264</v>
      </c>
      <c r="Z142">
        <v>13.031620077101</v>
      </c>
    </row>
    <row r="143" spans="1:26" x14ac:dyDescent="0.25">
      <c r="A143" s="20"/>
      <c r="B143" s="8">
        <v>213.51</v>
      </c>
      <c r="C143" s="17">
        <v>0.41875000000000001</v>
      </c>
      <c r="F143" s="8">
        <v>266</v>
      </c>
      <c r="G143" s="8">
        <v>287.07508000000001</v>
      </c>
      <c r="H143" s="20"/>
      <c r="K143" s="8">
        <v>3</v>
      </c>
      <c r="L143" s="34">
        <v>67844.4572070797</v>
      </c>
      <c r="M143" s="34">
        <v>67844.4572070797</v>
      </c>
      <c r="N143">
        <v>1.9209325644470201</v>
      </c>
      <c r="O143">
        <v>1.9209325644470201</v>
      </c>
      <c r="R143" s="16">
        <v>90</v>
      </c>
      <c r="S143" s="16">
        <f t="shared" si="32"/>
        <v>44.645514613965112</v>
      </c>
      <c r="T143">
        <v>47.678431516129898</v>
      </c>
      <c r="U143">
        <v>32.412519134028997</v>
      </c>
      <c r="V143">
        <v>25.822351976509299</v>
      </c>
      <c r="W143">
        <v>27.989307724707899</v>
      </c>
      <c r="X143">
        <v>50.2557051380697</v>
      </c>
      <c r="Y143">
        <v>26.904847088434501</v>
      </c>
      <c r="Z143">
        <v>25.608577993297398</v>
      </c>
    </row>
    <row r="144" spans="1:26" x14ac:dyDescent="0.25">
      <c r="A144" s="20"/>
      <c r="B144" s="8">
        <v>213.54</v>
      </c>
      <c r="C144" s="17">
        <v>0.41961999999999999</v>
      </c>
      <c r="H144" s="20"/>
      <c r="J144" s="8">
        <v>194.54</v>
      </c>
      <c r="K144" s="8">
        <v>1</v>
      </c>
      <c r="L144" s="36">
        <v>100121.36067268001</v>
      </c>
      <c r="M144" s="36">
        <v>100343.508920286</v>
      </c>
      <c r="N144">
        <v>2.7827940431334799</v>
      </c>
      <c r="O144">
        <v>2.7891047730286198</v>
      </c>
      <c r="R144" s="16">
        <v>95</v>
      </c>
      <c r="S144" s="16">
        <f t="shared" si="32"/>
        <v>47.125820981407621</v>
      </c>
      <c r="T144">
        <v>64.861213064008197</v>
      </c>
      <c r="U144">
        <v>49.162510870705603</v>
      </c>
      <c r="V144">
        <v>42.806538635726398</v>
      </c>
      <c r="W144">
        <v>44.874099710700698</v>
      </c>
      <c r="X144">
        <v>67.597884289393093</v>
      </c>
      <c r="Y144">
        <v>43.838151981567002</v>
      </c>
      <c r="Z144">
        <v>42.603041039535903</v>
      </c>
    </row>
    <row r="145" spans="1:26" x14ac:dyDescent="0.25">
      <c r="A145" s="20"/>
      <c r="B145" s="8">
        <v>213.68</v>
      </c>
      <c r="C145" s="17">
        <v>0.42373</v>
      </c>
      <c r="H145" s="20"/>
      <c r="K145" s="8">
        <v>2</v>
      </c>
      <c r="L145" s="36">
        <v>100343.508920286</v>
      </c>
      <c r="M145" s="36">
        <v>100343.508922906</v>
      </c>
      <c r="N145">
        <v>2.7891047730286198</v>
      </c>
      <c r="O145">
        <v>2.7891047731030398</v>
      </c>
      <c r="R145" s="16">
        <v>100</v>
      </c>
      <c r="S145" s="16">
        <f t="shared" si="32"/>
        <v>49.60612734885013</v>
      </c>
      <c r="T145">
        <v>86.026227715793596</v>
      </c>
      <c r="U145">
        <v>70.327301412780102</v>
      </c>
      <c r="V145">
        <v>64.8582876385139</v>
      </c>
      <c r="W145">
        <v>66.538342632483605</v>
      </c>
      <c r="X145">
        <v>88.893371893315603</v>
      </c>
      <c r="Y145">
        <v>65.683493009406007</v>
      </c>
      <c r="Z145">
        <v>64.6986765281289</v>
      </c>
    </row>
    <row r="146" spans="1:26" x14ac:dyDescent="0.25">
      <c r="A146" s="20"/>
      <c r="B146" s="8">
        <v>213.7</v>
      </c>
      <c r="C146" s="17">
        <v>0.42431999999999997</v>
      </c>
      <c r="H146" s="20"/>
      <c r="K146" s="8">
        <v>3</v>
      </c>
      <c r="L146" s="36">
        <v>100343.508922906</v>
      </c>
      <c r="M146" s="36">
        <v>100343.508922906</v>
      </c>
      <c r="N146">
        <v>2.7891047731030398</v>
      </c>
      <c r="O146">
        <v>2.7891047731030301</v>
      </c>
    </row>
    <row r="147" spans="1:26" x14ac:dyDescent="0.25">
      <c r="A147" s="20"/>
      <c r="B147" s="8">
        <v>213.73</v>
      </c>
      <c r="C147" s="17">
        <v>0.42520999999999998</v>
      </c>
      <c r="H147" s="20"/>
      <c r="J147" s="8">
        <v>201.74</v>
      </c>
      <c r="K147" s="8">
        <v>1</v>
      </c>
      <c r="L147" s="36">
        <v>177384.29611464599</v>
      </c>
      <c r="M147" s="36">
        <v>177505.766655107</v>
      </c>
      <c r="N147">
        <v>4.81461694088049</v>
      </c>
      <c r="O147">
        <v>4.8180319025906799</v>
      </c>
    </row>
    <row r="148" spans="1:26" x14ac:dyDescent="0.25">
      <c r="A148" s="20"/>
      <c r="B148" s="8">
        <v>213.8</v>
      </c>
      <c r="C148" s="17">
        <v>0.42729</v>
      </c>
      <c r="H148" s="20"/>
      <c r="K148" s="8">
        <v>2</v>
      </c>
      <c r="L148" s="36">
        <v>177505.766655107</v>
      </c>
      <c r="M148" s="36">
        <v>177505.76665551899</v>
      </c>
      <c r="N148">
        <v>4.8180319025906799</v>
      </c>
      <c r="O148">
        <v>4.8180319026022396</v>
      </c>
    </row>
    <row r="149" spans="1:26" x14ac:dyDescent="0.25">
      <c r="A149" s="20"/>
      <c r="B149" s="8">
        <v>213.85</v>
      </c>
      <c r="C149" s="17">
        <v>0.42876999999999998</v>
      </c>
      <c r="H149" s="20"/>
      <c r="K149" s="8"/>
    </row>
    <row r="150" spans="1:26" x14ac:dyDescent="0.25">
      <c r="A150" s="20"/>
      <c r="B150" s="8">
        <v>213.92</v>
      </c>
      <c r="C150" s="17">
        <v>0.43086999999999998</v>
      </c>
      <c r="H150" s="20"/>
    </row>
    <row r="151" spans="1:26" x14ac:dyDescent="0.25">
      <c r="A151" s="20"/>
      <c r="B151" s="8">
        <v>214.17</v>
      </c>
      <c r="C151" s="17">
        <v>0.43841000000000002</v>
      </c>
      <c r="H151" s="20"/>
    </row>
    <row r="152" spans="1:26" x14ac:dyDescent="0.25">
      <c r="A152" s="20"/>
      <c r="B152" s="8">
        <v>214.23</v>
      </c>
      <c r="C152" s="17">
        <v>0.44024000000000002</v>
      </c>
      <c r="H152" s="20"/>
      <c r="K152">
        <v>1</v>
      </c>
      <c r="L152" s="8">
        <v>217</v>
      </c>
      <c r="M152">
        <v>0.52720999999999996</v>
      </c>
    </row>
    <row r="153" spans="1:26" x14ac:dyDescent="0.25">
      <c r="A153" s="20"/>
      <c r="B153" s="8">
        <v>214.34</v>
      </c>
      <c r="C153" s="17">
        <v>0.44361</v>
      </c>
      <c r="H153" s="20"/>
      <c r="K153">
        <v>2</v>
      </c>
      <c r="L153" s="8">
        <v>220</v>
      </c>
      <c r="M153">
        <v>0.59913000000000005</v>
      </c>
    </row>
    <row r="154" spans="1:26" x14ac:dyDescent="0.25">
      <c r="A154" s="20"/>
      <c r="B154" s="8">
        <v>214.37</v>
      </c>
      <c r="C154" s="17">
        <v>0.44452999999999998</v>
      </c>
      <c r="H154" s="20"/>
      <c r="K154">
        <v>3</v>
      </c>
      <c r="L154" s="8">
        <v>225</v>
      </c>
      <c r="M154">
        <v>0.73507999999999996</v>
      </c>
    </row>
    <row r="155" spans="1:26" x14ac:dyDescent="0.25">
      <c r="A155" s="20"/>
      <c r="B155" s="8">
        <v>214.39</v>
      </c>
      <c r="C155" s="17">
        <v>0.44514999999999999</v>
      </c>
      <c r="H155" s="20"/>
      <c r="K155">
        <v>4</v>
      </c>
      <c r="L155" s="8">
        <v>230</v>
      </c>
      <c r="M155">
        <v>0.89290999999999998</v>
      </c>
    </row>
    <row r="156" spans="1:26" x14ac:dyDescent="0.25">
      <c r="A156" s="20"/>
      <c r="B156" s="8">
        <v>214.4</v>
      </c>
      <c r="C156" s="17">
        <v>0.44546000000000002</v>
      </c>
      <c r="H156" s="20"/>
      <c r="K156">
        <v>5</v>
      </c>
      <c r="L156" s="8">
        <v>235</v>
      </c>
      <c r="M156">
        <v>1.0746599999999999</v>
      </c>
    </row>
    <row r="157" spans="1:26" x14ac:dyDescent="0.25">
      <c r="A157" s="20"/>
      <c r="B157" s="8">
        <v>214.46</v>
      </c>
      <c r="C157" s="17">
        <v>0.44730999999999999</v>
      </c>
      <c r="H157" s="20"/>
      <c r="K157">
        <v>6</v>
      </c>
      <c r="L157" s="8">
        <v>240</v>
      </c>
      <c r="M157">
        <v>1.2824800000000001</v>
      </c>
    </row>
    <row r="158" spans="1:26" x14ac:dyDescent="0.25">
      <c r="A158" s="20"/>
      <c r="B158" s="8">
        <v>214.52</v>
      </c>
      <c r="C158" s="17">
        <v>0.44917000000000001</v>
      </c>
      <c r="H158" s="20"/>
      <c r="K158">
        <v>7</v>
      </c>
      <c r="L158" s="8">
        <v>245</v>
      </c>
      <c r="M158">
        <v>1.5185200000000001</v>
      </c>
    </row>
    <row r="159" spans="1:26" x14ac:dyDescent="0.25">
      <c r="A159" s="20"/>
      <c r="B159" s="8">
        <v>214.56</v>
      </c>
      <c r="C159" s="17">
        <v>0.45041999999999999</v>
      </c>
      <c r="H159" s="20"/>
      <c r="K159">
        <v>8</v>
      </c>
      <c r="L159" s="8">
        <v>250</v>
      </c>
      <c r="M159">
        <v>1.78505</v>
      </c>
    </row>
    <row r="160" spans="1:26" x14ac:dyDescent="0.25">
      <c r="A160" s="20"/>
      <c r="B160" s="8">
        <v>214.62</v>
      </c>
      <c r="C160" s="17">
        <v>0.45229000000000003</v>
      </c>
      <c r="H160" s="20"/>
      <c r="K160">
        <v>9</v>
      </c>
      <c r="L160" s="8">
        <v>255</v>
      </c>
      <c r="M160">
        <v>2.08432</v>
      </c>
    </row>
    <row r="161" spans="1:13" x14ac:dyDescent="0.25">
      <c r="A161" s="20"/>
      <c r="B161" s="8">
        <v>214.74</v>
      </c>
      <c r="C161" s="17">
        <v>0.45606000000000002</v>
      </c>
      <c r="H161" s="20"/>
      <c r="K161">
        <v>10</v>
      </c>
      <c r="L161" s="8">
        <v>260</v>
      </c>
      <c r="M161">
        <v>2.4188000000000001</v>
      </c>
    </row>
    <row r="162" spans="1:13" x14ac:dyDescent="0.25">
      <c r="A162" s="20"/>
      <c r="B162" s="8">
        <v>214.85</v>
      </c>
      <c r="C162" s="17">
        <v>0.45954</v>
      </c>
      <c r="H162" s="20"/>
      <c r="K162">
        <v>11</v>
      </c>
      <c r="L162" s="8">
        <v>265</v>
      </c>
      <c r="M162">
        <v>2.7908900000000001</v>
      </c>
    </row>
    <row r="163" spans="1:13" x14ac:dyDescent="0.25">
      <c r="A163" s="20"/>
      <c r="B163" s="8">
        <v>214.91</v>
      </c>
      <c r="C163" s="17">
        <v>0.46145000000000003</v>
      </c>
      <c r="H163" s="20"/>
      <c r="K163">
        <v>12</v>
      </c>
      <c r="L163" s="8">
        <v>270</v>
      </c>
      <c r="M163">
        <v>3.2033200000000002</v>
      </c>
    </row>
    <row r="164" spans="1:13" x14ac:dyDescent="0.25">
      <c r="A164" s="20"/>
      <c r="B164" s="8">
        <v>215.01</v>
      </c>
      <c r="C164" s="17">
        <v>0.46464</v>
      </c>
      <c r="H164" s="20"/>
      <c r="K164">
        <v>13</v>
      </c>
      <c r="L164" s="8">
        <v>275</v>
      </c>
      <c r="M164">
        <v>3.65889</v>
      </c>
    </row>
    <row r="165" spans="1:13" x14ac:dyDescent="0.25">
      <c r="A165" s="20"/>
      <c r="B165" s="8">
        <v>215.31</v>
      </c>
      <c r="C165" s="17">
        <v>0.47434999999999999</v>
      </c>
      <c r="H165" s="20"/>
      <c r="K165">
        <v>14</v>
      </c>
      <c r="L165" s="8">
        <v>280</v>
      </c>
      <c r="M165">
        <v>4.1607399999999997</v>
      </c>
    </row>
    <row r="166" spans="1:13" x14ac:dyDescent="0.25">
      <c r="A166" s="20"/>
      <c r="B166" s="8">
        <v>215.6</v>
      </c>
      <c r="C166" s="17">
        <v>0.48391000000000001</v>
      </c>
      <c r="H166" s="20"/>
      <c r="K166">
        <v>15</v>
      </c>
      <c r="L166" s="8">
        <v>285</v>
      </c>
      <c r="M166">
        <v>4.7122999999999999</v>
      </c>
    </row>
    <row r="167" spans="1:13" x14ac:dyDescent="0.25">
      <c r="A167" s="20"/>
      <c r="B167" s="8">
        <v>216.19</v>
      </c>
      <c r="C167" s="17">
        <v>0.50390000000000001</v>
      </c>
      <c r="H167" s="20"/>
      <c r="K167">
        <v>16</v>
      </c>
      <c r="L167" s="8">
        <v>290</v>
      </c>
      <c r="M167">
        <v>5.3180399999999999</v>
      </c>
    </row>
    <row r="168" spans="1:13" x14ac:dyDescent="0.25">
      <c r="A168" s="20"/>
      <c r="B168" s="8">
        <v>216.33</v>
      </c>
      <c r="C168" s="17">
        <v>0.50875000000000004</v>
      </c>
      <c r="H168" s="20"/>
      <c r="K168">
        <v>17</v>
      </c>
      <c r="L168" s="8">
        <v>295</v>
      </c>
      <c r="M168">
        <v>5.9835099999999999</v>
      </c>
    </row>
    <row r="169" spans="1:13" x14ac:dyDescent="0.25">
      <c r="A169" s="20"/>
      <c r="B169" s="8">
        <v>216.38</v>
      </c>
      <c r="C169" s="17">
        <v>0.51049999999999995</v>
      </c>
      <c r="H169" s="20"/>
      <c r="K169">
        <v>18</v>
      </c>
      <c r="L169" s="8">
        <v>297</v>
      </c>
      <c r="M169">
        <v>6.2681500000000003</v>
      </c>
    </row>
    <row r="170" spans="1:13" x14ac:dyDescent="0.25">
      <c r="A170" s="20"/>
      <c r="B170" s="8">
        <v>216.45</v>
      </c>
      <c r="C170" s="17">
        <v>0.51295000000000002</v>
      </c>
      <c r="H170" s="20"/>
      <c r="K170">
        <v>19</v>
      </c>
      <c r="L170" s="8">
        <v>299</v>
      </c>
      <c r="M170">
        <v>6.5637800000000004</v>
      </c>
    </row>
    <row r="171" spans="1:13" x14ac:dyDescent="0.25">
      <c r="A171" s="20"/>
      <c r="B171" s="8">
        <v>216.48</v>
      </c>
      <c r="C171" s="17">
        <v>0.51400000000000001</v>
      </c>
      <c r="H171" s="20"/>
      <c r="K171">
        <v>20</v>
      </c>
      <c r="L171" s="8">
        <v>300</v>
      </c>
      <c r="M171">
        <v>6.7158499999999997</v>
      </c>
    </row>
    <row r="172" spans="1:13" x14ac:dyDescent="0.25">
      <c r="A172" s="20"/>
      <c r="B172" s="8">
        <v>216.49</v>
      </c>
      <c r="C172" s="8">
        <v>0.51434999999999997</v>
      </c>
      <c r="H172" s="20"/>
      <c r="K172">
        <v>21</v>
      </c>
      <c r="L172" s="8">
        <v>301</v>
      </c>
      <c r="M172">
        <v>6.8705100000000003</v>
      </c>
    </row>
    <row r="173" spans="1:13" x14ac:dyDescent="0.25">
      <c r="A173" s="20"/>
      <c r="B173" s="8">
        <v>216.53</v>
      </c>
      <c r="C173" s="17">
        <v>0.51576</v>
      </c>
      <c r="H173" s="20"/>
      <c r="K173">
        <v>22</v>
      </c>
      <c r="L173" s="8">
        <v>302</v>
      </c>
      <c r="M173">
        <v>7.0281200000000004</v>
      </c>
    </row>
    <row r="174" spans="1:13" x14ac:dyDescent="0.25">
      <c r="A174" s="20"/>
      <c r="B174" s="8">
        <v>216.58</v>
      </c>
      <c r="C174" s="8">
        <v>0.51751999999999998</v>
      </c>
      <c r="H174" s="20"/>
      <c r="K174">
        <v>23</v>
      </c>
      <c r="L174" s="8">
        <v>302.5</v>
      </c>
      <c r="M174">
        <v>7.1082099999999997</v>
      </c>
    </row>
    <row r="175" spans="1:13" x14ac:dyDescent="0.25">
      <c r="A175" s="20"/>
      <c r="B175" s="8">
        <v>216.59</v>
      </c>
      <c r="C175" s="17">
        <v>0.51788000000000001</v>
      </c>
      <c r="H175" s="20"/>
      <c r="K175">
        <v>24</v>
      </c>
      <c r="L175" s="8">
        <v>303</v>
      </c>
      <c r="M175">
        <v>7.1894099999999996</v>
      </c>
    </row>
    <row r="176" spans="1:13" x14ac:dyDescent="0.25">
      <c r="A176" s="20"/>
      <c r="B176" s="8">
        <v>216.5932799</v>
      </c>
      <c r="C176" s="8">
        <v>0.51798999999999995</v>
      </c>
      <c r="H176" s="20"/>
      <c r="K176">
        <v>25</v>
      </c>
      <c r="L176" s="8">
        <v>303.39999999999998</v>
      </c>
      <c r="M176">
        <v>7.2551100000000002</v>
      </c>
    </row>
    <row r="177" spans="1:13" x14ac:dyDescent="0.25">
      <c r="A177" s="20"/>
      <c r="B177" s="20"/>
      <c r="C177" s="20"/>
      <c r="D177" s="20"/>
      <c r="E177" s="20"/>
      <c r="F177" s="20"/>
      <c r="G177" s="20"/>
      <c r="H177" s="20"/>
      <c r="K177">
        <v>26</v>
      </c>
      <c r="L177" s="8">
        <v>303.60000000000002</v>
      </c>
      <c r="M177">
        <v>7.2883199999999997</v>
      </c>
    </row>
    <row r="178" spans="1:13" x14ac:dyDescent="0.25">
      <c r="K178">
        <v>27</v>
      </c>
      <c r="L178" s="8">
        <v>303.8</v>
      </c>
      <c r="M178">
        <v>7.3217600000000003</v>
      </c>
    </row>
    <row r="179" spans="1:13" x14ac:dyDescent="0.25">
      <c r="K179">
        <v>28</v>
      </c>
      <c r="L179" s="8">
        <v>303.89999999999998</v>
      </c>
      <c r="M179">
        <v>7.3385800000000003</v>
      </c>
    </row>
    <row r="180" spans="1:13" x14ac:dyDescent="0.25">
      <c r="K180">
        <v>29</v>
      </c>
      <c r="L180" s="8">
        <v>304</v>
      </c>
      <c r="M180">
        <v>7.3554599999999999</v>
      </c>
    </row>
    <row r="181" spans="1:13" x14ac:dyDescent="0.25">
      <c r="K181">
        <v>30</v>
      </c>
      <c r="L181" s="8">
        <v>304.10000000000002</v>
      </c>
      <c r="M181">
        <v>7.3724299999999996</v>
      </c>
    </row>
    <row r="182" spans="1:13" x14ac:dyDescent="0.25">
      <c r="K182">
        <v>31</v>
      </c>
      <c r="L182" s="8">
        <v>304.12</v>
      </c>
      <c r="M182">
        <v>7.3758299999999997</v>
      </c>
    </row>
    <row r="183" spans="1:13" x14ac:dyDescent="0.25">
      <c r="K183">
        <v>32</v>
      </c>
      <c r="L183" s="8">
        <v>304.12700000000001</v>
      </c>
      <c r="M183">
        <v>7.3807900000000002</v>
      </c>
    </row>
    <row r="184" spans="1:13" x14ac:dyDescent="0.25">
      <c r="L184" s="8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3"/>
  <dimension ref="A2:K17"/>
  <sheetViews>
    <sheetView workbookViewId="0">
      <selection activeCell="M7" sqref="M7"/>
    </sheetView>
  </sheetViews>
  <sheetFormatPr defaultRowHeight="15" x14ac:dyDescent="0.25"/>
  <cols>
    <col min="3" max="3" width="10.5703125" customWidth="1"/>
    <col min="9" max="9" width="8" customWidth="1"/>
    <col min="10" max="10" width="10.140625" customWidth="1"/>
  </cols>
  <sheetData>
    <row r="2" spans="1:11" x14ac:dyDescent="0.25">
      <c r="A2" s="21"/>
      <c r="B2" s="21" t="s">
        <v>75</v>
      </c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ht="18" x14ac:dyDescent="0.35">
      <c r="A4" s="20"/>
      <c r="B4" s="25"/>
      <c r="C4" s="25" t="s">
        <v>77</v>
      </c>
      <c r="D4" s="25" t="s">
        <v>78</v>
      </c>
      <c r="E4" s="25" t="s">
        <v>80</v>
      </c>
      <c r="F4" s="25" t="s">
        <v>79</v>
      </c>
      <c r="H4" s="26" t="s">
        <v>69</v>
      </c>
      <c r="J4" s="25" t="s">
        <v>76</v>
      </c>
      <c r="K4" s="20"/>
    </row>
    <row r="5" spans="1:11" x14ac:dyDescent="0.25">
      <c r="A5" s="20"/>
      <c r="B5" t="s">
        <v>64</v>
      </c>
      <c r="C5" s="16">
        <v>44.009500000000003</v>
      </c>
      <c r="D5" s="16">
        <v>8801.9</v>
      </c>
      <c r="E5">
        <f>D5-273.15*C5</f>
        <v>-3219.2949250000001</v>
      </c>
      <c r="F5">
        <v>273.14999999999998</v>
      </c>
      <c r="H5" s="10">
        <f>D14-F5*C14</f>
        <v>-10622.983874999998</v>
      </c>
      <c r="J5" s="10">
        <f>E5-H5</f>
        <v>7403.6889499999979</v>
      </c>
      <c r="K5" s="20"/>
    </row>
    <row r="6" spans="1:11" x14ac:dyDescent="0.25">
      <c r="A6" s="20"/>
      <c r="B6" s="25" t="s">
        <v>65</v>
      </c>
      <c r="C6" s="27">
        <v>-76.533000000000001</v>
      </c>
      <c r="D6" s="27">
        <v>-13501.3</v>
      </c>
      <c r="E6" s="25">
        <f>D6-273.15*C6</f>
        <v>7403.6889499999997</v>
      </c>
      <c r="F6" s="25">
        <v>273.14999999999998</v>
      </c>
      <c r="H6" s="25"/>
      <c r="J6" s="25"/>
      <c r="K6" s="20"/>
    </row>
    <row r="7" spans="1:11" x14ac:dyDescent="0.25">
      <c r="A7" s="20"/>
      <c r="B7" s="28"/>
      <c r="C7" s="28"/>
      <c r="D7" s="28"/>
      <c r="E7" s="28"/>
      <c r="F7" s="28"/>
      <c r="H7" s="28"/>
      <c r="J7" s="28"/>
      <c r="K7" s="20"/>
    </row>
    <row r="8" spans="1:11" x14ac:dyDescent="0.25">
      <c r="A8" s="20"/>
      <c r="B8" t="s">
        <v>64</v>
      </c>
      <c r="C8" s="10">
        <v>22.943100000000001</v>
      </c>
      <c r="D8" s="10">
        <v>3522.33</v>
      </c>
      <c r="E8">
        <f>D8-216.592*C8</f>
        <v>-1446.9619152000005</v>
      </c>
      <c r="F8">
        <v>216.59200000000001</v>
      </c>
      <c r="H8">
        <f>D15-F15*C15</f>
        <v>-3805.3111599999975</v>
      </c>
      <c r="J8">
        <f>E8-H8</f>
        <v>2358.349244799997</v>
      </c>
      <c r="K8" s="20"/>
    </row>
    <row r="9" spans="1:11" x14ac:dyDescent="0.25">
      <c r="A9" s="20"/>
      <c r="B9" s="25" t="s">
        <v>65</v>
      </c>
      <c r="C9" s="29">
        <v>-97.599400000000003</v>
      </c>
      <c r="D9" s="29">
        <v>-18780.900000000001</v>
      </c>
      <c r="E9" s="25">
        <f>D9-216.592*C9</f>
        <v>2358.3492447999997</v>
      </c>
      <c r="F9" s="25">
        <v>216.59200000000001</v>
      </c>
      <c r="H9" s="25"/>
      <c r="J9" s="25"/>
      <c r="K9" s="20"/>
    </row>
    <row r="10" spans="1:11" x14ac:dyDescent="0.25">
      <c r="A10" s="20"/>
      <c r="B10" s="28"/>
      <c r="C10" s="28"/>
      <c r="D10" s="28"/>
      <c r="E10" s="28"/>
      <c r="F10" s="28"/>
      <c r="H10" s="28"/>
      <c r="J10" s="28"/>
      <c r="K10" s="20"/>
    </row>
    <row r="11" spans="1:11" x14ac:dyDescent="0.25">
      <c r="A11" s="20"/>
      <c r="B11" t="s">
        <v>64</v>
      </c>
      <c r="C11" s="16">
        <v>49.130099999999999</v>
      </c>
      <c r="D11" s="16">
        <v>10466.4</v>
      </c>
      <c r="E11">
        <f>D11-290*C11</f>
        <v>-3781.3289999999997</v>
      </c>
      <c r="F11">
        <v>290</v>
      </c>
      <c r="H11">
        <f>D16-F16*C16</f>
        <v>-12654.125000000007</v>
      </c>
      <c r="J11">
        <f>E11-H11</f>
        <v>8872.7960000000076</v>
      </c>
      <c r="K11" s="20"/>
    </row>
    <row r="12" spans="1:11" x14ac:dyDescent="0.25">
      <c r="A12" s="20"/>
      <c r="B12" s="25" t="s">
        <v>68</v>
      </c>
      <c r="C12" s="29">
        <v>-71.412400000000005</v>
      </c>
      <c r="D12" s="29">
        <v>-11836.8</v>
      </c>
      <c r="E12" s="25">
        <f>D12-290*C12</f>
        <v>8872.7960000000021</v>
      </c>
      <c r="F12" s="25">
        <v>290</v>
      </c>
      <c r="H12" s="25"/>
      <c r="J12" s="25"/>
      <c r="K12" s="20"/>
    </row>
    <row r="13" spans="1:11" x14ac:dyDescent="0.25">
      <c r="A13" s="20"/>
      <c r="B13" s="28"/>
      <c r="C13" s="28" t="s">
        <v>82</v>
      </c>
      <c r="D13" s="28" t="s">
        <v>81</v>
      </c>
      <c r="E13" s="28" t="s">
        <v>83</v>
      </c>
      <c r="F13" s="28"/>
      <c r="K13" s="20"/>
    </row>
    <row r="14" spans="1:11" x14ac:dyDescent="0.25">
      <c r="A14" s="20"/>
      <c r="B14" t="s">
        <v>67</v>
      </c>
      <c r="C14" s="16">
        <f>C5-C6</f>
        <v>120.5425</v>
      </c>
      <c r="D14">
        <f>D5-D6</f>
        <v>22303.199999999997</v>
      </c>
      <c r="E14">
        <f>E5-E6</f>
        <v>-10622.983875</v>
      </c>
      <c r="F14">
        <v>273.14999999999998</v>
      </c>
      <c r="K14" s="20"/>
    </row>
    <row r="15" spans="1:11" x14ac:dyDescent="0.25">
      <c r="A15" s="20"/>
      <c r="B15" t="s">
        <v>66</v>
      </c>
      <c r="C15" s="10">
        <f>C8-C9</f>
        <v>120.5425</v>
      </c>
      <c r="D15" s="10">
        <f>D8-D9</f>
        <v>22303.230000000003</v>
      </c>
      <c r="E15">
        <f>E8-E9</f>
        <v>-3805.3111600000002</v>
      </c>
      <c r="F15">
        <v>216.59200000000001</v>
      </c>
      <c r="K15" s="20"/>
    </row>
    <row r="16" spans="1:11" x14ac:dyDescent="0.25">
      <c r="A16" s="20"/>
      <c r="B16" t="s">
        <v>66</v>
      </c>
      <c r="C16" s="10">
        <f>C11-C12</f>
        <v>120.5425</v>
      </c>
      <c r="D16" s="10">
        <f>D11-D12</f>
        <v>22303.199999999997</v>
      </c>
      <c r="E16">
        <f>E11-E12</f>
        <v>-12654.125000000002</v>
      </c>
      <c r="F16">
        <v>290</v>
      </c>
      <c r="K16" s="20"/>
    </row>
    <row r="17" spans="1:1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4"/>
  <dimension ref="A2:Y333"/>
  <sheetViews>
    <sheetView topLeftCell="A25" workbookViewId="0">
      <selection activeCell="J34" sqref="J34"/>
    </sheetView>
  </sheetViews>
  <sheetFormatPr defaultRowHeight="15" x14ac:dyDescent="0.25"/>
  <cols>
    <col min="1" max="1" width="7.5703125" customWidth="1"/>
    <col min="2" max="2" width="7.85546875" customWidth="1"/>
    <col min="3" max="3" width="9.5703125" customWidth="1"/>
    <col min="4" max="4" width="10.5703125" bestFit="1" customWidth="1"/>
    <col min="6" max="6" width="9" customWidth="1"/>
    <col min="7" max="7" width="12.42578125" customWidth="1"/>
    <col min="8" max="8" width="13.85546875" customWidth="1"/>
    <col min="9" max="9" width="12" customWidth="1"/>
    <col min="10" max="10" width="11.5703125" customWidth="1"/>
    <col min="11" max="11" width="7.85546875" customWidth="1"/>
    <col min="12" max="12" width="9.85546875" customWidth="1"/>
    <col min="14" max="14" width="9.5703125" customWidth="1"/>
    <col min="15" max="15" width="10.140625" customWidth="1"/>
    <col min="16" max="16" width="12.5703125" customWidth="1"/>
    <col min="17" max="17" width="13.42578125" customWidth="1"/>
    <col min="18" max="18" width="11.7109375" customWidth="1"/>
    <col min="19" max="19" width="6.7109375" customWidth="1"/>
    <col min="20" max="20" width="10" customWidth="1"/>
  </cols>
  <sheetData>
    <row r="2" spans="1:25" x14ac:dyDescent="0.25">
      <c r="B2" s="21" t="s">
        <v>85</v>
      </c>
      <c r="C2" s="21"/>
      <c r="D2" s="21"/>
      <c r="E2" s="21"/>
      <c r="F2" s="21"/>
      <c r="G2" s="21"/>
      <c r="H2" s="21"/>
      <c r="I2" s="21"/>
      <c r="K2" s="21" t="s">
        <v>105</v>
      </c>
      <c r="L2" s="21"/>
      <c r="M2" s="21"/>
      <c r="N2" s="21"/>
      <c r="O2" s="21"/>
      <c r="P2" s="21"/>
      <c r="Q2" t="s">
        <v>213</v>
      </c>
      <c r="U2" s="21" t="s">
        <v>88</v>
      </c>
      <c r="V2" s="21"/>
      <c r="W2" s="21"/>
      <c r="X2" s="21"/>
      <c r="Y2" t="s">
        <v>214</v>
      </c>
    </row>
    <row r="3" spans="1:25" x14ac:dyDescent="0.25">
      <c r="B3" s="1" t="s">
        <v>1</v>
      </c>
      <c r="C3" s="1" t="s">
        <v>58</v>
      </c>
      <c r="D3" s="1" t="s">
        <v>57</v>
      </c>
      <c r="E3" s="1" t="s">
        <v>60</v>
      </c>
      <c r="F3" s="1" t="s">
        <v>59</v>
      </c>
      <c r="G3" s="1" t="s">
        <v>92</v>
      </c>
      <c r="H3" s="1" t="s">
        <v>91</v>
      </c>
      <c r="I3" s="1" t="s">
        <v>90</v>
      </c>
      <c r="K3" s="1" t="s">
        <v>1</v>
      </c>
      <c r="L3" s="1" t="s">
        <v>106</v>
      </c>
      <c r="M3" s="1" t="s">
        <v>107</v>
      </c>
      <c r="N3" s="1" t="s">
        <v>109</v>
      </c>
      <c r="O3" s="1" t="s">
        <v>108</v>
      </c>
      <c r="P3" s="1" t="s">
        <v>63</v>
      </c>
      <c r="T3" s="1" t="s">
        <v>0</v>
      </c>
      <c r="U3" s="1" t="s">
        <v>1</v>
      </c>
      <c r="V3" s="1" t="s">
        <v>61</v>
      </c>
      <c r="W3" s="1" t="s">
        <v>62</v>
      </c>
      <c r="X3" s="1" t="s">
        <v>63</v>
      </c>
    </row>
    <row r="4" spans="1:25" x14ac:dyDescent="0.25">
      <c r="B4" s="3">
        <v>170.11</v>
      </c>
      <c r="C4" s="17">
        <v>1.01E-2</v>
      </c>
      <c r="D4" s="17">
        <v>1.0120000000000001E-2</v>
      </c>
      <c r="E4" s="8">
        <v>1.008E-2</v>
      </c>
      <c r="F4" s="16">
        <f>D4-C4</f>
        <v>2.000000000000092E-5</v>
      </c>
      <c r="G4">
        <f>100*F4/C4</f>
        <v>0.19801980198020713</v>
      </c>
      <c r="H4">
        <f>100*(D4-E4)/E4</f>
        <v>0.39682539682539786</v>
      </c>
      <c r="I4">
        <f>100*(E4-C4)/C4</f>
        <v>-0.19801980198018995</v>
      </c>
      <c r="K4">
        <v>80</v>
      </c>
      <c r="L4">
        <v>26.24</v>
      </c>
      <c r="M4">
        <f>L4/10^6</f>
        <v>2.6239999999999999E-5</v>
      </c>
      <c r="N4" s="13">
        <v>1675.02</v>
      </c>
      <c r="O4" s="13">
        <f t="shared" ref="O4:O10" si="0">0.0440095/N4</f>
        <v>2.6274014638631181E-5</v>
      </c>
      <c r="P4" s="16">
        <f>100*(O4-M4)/M4</f>
        <v>0.12962895819810141</v>
      </c>
      <c r="Q4">
        <v>2.6240000000000001</v>
      </c>
      <c r="T4" s="17">
        <v>0.30157</v>
      </c>
      <c r="U4" s="2">
        <v>217</v>
      </c>
      <c r="V4" s="17">
        <v>7.6997999999999998</v>
      </c>
      <c r="W4" s="16">
        <v>7.69984</v>
      </c>
      <c r="X4" s="13">
        <f>-100*(V4-W4)/V4</f>
        <v>5.1949401283490546E-4</v>
      </c>
    </row>
    <row r="5" spans="1:25" x14ac:dyDescent="0.25">
      <c r="B5" s="3">
        <v>171.81</v>
      </c>
      <c r="C5" s="17">
        <v>1.209E-2</v>
      </c>
      <c r="D5" s="17">
        <v>1.214E-2</v>
      </c>
      <c r="E5" s="8">
        <v>1.209E-2</v>
      </c>
      <c r="F5" s="16">
        <f t="shared" ref="F5:F68" si="1">D5-C5</f>
        <v>4.9999999999999697E-5</v>
      </c>
      <c r="G5">
        <f t="shared" ref="G5:G68" si="2">100*F5/C5</f>
        <v>0.41356492969395947</v>
      </c>
      <c r="H5">
        <f t="shared" ref="H5:H68" si="3">100*(D5-E5)/E5</f>
        <v>0.41356492969395947</v>
      </c>
      <c r="I5">
        <f t="shared" ref="I5:I68" si="4">100*(E5-C5)/C5</f>
        <v>0</v>
      </c>
      <c r="K5">
        <v>90</v>
      </c>
      <c r="L5">
        <v>26.34</v>
      </c>
      <c r="M5">
        <f t="shared" ref="M5:M10" si="5">L5/10^6</f>
        <v>2.6339999999999999E-5</v>
      </c>
      <c r="N5" s="13">
        <v>1668.34</v>
      </c>
      <c r="O5" s="13">
        <f t="shared" si="0"/>
        <v>2.637921526787106E-5</v>
      </c>
      <c r="P5" s="16">
        <f t="shared" ref="P5:P10" si="6">100*(O5-M5)/M5</f>
        <v>0.1488810473464752</v>
      </c>
      <c r="Q5">
        <v>2.6339999999999999</v>
      </c>
      <c r="T5" s="19">
        <v>0.40144999999999997</v>
      </c>
      <c r="U5" s="65">
        <v>217</v>
      </c>
      <c r="V5" s="19">
        <v>10.421200000000001</v>
      </c>
      <c r="W5" s="27">
        <v>10.4221</v>
      </c>
      <c r="X5" s="66">
        <f t="shared" ref="X5:X68" si="7">-100*(V5-W5)/V5</f>
        <v>8.6362415076927691E-3</v>
      </c>
    </row>
    <row r="6" spans="1:25" x14ac:dyDescent="0.25">
      <c r="B6" s="3">
        <v>172.14</v>
      </c>
      <c r="C6" s="17">
        <v>1.251E-2</v>
      </c>
      <c r="D6" s="8">
        <v>1.2565E-2</v>
      </c>
      <c r="E6" s="8">
        <v>1.251E-2</v>
      </c>
      <c r="F6" s="16">
        <f t="shared" si="1"/>
        <v>5.4999999999999494E-5</v>
      </c>
      <c r="G6">
        <f t="shared" si="2"/>
        <v>0.43964828137489603</v>
      </c>
      <c r="H6">
        <f t="shared" si="3"/>
        <v>0.43964828137489603</v>
      </c>
      <c r="I6">
        <f t="shared" si="4"/>
        <v>0</v>
      </c>
      <c r="K6">
        <v>100</v>
      </c>
      <c r="L6">
        <v>26.45</v>
      </c>
      <c r="M6">
        <f t="shared" si="5"/>
        <v>2.6449999999999999E-5</v>
      </c>
      <c r="N6" s="13">
        <v>1661.21</v>
      </c>
      <c r="O6" s="13">
        <f t="shared" si="0"/>
        <v>2.6492436236237441E-5</v>
      </c>
      <c r="P6" s="16">
        <f t="shared" si="6"/>
        <v>0.16043945647425897</v>
      </c>
      <c r="Q6">
        <v>2.645</v>
      </c>
      <c r="T6" s="17">
        <v>0.29731999999999997</v>
      </c>
      <c r="U6" s="2">
        <v>220</v>
      </c>
      <c r="V6" s="17">
        <v>7.4657999999999998</v>
      </c>
      <c r="W6" s="16">
        <v>7.4662800000000002</v>
      </c>
      <c r="X6" s="13">
        <f t="shared" si="7"/>
        <v>6.4293176886667212E-3</v>
      </c>
      <c r="Y6" t="s">
        <v>225</v>
      </c>
    </row>
    <row r="7" spans="1:25" x14ac:dyDescent="0.25">
      <c r="A7" s="17"/>
      <c r="B7" s="3">
        <v>173.59</v>
      </c>
      <c r="C7" s="17">
        <v>1.455E-2</v>
      </c>
      <c r="D7" s="17">
        <v>1.4619999999999999E-2</v>
      </c>
      <c r="E7" s="8">
        <v>1.456E-2</v>
      </c>
      <c r="F7" s="16">
        <f t="shared" si="1"/>
        <v>6.9999999999998883E-5</v>
      </c>
      <c r="G7">
        <f t="shared" si="2"/>
        <v>0.48109965635738061</v>
      </c>
      <c r="H7">
        <f t="shared" si="3"/>
        <v>0.41208791208790724</v>
      </c>
      <c r="I7">
        <f t="shared" si="4"/>
        <v>6.8728522336766962E-2</v>
      </c>
      <c r="J7" s="11"/>
      <c r="K7">
        <v>110</v>
      </c>
      <c r="L7">
        <v>26.57</v>
      </c>
      <c r="M7">
        <f t="shared" si="5"/>
        <v>2.6570000000000001E-5</v>
      </c>
      <c r="N7" s="13">
        <v>1653.64</v>
      </c>
      <c r="O7" s="13">
        <f t="shared" si="0"/>
        <v>2.6613712779081296E-5</v>
      </c>
      <c r="P7" s="16">
        <f t="shared" si="6"/>
        <v>0.16451930403197146</v>
      </c>
      <c r="Q7">
        <v>2.657</v>
      </c>
      <c r="T7" s="17">
        <v>0.30081999999999998</v>
      </c>
      <c r="U7" s="2">
        <v>220</v>
      </c>
      <c r="V7" s="17">
        <v>7.5582000000000003</v>
      </c>
      <c r="W7" s="16">
        <v>7.5582399999999996</v>
      </c>
      <c r="X7" s="13">
        <f t="shared" si="7"/>
        <v>5.2922653541020179E-4</v>
      </c>
      <c r="Y7" t="s">
        <v>193</v>
      </c>
    </row>
    <row r="8" spans="1:25" x14ac:dyDescent="0.25">
      <c r="B8" s="3">
        <v>175.34</v>
      </c>
      <c r="C8" s="17">
        <v>1.7440000000000001E-2</v>
      </c>
      <c r="D8" s="17">
        <v>1.7479999999999999E-2</v>
      </c>
      <c r="E8" s="8">
        <v>1.7409999999999998E-2</v>
      </c>
      <c r="F8" s="16">
        <f t="shared" si="1"/>
        <v>3.999999999999837E-5</v>
      </c>
      <c r="G8">
        <f t="shared" si="2"/>
        <v>0.22935779816512827</v>
      </c>
      <c r="H8">
        <f t="shared" si="3"/>
        <v>0.40206777713957853</v>
      </c>
      <c r="I8">
        <f t="shared" si="4"/>
        <v>-0.17201834862386609</v>
      </c>
      <c r="K8">
        <v>120</v>
      </c>
      <c r="L8">
        <v>26.71</v>
      </c>
      <c r="M8">
        <f t="shared" si="5"/>
        <v>2.671E-5</v>
      </c>
      <c r="N8" s="13">
        <v>1645.62</v>
      </c>
      <c r="O8" s="13">
        <f t="shared" si="0"/>
        <v>2.6743415855422273E-5</v>
      </c>
      <c r="P8" s="16">
        <f t="shared" si="6"/>
        <v>0.12510616032299895</v>
      </c>
      <c r="Q8">
        <v>2.6709999999999998</v>
      </c>
      <c r="T8" s="17">
        <v>0.30081999999999998</v>
      </c>
      <c r="U8" s="2">
        <v>220</v>
      </c>
      <c r="V8" s="17">
        <v>7.5583999999999998</v>
      </c>
      <c r="W8" s="16">
        <v>7.5582399999999996</v>
      </c>
      <c r="X8" s="13">
        <f t="shared" si="7"/>
        <v>-2.1168501270131248E-3</v>
      </c>
    </row>
    <row r="9" spans="1:25" x14ac:dyDescent="0.25">
      <c r="B9" s="3">
        <v>177.2</v>
      </c>
      <c r="C9" s="17">
        <v>2.1000000000000001E-2</v>
      </c>
      <c r="D9" s="17">
        <v>2.1059999999999999E-2</v>
      </c>
      <c r="E9" s="8">
        <v>2.0969999999999999E-2</v>
      </c>
      <c r="F9" s="16">
        <f t="shared" si="1"/>
        <v>5.9999999999997555E-5</v>
      </c>
      <c r="G9">
        <f t="shared" si="2"/>
        <v>0.28571428571427404</v>
      </c>
      <c r="H9">
        <f t="shared" si="3"/>
        <v>0.42918454935622224</v>
      </c>
      <c r="I9">
        <f t="shared" si="4"/>
        <v>-0.14285714285715354</v>
      </c>
      <c r="K9">
        <v>130</v>
      </c>
      <c r="L9">
        <v>26.86</v>
      </c>
      <c r="M9">
        <f t="shared" si="5"/>
        <v>2.686E-5</v>
      </c>
      <c r="N9" s="13">
        <v>1637.14</v>
      </c>
      <c r="O9" s="13">
        <f t="shared" si="0"/>
        <v>2.6881940457138668E-5</v>
      </c>
      <c r="P9" s="16">
        <f t="shared" si="6"/>
        <v>8.1684501633161558E-2</v>
      </c>
      <c r="Q9">
        <v>2.6859999999999999</v>
      </c>
      <c r="T9" s="18">
        <v>0.40068999999999999</v>
      </c>
      <c r="U9" s="2">
        <v>220</v>
      </c>
      <c r="V9" s="18">
        <v>10.2263</v>
      </c>
      <c r="W9" s="16">
        <v>10.2272</v>
      </c>
      <c r="X9" s="13">
        <f t="shared" si="7"/>
        <v>8.8008370573880949E-3</v>
      </c>
    </row>
    <row r="10" spans="1:25" x14ac:dyDescent="0.25">
      <c r="B10" s="3">
        <v>179.2</v>
      </c>
      <c r="C10" s="17">
        <v>2.5559999999999999E-2</v>
      </c>
      <c r="D10" s="17">
        <v>2.5610000000000001E-2</v>
      </c>
      <c r="E10" s="8">
        <v>2.5510000000000001E-2</v>
      </c>
      <c r="F10" s="16">
        <f t="shared" si="1"/>
        <v>5.0000000000001432E-5</v>
      </c>
      <c r="G10">
        <f t="shared" si="2"/>
        <v>0.19561815336463784</v>
      </c>
      <c r="H10">
        <f t="shared" si="3"/>
        <v>0.3920031360250858</v>
      </c>
      <c r="I10">
        <f t="shared" si="4"/>
        <v>-0.19561815336462426</v>
      </c>
      <c r="K10">
        <v>139</v>
      </c>
      <c r="L10">
        <v>27.01</v>
      </c>
      <c r="M10">
        <f t="shared" si="5"/>
        <v>2.7010000000000001E-5</v>
      </c>
      <c r="N10" s="13">
        <v>1629.11</v>
      </c>
      <c r="O10" s="13">
        <f t="shared" si="0"/>
        <v>2.7014443469133454E-5</v>
      </c>
      <c r="P10" s="16">
        <f t="shared" si="6"/>
        <v>1.6451200049810398E-2</v>
      </c>
      <c r="Q10">
        <v>2.7010000000000001</v>
      </c>
      <c r="T10" s="17">
        <v>0.49489</v>
      </c>
      <c r="U10" s="2">
        <v>220</v>
      </c>
      <c r="V10" s="17">
        <v>12.8291</v>
      </c>
      <c r="W10" s="16">
        <v>12.83</v>
      </c>
      <c r="X10" s="13">
        <f t="shared" si="7"/>
        <v>7.0153011512863635E-3</v>
      </c>
    </row>
    <row r="11" spans="1:25" x14ac:dyDescent="0.25">
      <c r="B11" s="3">
        <v>179.73</v>
      </c>
      <c r="C11" s="17">
        <v>2.69E-2</v>
      </c>
      <c r="D11" s="17">
        <v>2.6960000000000001E-2</v>
      </c>
      <c r="E11" s="8">
        <v>2.6849999999999999E-2</v>
      </c>
      <c r="F11" s="16">
        <f t="shared" si="1"/>
        <v>6.0000000000001025E-5</v>
      </c>
      <c r="G11">
        <f t="shared" si="2"/>
        <v>0.22304832713755027</v>
      </c>
      <c r="H11">
        <f t="shared" si="3"/>
        <v>0.40968342644321215</v>
      </c>
      <c r="I11">
        <f>100*(E11-C11)/C11</f>
        <v>-0.18587360594796071</v>
      </c>
      <c r="T11" s="17">
        <v>0.50039999999999996</v>
      </c>
      <c r="U11" s="2">
        <v>220</v>
      </c>
      <c r="V11" s="17">
        <v>12.984</v>
      </c>
      <c r="W11" s="16">
        <v>12.984999999999999</v>
      </c>
      <c r="X11" s="13">
        <f t="shared" si="7"/>
        <v>7.701786814536705E-3</v>
      </c>
    </row>
    <row r="12" spans="1:25" x14ac:dyDescent="0.25">
      <c r="B12" s="3">
        <v>180.95</v>
      </c>
      <c r="C12" s="17">
        <v>3.024E-2</v>
      </c>
      <c r="D12" s="17">
        <v>3.0290000000000001E-2</v>
      </c>
      <c r="E12" s="8">
        <v>3.0169999999999999E-2</v>
      </c>
      <c r="F12" s="16">
        <f t="shared" si="1"/>
        <v>5.0000000000001432E-5</v>
      </c>
      <c r="G12">
        <f t="shared" si="2"/>
        <v>0.16534391534392009</v>
      </c>
      <c r="H12">
        <f t="shared" si="3"/>
        <v>0.39774610540272476</v>
      </c>
      <c r="I12">
        <f t="shared" si="4"/>
        <v>-0.23148148148148354</v>
      </c>
      <c r="J12" t="s">
        <v>372</v>
      </c>
      <c r="T12" s="17">
        <v>0.50117</v>
      </c>
      <c r="U12" s="2">
        <v>220</v>
      </c>
      <c r="V12" s="17">
        <v>13.0039</v>
      </c>
      <c r="W12" s="16">
        <v>13.006600000000001</v>
      </c>
      <c r="X12" s="13">
        <f t="shared" si="7"/>
        <v>2.0763001868676419E-2</v>
      </c>
    </row>
    <row r="13" spans="1:25" x14ac:dyDescent="0.25">
      <c r="B13" s="3">
        <v>183.02</v>
      </c>
      <c r="C13" s="17">
        <v>3.6760000000000001E-2</v>
      </c>
      <c r="D13" s="17">
        <v>3.678E-2</v>
      </c>
      <c r="E13" s="8">
        <v>3.6639999999999999E-2</v>
      </c>
      <c r="F13" s="16">
        <f t="shared" si="1"/>
        <v>1.9999999999999185E-5</v>
      </c>
      <c r="G13">
        <f t="shared" si="2"/>
        <v>5.4406964091401479E-2</v>
      </c>
      <c r="H13">
        <f t="shared" si="3"/>
        <v>0.38209606986899902</v>
      </c>
      <c r="I13">
        <f t="shared" si="4"/>
        <v>-0.32644178454842776</v>
      </c>
      <c r="J13" t="s">
        <v>369</v>
      </c>
      <c r="M13" t="s">
        <v>368</v>
      </c>
      <c r="T13" s="17">
        <v>0.52442999999999995</v>
      </c>
      <c r="U13" s="2">
        <v>220</v>
      </c>
      <c r="V13" s="17">
        <v>13.663600000000001</v>
      </c>
      <c r="W13" s="16">
        <v>13.6646</v>
      </c>
      <c r="X13" s="13">
        <f t="shared" si="7"/>
        <v>7.3187154190655886E-3</v>
      </c>
    </row>
    <row r="14" spans="1:25" x14ac:dyDescent="0.25">
      <c r="B14" s="3">
        <v>184.37</v>
      </c>
      <c r="C14" s="17">
        <v>4.163E-2</v>
      </c>
      <c r="D14" s="17">
        <v>4.1640000000000003E-2</v>
      </c>
      <c r="E14" s="8">
        <v>4.1489999999999999E-2</v>
      </c>
      <c r="F14" s="16">
        <f t="shared" si="1"/>
        <v>1.0000000000003062E-5</v>
      </c>
      <c r="G14">
        <f t="shared" si="2"/>
        <v>2.4021138601977087E-2</v>
      </c>
      <c r="H14">
        <f t="shared" si="3"/>
        <v>0.3615328994938643</v>
      </c>
      <c r="I14">
        <f t="shared" si="4"/>
        <v>-0.33629594042757921</v>
      </c>
      <c r="J14" t="s">
        <v>211</v>
      </c>
      <c r="T14" s="17">
        <v>0.54998999999999998</v>
      </c>
      <c r="U14" s="2">
        <v>220</v>
      </c>
      <c r="V14" s="17">
        <v>14.3933</v>
      </c>
      <c r="W14" s="16">
        <v>14.394299999999999</v>
      </c>
      <c r="X14" s="13">
        <f t="shared" si="7"/>
        <v>6.9476770441764275E-3</v>
      </c>
    </row>
    <row r="15" spans="1:25" x14ac:dyDescent="0.25">
      <c r="B15" s="3">
        <v>185.23</v>
      </c>
      <c r="C15" s="17">
        <v>4.5010000000000001E-2</v>
      </c>
      <c r="D15" s="17">
        <v>4.5019999999999998E-2</v>
      </c>
      <c r="E15" s="8">
        <v>4.4859999999999997E-2</v>
      </c>
      <c r="F15" s="16">
        <f t="shared" si="1"/>
        <v>9.9999999999961231E-6</v>
      </c>
      <c r="G15">
        <f t="shared" si="2"/>
        <v>2.221728504775855E-2</v>
      </c>
      <c r="H15">
        <f t="shared" si="3"/>
        <v>0.35666518056174862</v>
      </c>
      <c r="I15">
        <f t="shared" si="4"/>
        <v>-0.33325927571651698</v>
      </c>
      <c r="L15" t="s">
        <v>371</v>
      </c>
      <c r="N15" t="s">
        <v>370</v>
      </c>
      <c r="Q15" t="s">
        <v>212</v>
      </c>
      <c r="T15" s="17">
        <v>0.55059999999999998</v>
      </c>
      <c r="U15" s="2">
        <v>220</v>
      </c>
      <c r="V15" s="17">
        <v>14.4107</v>
      </c>
      <c r="W15" s="16">
        <v>14.411799999999999</v>
      </c>
      <c r="X15" s="13">
        <f t="shared" si="7"/>
        <v>7.633216984596256E-3</v>
      </c>
    </row>
    <row r="16" spans="1:25" x14ac:dyDescent="0.25">
      <c r="B16" s="3">
        <v>187.25</v>
      </c>
      <c r="C16" s="17">
        <v>5.3969999999999997E-2</v>
      </c>
      <c r="D16" s="17">
        <v>5.3940000000000002E-2</v>
      </c>
      <c r="E16" s="8">
        <v>5.3749999999999999E-2</v>
      </c>
      <c r="F16" s="16">
        <f t="shared" si="1"/>
        <v>-2.9999999999995308E-5</v>
      </c>
      <c r="G16">
        <f t="shared" si="2"/>
        <v>-5.5586436909385417E-2</v>
      </c>
      <c r="H16">
        <f t="shared" si="3"/>
        <v>0.35348837209302825</v>
      </c>
      <c r="I16">
        <f t="shared" si="4"/>
        <v>-0.4076338706688864</v>
      </c>
      <c r="K16" s="21" t="s">
        <v>87</v>
      </c>
      <c r="L16" s="21"/>
      <c r="M16" s="21"/>
      <c r="N16" s="21"/>
      <c r="O16" s="21"/>
      <c r="P16" s="21"/>
      <c r="Q16" s="21"/>
      <c r="R16" s="21"/>
      <c r="T16" s="17">
        <v>0.56023000000000001</v>
      </c>
      <c r="U16" s="2">
        <v>220</v>
      </c>
      <c r="V16" s="17">
        <v>14.687200000000001</v>
      </c>
      <c r="W16" s="16">
        <v>14.688599999999999</v>
      </c>
      <c r="X16" s="13">
        <f t="shared" si="7"/>
        <v>9.532109592015588E-3</v>
      </c>
    </row>
    <row r="17" spans="2:25" x14ac:dyDescent="0.25">
      <c r="B17" s="3">
        <v>187.69</v>
      </c>
      <c r="C17" s="17">
        <v>5.5960000000000003E-2</v>
      </c>
      <c r="D17" s="17">
        <v>5.6070000000000002E-2</v>
      </c>
      <c r="E17" s="8">
        <v>5.5890000000000002E-2</v>
      </c>
      <c r="F17" s="16">
        <f t="shared" si="1"/>
        <v>1.0999999999999899E-4</v>
      </c>
      <c r="G17">
        <f t="shared" si="2"/>
        <v>0.19656897784131341</v>
      </c>
      <c r="H17">
        <f t="shared" si="3"/>
        <v>0.32206119162640828</v>
      </c>
      <c r="I17">
        <f t="shared" si="4"/>
        <v>-0.1250893495353835</v>
      </c>
      <c r="K17" s="1" t="s">
        <v>1</v>
      </c>
      <c r="L17" s="1" t="s">
        <v>58</v>
      </c>
      <c r="M17" s="1" t="s">
        <v>57</v>
      </c>
      <c r="N17" s="1" t="s">
        <v>60</v>
      </c>
      <c r="O17" s="1" t="s">
        <v>59</v>
      </c>
      <c r="P17" s="1" t="s">
        <v>92</v>
      </c>
      <c r="Q17" s="1" t="s">
        <v>91</v>
      </c>
      <c r="R17" s="1" t="s">
        <v>90</v>
      </c>
      <c r="S17" s="71"/>
      <c r="T17" s="17">
        <v>0.57076000000000005</v>
      </c>
      <c r="U17" s="2">
        <v>220</v>
      </c>
      <c r="V17" s="17">
        <v>14.9918</v>
      </c>
      <c r="W17" s="16">
        <v>14.9925</v>
      </c>
      <c r="X17" s="13">
        <f t="shared" si="7"/>
        <v>4.6692191731489549E-3</v>
      </c>
    </row>
    <row r="18" spans="2:25" x14ac:dyDescent="0.25">
      <c r="B18" s="3">
        <v>189.88</v>
      </c>
      <c r="C18" s="17">
        <v>6.7900000000000002E-2</v>
      </c>
      <c r="D18" s="17">
        <v>6.7849999999999994E-2</v>
      </c>
      <c r="E18" s="8">
        <v>6.7640000000000006E-2</v>
      </c>
      <c r="F18" s="16">
        <f t="shared" si="1"/>
        <v>-5.0000000000008371E-5</v>
      </c>
      <c r="G18">
        <f t="shared" si="2"/>
        <v>-7.3637702503694211E-2</v>
      </c>
      <c r="H18">
        <f t="shared" si="3"/>
        <v>0.31046717918389705</v>
      </c>
      <c r="I18">
        <f t="shared" si="4"/>
        <v>-0.38291605301914039</v>
      </c>
      <c r="K18" s="8">
        <v>216.64</v>
      </c>
      <c r="L18" s="8">
        <v>0.93218999999999996</v>
      </c>
      <c r="M18" s="8">
        <v>0.73416999999999999</v>
      </c>
      <c r="N18">
        <v>0.74246999999999996</v>
      </c>
      <c r="O18" s="16">
        <f>-L18+M18</f>
        <v>-0.19801999999999997</v>
      </c>
      <c r="P18">
        <f>100*O18/L18</f>
        <v>-21.24245057338096</v>
      </c>
      <c r="Q18">
        <f>-100*(N18-M18)/N18</f>
        <v>-1.1178902851293619</v>
      </c>
      <c r="R18">
        <f>100*(N18-L18)/L18</f>
        <v>-20.352074147974129</v>
      </c>
      <c r="T18" s="17">
        <v>0.58069000000000004</v>
      </c>
      <c r="U18" s="2">
        <v>220</v>
      </c>
      <c r="V18" s="17">
        <v>15.279500000000001</v>
      </c>
      <c r="W18" s="16">
        <v>15.280200000000001</v>
      </c>
      <c r="X18" s="13">
        <f t="shared" si="7"/>
        <v>4.5813017441679697E-3</v>
      </c>
    </row>
    <row r="19" spans="2:25" x14ac:dyDescent="0.25">
      <c r="B19" s="3">
        <v>192.79</v>
      </c>
      <c r="C19" s="17">
        <v>8.6910000000000001E-2</v>
      </c>
      <c r="D19" s="17">
        <v>8.6819999999999994E-2</v>
      </c>
      <c r="E19" s="8">
        <v>8.6599999999999996E-2</v>
      </c>
      <c r="F19" s="16">
        <f t="shared" si="1"/>
        <v>-9.0000000000006741E-5</v>
      </c>
      <c r="G19">
        <f t="shared" si="2"/>
        <v>-0.10355540214015273</v>
      </c>
      <c r="H19">
        <f t="shared" si="3"/>
        <v>0.25404157043879677</v>
      </c>
      <c r="I19">
        <f t="shared" si="4"/>
        <v>-0.35669082959383813</v>
      </c>
      <c r="K19" s="8">
        <v>216.97</v>
      </c>
      <c r="L19" s="8">
        <v>2.62432</v>
      </c>
      <c r="M19" s="8">
        <v>2.2646600000000001</v>
      </c>
      <c r="N19">
        <v>2.2888700000000002</v>
      </c>
      <c r="O19" s="16">
        <f t="shared" ref="O19:O41" si="8">-L19+M19</f>
        <v>-0.35965999999999987</v>
      </c>
      <c r="P19">
        <f t="shared" ref="P19:P41" si="9">100*O19/L19</f>
        <v>-13.704883550786484</v>
      </c>
      <c r="Q19">
        <f t="shared" ref="Q19:Q41" si="10">-100*(N19-M19)/N19</f>
        <v>-1.0577271754184407</v>
      </c>
      <c r="R19">
        <f t="shared" ref="R19:R24" si="11">100*(N19-L19)/L19</f>
        <v>-12.782358858675764</v>
      </c>
      <c r="T19" s="17">
        <v>1.00854</v>
      </c>
      <c r="U19" s="2">
        <v>220</v>
      </c>
      <c r="V19" s="17">
        <v>1167.07</v>
      </c>
      <c r="W19" s="16">
        <v>1167.05</v>
      </c>
      <c r="X19" s="13">
        <f t="shared" si="7"/>
        <v>-1.7136932660407527E-3</v>
      </c>
    </row>
    <row r="20" spans="2:25" x14ac:dyDescent="0.25">
      <c r="B20" s="3">
        <v>192.94</v>
      </c>
      <c r="C20" s="17">
        <v>8.7609999999999993E-2</v>
      </c>
      <c r="D20" s="17">
        <v>8.7910000000000002E-2</v>
      </c>
      <c r="E20" s="8">
        <v>8.7690000000000004E-2</v>
      </c>
      <c r="F20" s="16">
        <f t="shared" si="1"/>
        <v>3.0000000000000859E-4</v>
      </c>
      <c r="G20">
        <f t="shared" si="2"/>
        <v>0.34242666362288393</v>
      </c>
      <c r="H20">
        <f t="shared" si="3"/>
        <v>0.25088379518759035</v>
      </c>
      <c r="I20">
        <f t="shared" si="4"/>
        <v>9.1313776966111884E-2</v>
      </c>
      <c r="K20" s="8">
        <v>216.99</v>
      </c>
      <c r="L20" s="8">
        <v>2.5736599999999998</v>
      </c>
      <c r="M20" s="8">
        <v>2.3576299999999999</v>
      </c>
      <c r="N20">
        <v>2.3827500000000001</v>
      </c>
      <c r="O20" s="16">
        <f t="shared" si="8"/>
        <v>-0.21602999999999994</v>
      </c>
      <c r="P20">
        <f t="shared" si="9"/>
        <v>-8.3938826418408006</v>
      </c>
      <c r="Q20">
        <f t="shared" si="10"/>
        <v>-1.0542440457454727</v>
      </c>
      <c r="R20">
        <f t="shared" si="11"/>
        <v>-7.4178407404241318</v>
      </c>
      <c r="T20" s="17">
        <v>2.0145400000000002</v>
      </c>
      <c r="U20" s="2">
        <v>220</v>
      </c>
      <c r="V20" s="17">
        <v>1169.26</v>
      </c>
      <c r="W20" s="16">
        <v>1169.27</v>
      </c>
      <c r="X20" s="13">
        <f t="shared" si="7"/>
        <v>8.5524177684953779E-4</v>
      </c>
    </row>
    <row r="21" spans="2:25" x14ac:dyDescent="0.25">
      <c r="B21" s="3">
        <v>194.54</v>
      </c>
      <c r="C21" s="17">
        <v>0.1004</v>
      </c>
      <c r="D21" s="17">
        <v>0.10034</v>
      </c>
      <c r="E21" s="8">
        <v>0.10012</v>
      </c>
      <c r="F21" s="16">
        <f t="shared" si="1"/>
        <v>-6.0000000000004494E-5</v>
      </c>
      <c r="G21">
        <f t="shared" si="2"/>
        <v>-5.9760956175303276E-2</v>
      </c>
      <c r="H21">
        <f t="shared" si="3"/>
        <v>0.21973631642029362</v>
      </c>
      <c r="I21">
        <f t="shared" si="4"/>
        <v>-0.27888446215139689</v>
      </c>
      <c r="K21" s="8">
        <v>217.1</v>
      </c>
      <c r="L21" s="8">
        <v>3.1714699999999998</v>
      </c>
      <c r="M21" s="8">
        <v>2.8693599999999999</v>
      </c>
      <c r="N21">
        <v>2.8994200000000001</v>
      </c>
      <c r="O21" s="16">
        <f t="shared" si="8"/>
        <v>-0.30210999999999988</v>
      </c>
      <c r="P21">
        <f t="shared" si="9"/>
        <v>-9.5258665539954634</v>
      </c>
      <c r="Q21">
        <f t="shared" si="10"/>
        <v>-1.0367590759531284</v>
      </c>
      <c r="R21">
        <f t="shared" si="11"/>
        <v>-8.5780410976613286</v>
      </c>
      <c r="T21" s="17">
        <v>2.9993500000000002</v>
      </c>
      <c r="U21" s="2">
        <v>220</v>
      </c>
      <c r="V21" s="17">
        <v>1171.4100000000001</v>
      </c>
      <c r="W21" s="16">
        <v>1171.4000000000001</v>
      </c>
      <c r="X21" s="13">
        <f t="shared" si="7"/>
        <v>-8.5367207041009592E-4</v>
      </c>
    </row>
    <row r="22" spans="2:25" x14ac:dyDescent="0.25">
      <c r="B22" s="3">
        <v>196.76</v>
      </c>
      <c r="C22" s="17">
        <v>0.12012</v>
      </c>
      <c r="D22" s="17">
        <v>0.12014</v>
      </c>
      <c r="E22" s="8">
        <v>0.11992999999999999</v>
      </c>
      <c r="F22" s="16">
        <f t="shared" si="1"/>
        <v>1.9999999999992246E-5</v>
      </c>
      <c r="G22">
        <f t="shared" si="2"/>
        <v>1.6650016650010195E-2</v>
      </c>
      <c r="H22">
        <f t="shared" si="3"/>
        <v>0.17510214291670295</v>
      </c>
      <c r="I22">
        <f t="shared" si="4"/>
        <v>-0.15817515817516617</v>
      </c>
      <c r="K22" s="8">
        <v>217.29</v>
      </c>
      <c r="L22" s="8">
        <v>4.1036599999999996</v>
      </c>
      <c r="M22" s="8">
        <v>3.7549199999999998</v>
      </c>
      <c r="N22">
        <v>3.7931400000000002</v>
      </c>
      <c r="O22" s="16">
        <f t="shared" si="8"/>
        <v>-0.34873999999999983</v>
      </c>
      <c r="P22">
        <f t="shared" si="9"/>
        <v>-8.4982674003206853</v>
      </c>
      <c r="Q22">
        <f t="shared" si="10"/>
        <v>-1.0076084721365508</v>
      </c>
      <c r="R22">
        <f t="shared" si="11"/>
        <v>-7.5669036908515688</v>
      </c>
      <c r="T22" s="17">
        <v>4.0028899999999998</v>
      </c>
      <c r="U22" s="2">
        <v>220</v>
      </c>
      <c r="V22" s="17">
        <v>1173.52</v>
      </c>
      <c r="W22" s="16">
        <v>1173.53</v>
      </c>
      <c r="X22" s="13">
        <f t="shared" si="7"/>
        <v>8.5213715999649814E-4</v>
      </c>
    </row>
    <row r="23" spans="2:25" x14ac:dyDescent="0.25">
      <c r="B23" s="3">
        <v>197.47</v>
      </c>
      <c r="C23" s="17">
        <v>0.12722</v>
      </c>
      <c r="D23" s="17">
        <v>0.12716</v>
      </c>
      <c r="E23" s="8">
        <v>0.12695999999999999</v>
      </c>
      <c r="F23" s="16">
        <f t="shared" si="1"/>
        <v>-6.0000000000004494E-5</v>
      </c>
      <c r="G23">
        <f t="shared" si="2"/>
        <v>-4.7162395849712699E-2</v>
      </c>
      <c r="H23">
        <f t="shared" si="3"/>
        <v>0.15752993068683502</v>
      </c>
      <c r="I23">
        <f t="shared" si="4"/>
        <v>-0.20437038201541441</v>
      </c>
      <c r="K23" s="8">
        <v>217.31</v>
      </c>
      <c r="L23" s="8">
        <v>4.1036599999999996</v>
      </c>
      <c r="M23" s="8">
        <v>3.8482699999999999</v>
      </c>
      <c r="N23">
        <v>3.8873099999999998</v>
      </c>
      <c r="O23" s="16">
        <f t="shared" si="8"/>
        <v>-0.25538999999999978</v>
      </c>
      <c r="P23">
        <f t="shared" si="9"/>
        <v>-6.2234688058952212</v>
      </c>
      <c r="Q23">
        <f t="shared" si="10"/>
        <v>-1.0042934574294298</v>
      </c>
      <c r="R23">
        <f t="shared" si="11"/>
        <v>-5.2721229341612084</v>
      </c>
      <c r="T23" s="17">
        <v>5.0030999999999999</v>
      </c>
      <c r="U23" s="2">
        <v>220</v>
      </c>
      <c r="V23" s="17">
        <v>1175.6199999999999</v>
      </c>
      <c r="W23" s="16">
        <v>1175.6300000000001</v>
      </c>
      <c r="X23" s="13">
        <f t="shared" si="7"/>
        <v>8.5061499465969269E-4</v>
      </c>
    </row>
    <row r="24" spans="2:25" x14ac:dyDescent="0.25">
      <c r="B24" s="3">
        <v>199.29</v>
      </c>
      <c r="C24" s="17">
        <v>0.14699000000000001</v>
      </c>
      <c r="D24" s="17">
        <v>0.14682999999999999</v>
      </c>
      <c r="E24" s="8">
        <v>0.14665</v>
      </c>
      <c r="F24" s="16">
        <f t="shared" si="1"/>
        <v>-1.6000000000002124E-4</v>
      </c>
      <c r="G24">
        <f t="shared" si="2"/>
        <v>-0.10885094224098321</v>
      </c>
      <c r="H24">
        <f t="shared" si="3"/>
        <v>0.1227412205932395</v>
      </c>
      <c r="I24">
        <f t="shared" si="4"/>
        <v>-0.23130825226206336</v>
      </c>
      <c r="K24" s="8">
        <v>217.52</v>
      </c>
      <c r="L24" s="8">
        <v>5.0459800000000001</v>
      </c>
      <c r="M24" s="8">
        <v>4.8297600000000003</v>
      </c>
      <c r="N24">
        <v>4.8772000000000002</v>
      </c>
      <c r="O24" s="16">
        <f t="shared" si="8"/>
        <v>-0.21621999999999986</v>
      </c>
      <c r="P24">
        <f t="shared" si="9"/>
        <v>-4.2849951842853091</v>
      </c>
      <c r="Q24">
        <f t="shared" si="10"/>
        <v>-0.97268924792913813</v>
      </c>
      <c r="R24">
        <f t="shared" si="11"/>
        <v>-3.3448408436022325</v>
      </c>
      <c r="T24" s="17">
        <v>5.9994199999999998</v>
      </c>
      <c r="U24" s="2">
        <v>220</v>
      </c>
      <c r="V24" s="17">
        <v>1177.6600000000001</v>
      </c>
      <c r="W24" s="16">
        <v>1177.69</v>
      </c>
      <c r="X24" s="13">
        <f t="shared" si="7"/>
        <v>2.5474245537738154E-3</v>
      </c>
    </row>
    <row r="25" spans="2:25" x14ac:dyDescent="0.25">
      <c r="B25" s="3">
        <v>201.74</v>
      </c>
      <c r="C25" s="17">
        <v>0.17774999999999999</v>
      </c>
      <c r="D25" s="17">
        <v>0.17751</v>
      </c>
      <c r="E25" s="8">
        <v>0.17738000000000001</v>
      </c>
      <c r="F25" s="16">
        <f t="shared" si="1"/>
        <v>-2.3999999999999022E-4</v>
      </c>
      <c r="G25">
        <f t="shared" si="2"/>
        <v>-0.135021097046408</v>
      </c>
      <c r="H25">
        <f t="shared" si="3"/>
        <v>7.3288984101923124E-2</v>
      </c>
      <c r="I25">
        <f t="shared" si="4"/>
        <v>-0.20815752461321038</v>
      </c>
      <c r="K25" s="8">
        <v>217.66</v>
      </c>
      <c r="L25" s="8">
        <v>5.78566</v>
      </c>
      <c r="M25" s="8">
        <v>5.4855099999999997</v>
      </c>
      <c r="N25">
        <v>5.5382300000000004</v>
      </c>
      <c r="O25" s="16">
        <f t="shared" si="8"/>
        <v>-0.30015000000000036</v>
      </c>
      <c r="P25">
        <f t="shared" si="9"/>
        <v>-5.1878264536803123</v>
      </c>
      <c r="Q25">
        <f t="shared" si="10"/>
        <v>-0.95192868479641979</v>
      </c>
      <c r="R25">
        <f>100*(N25-L25)/L25</f>
        <v>-4.2766080274333369</v>
      </c>
      <c r="T25" s="17">
        <v>6.0013699999999996</v>
      </c>
      <c r="U25" s="2">
        <v>220</v>
      </c>
      <c r="V25" s="17">
        <v>1177.67</v>
      </c>
      <c r="W25" s="16">
        <v>1177.69</v>
      </c>
      <c r="X25" s="13">
        <f t="shared" si="7"/>
        <v>1.6982686151453131E-3</v>
      </c>
    </row>
    <row r="26" spans="2:25" x14ac:dyDescent="0.25">
      <c r="B26" s="3">
        <v>202.82</v>
      </c>
      <c r="C26" s="17">
        <v>0.193</v>
      </c>
      <c r="D26" s="17">
        <v>0.19273000000000001</v>
      </c>
      <c r="E26" s="8">
        <v>0.19264999999999999</v>
      </c>
      <c r="F26" s="16">
        <f t="shared" si="1"/>
        <v>-2.6999999999999247E-4</v>
      </c>
      <c r="G26">
        <f t="shared" si="2"/>
        <v>-0.1398963730569909</v>
      </c>
      <c r="H26">
        <f t="shared" si="3"/>
        <v>4.1526083571255902E-2</v>
      </c>
      <c r="I26">
        <f t="shared" si="4"/>
        <v>-0.18134715025907613</v>
      </c>
      <c r="K26" s="8">
        <v>218.81</v>
      </c>
      <c r="L26">
        <v>11.1356175</v>
      </c>
      <c r="M26" s="8">
        <v>10.9148</v>
      </c>
      <c r="N26">
        <v>11.0018552</v>
      </c>
      <c r="O26" s="16">
        <f t="shared" si="8"/>
        <v>-0.22081750000000078</v>
      </c>
      <c r="P26">
        <f t="shared" si="9"/>
        <v>-1.9829838803281521</v>
      </c>
      <c r="Q26">
        <f t="shared" si="10"/>
        <v>-0.79127745655114601</v>
      </c>
      <c r="R26">
        <f t="shared" ref="R26:R41" si="12">100*(N26-L26)/L26</f>
        <v>-1.2012113383025305</v>
      </c>
      <c r="T26" s="17">
        <v>7.0210800000000004</v>
      </c>
      <c r="U26" s="2">
        <v>220</v>
      </c>
      <c r="V26" s="17">
        <v>1179.77</v>
      </c>
      <c r="W26" s="16">
        <v>1179.76</v>
      </c>
      <c r="X26" s="13">
        <f t="shared" si="7"/>
        <v>-8.4762284173956837E-4</v>
      </c>
    </row>
    <row r="27" spans="2:25" x14ac:dyDescent="0.25">
      <c r="B27" s="3">
        <v>203.8</v>
      </c>
      <c r="C27" s="17">
        <v>0.20788000000000001</v>
      </c>
      <c r="D27" s="17">
        <v>0.20754</v>
      </c>
      <c r="E27" s="8">
        <v>0.20749000000000001</v>
      </c>
      <c r="F27" s="16">
        <f t="shared" si="1"/>
        <v>-3.4000000000000696E-4</v>
      </c>
      <c r="G27">
        <f t="shared" si="2"/>
        <v>-0.16355589763325329</v>
      </c>
      <c r="H27">
        <f t="shared" si="3"/>
        <v>2.4097546869726007E-2</v>
      </c>
      <c r="I27">
        <f t="shared" si="4"/>
        <v>-0.18760823552049327</v>
      </c>
      <c r="K27" s="8">
        <v>218.95</v>
      </c>
      <c r="L27">
        <v>11.7537</v>
      </c>
      <c r="M27" s="8">
        <v>11.5809</v>
      </c>
      <c r="N27">
        <v>11.671090299999999</v>
      </c>
      <c r="O27" s="16">
        <f t="shared" si="8"/>
        <v>-0.17280000000000051</v>
      </c>
      <c r="P27">
        <f t="shared" si="9"/>
        <v>-1.4701753490390304</v>
      </c>
      <c r="Q27">
        <f t="shared" si="10"/>
        <v>-0.77276670543796344</v>
      </c>
      <c r="R27">
        <f t="shared" si="12"/>
        <v>-0.702839956779574</v>
      </c>
      <c r="T27" s="17">
        <v>8.0075400000000005</v>
      </c>
      <c r="U27" s="2">
        <v>220</v>
      </c>
      <c r="V27" s="17">
        <v>1181.75</v>
      </c>
      <c r="W27" s="16">
        <v>1181.73</v>
      </c>
      <c r="X27" s="13">
        <f t="shared" si="7"/>
        <v>-1.6924053310752537E-3</v>
      </c>
    </row>
    <row r="28" spans="2:25" x14ac:dyDescent="0.25">
      <c r="B28" s="3">
        <v>205.24</v>
      </c>
      <c r="C28" s="17">
        <v>0.23150000000000001</v>
      </c>
      <c r="D28" s="17">
        <v>0.23111999999999999</v>
      </c>
      <c r="E28" s="8">
        <v>0.23111999999999999</v>
      </c>
      <c r="F28" s="16">
        <f t="shared" si="1"/>
        <v>-3.8000000000001921E-4</v>
      </c>
      <c r="G28">
        <f t="shared" si="2"/>
        <v>-0.16414686825054825</v>
      </c>
      <c r="H28">
        <f t="shared" si="3"/>
        <v>0</v>
      </c>
      <c r="I28">
        <f t="shared" si="4"/>
        <v>-0.16414686825054825</v>
      </c>
      <c r="K28" s="8">
        <v>219.98</v>
      </c>
      <c r="L28">
        <v>16.799685</v>
      </c>
      <c r="M28" s="8">
        <v>16.515250000000002</v>
      </c>
      <c r="N28">
        <v>16.622097109999999</v>
      </c>
      <c r="O28" s="16">
        <f t="shared" si="8"/>
        <v>-0.28443499999999844</v>
      </c>
      <c r="P28">
        <f t="shared" si="9"/>
        <v>-1.6930972217633748</v>
      </c>
      <c r="Q28">
        <f t="shared" si="10"/>
        <v>-0.64280162300168886</v>
      </c>
      <c r="R28">
        <f t="shared" si="12"/>
        <v>-1.0570905942581759</v>
      </c>
      <c r="T28" s="17">
        <v>9.0009899999999998</v>
      </c>
      <c r="U28" s="65">
        <v>220</v>
      </c>
      <c r="V28" s="19">
        <v>1183.69</v>
      </c>
      <c r="W28" s="27">
        <v>1183.69</v>
      </c>
      <c r="X28" s="66">
        <f t="shared" si="7"/>
        <v>0</v>
      </c>
    </row>
    <row r="29" spans="2:25" x14ac:dyDescent="0.25">
      <c r="B29" s="3">
        <v>207.03</v>
      </c>
      <c r="C29" s="17">
        <v>0.26411000000000001</v>
      </c>
      <c r="D29" s="17">
        <v>0.26371</v>
      </c>
      <c r="E29" s="8">
        <v>0.26379999999999998</v>
      </c>
      <c r="F29" s="16">
        <f t="shared" si="1"/>
        <v>-4.0000000000001146E-4</v>
      </c>
      <c r="G29">
        <f t="shared" si="2"/>
        <v>-0.15145204649578262</v>
      </c>
      <c r="H29">
        <f t="shared" si="3"/>
        <v>-3.4116755117505303E-2</v>
      </c>
      <c r="I29">
        <f t="shared" si="4"/>
        <v>-0.11737533603424045</v>
      </c>
      <c r="K29" s="8">
        <v>219.99</v>
      </c>
      <c r="L29">
        <v>16.799685</v>
      </c>
      <c r="M29" s="8">
        <v>16.56344</v>
      </c>
      <c r="N29">
        <v>16.670401160000001</v>
      </c>
      <c r="O29" s="16">
        <f t="shared" si="8"/>
        <v>-0.23624500000000026</v>
      </c>
      <c r="P29">
        <f t="shared" si="9"/>
        <v>-1.4062466052190874</v>
      </c>
      <c r="Q29">
        <f t="shared" si="10"/>
        <v>-0.64162319174807958</v>
      </c>
      <c r="R29">
        <f t="shared" si="12"/>
        <v>-0.76956109593721178</v>
      </c>
      <c r="T29" s="17">
        <v>0.80247999999999997</v>
      </c>
      <c r="U29" s="2">
        <v>230</v>
      </c>
      <c r="V29" s="17">
        <v>20.601600000000001</v>
      </c>
      <c r="W29" s="16">
        <v>20.603100000000001</v>
      </c>
      <c r="X29" s="13">
        <f t="shared" si="7"/>
        <v>7.2809878844364356E-3</v>
      </c>
    </row>
    <row r="30" spans="2:25" x14ac:dyDescent="0.25">
      <c r="B30" s="3">
        <v>207.22</v>
      </c>
      <c r="C30" s="17">
        <v>0.26779999999999998</v>
      </c>
      <c r="D30" s="17">
        <v>0.26740000000000003</v>
      </c>
      <c r="E30" s="8">
        <v>0.26749000000000001</v>
      </c>
      <c r="F30" s="16">
        <f t="shared" si="1"/>
        <v>-3.9999999999995595E-4</v>
      </c>
      <c r="G30">
        <f t="shared" si="2"/>
        <v>-0.14936519790887079</v>
      </c>
      <c r="H30">
        <f t="shared" si="3"/>
        <v>-3.3646117611865485E-2</v>
      </c>
      <c r="I30">
        <f t="shared" si="4"/>
        <v>-0.11575802837937901</v>
      </c>
      <c r="K30" s="8">
        <v>221.94</v>
      </c>
      <c r="L30">
        <v>26.192512499999999</v>
      </c>
      <c r="M30" s="8">
        <v>26.065539999999999</v>
      </c>
      <c r="N30">
        <v>26.176426639999999</v>
      </c>
      <c r="O30" s="16">
        <f t="shared" si="8"/>
        <v>-0.12697250000000082</v>
      </c>
      <c r="P30">
        <f t="shared" si="9"/>
        <v>-0.48476640032146906</v>
      </c>
      <c r="Q30">
        <f t="shared" si="10"/>
        <v>-0.4236125943582969</v>
      </c>
      <c r="R30">
        <f t="shared" si="12"/>
        <v>-6.1413963246177518E-2</v>
      </c>
      <c r="T30" s="17">
        <v>0.84975999999999996</v>
      </c>
      <c r="U30" s="65">
        <v>230</v>
      </c>
      <c r="V30" s="19">
        <v>21.9848</v>
      </c>
      <c r="W30" s="27">
        <v>21.986799999999999</v>
      </c>
      <c r="X30" s="66">
        <f t="shared" si="7"/>
        <v>9.0971944252342136E-3</v>
      </c>
    </row>
    <row r="31" spans="2:25" x14ac:dyDescent="0.25">
      <c r="B31" s="3">
        <v>207.61</v>
      </c>
      <c r="C31" s="17">
        <v>0.27548</v>
      </c>
      <c r="D31" s="17">
        <v>0.27511999999999998</v>
      </c>
      <c r="E31" s="8">
        <v>0.27522999999999997</v>
      </c>
      <c r="F31" s="16">
        <f t="shared" si="1"/>
        <v>-3.6000000000002697E-4</v>
      </c>
      <c r="G31">
        <f t="shared" si="2"/>
        <v>-0.13068099317555792</v>
      </c>
      <c r="H31">
        <f t="shared" si="3"/>
        <v>-3.9966573411328345E-2</v>
      </c>
      <c r="I31">
        <f t="shared" si="4"/>
        <v>-9.0750689705251922E-2</v>
      </c>
      <c r="K31" s="8">
        <v>222.03</v>
      </c>
      <c r="L31">
        <v>26.699137499999999</v>
      </c>
      <c r="M31" s="8">
        <v>26.509029999999999</v>
      </c>
      <c r="N31">
        <v>26.6193329</v>
      </c>
      <c r="O31" s="16">
        <f t="shared" si="8"/>
        <v>-0.19010749999999987</v>
      </c>
      <c r="P31">
        <f t="shared" si="9"/>
        <v>-0.71203610978069942</v>
      </c>
      <c r="Q31">
        <f t="shared" si="10"/>
        <v>-0.41437139095247816</v>
      </c>
      <c r="R31">
        <f t="shared" si="12"/>
        <v>-0.29890328854255771</v>
      </c>
      <c r="T31" s="17">
        <v>4.1876699999999998</v>
      </c>
      <c r="U31" s="67">
        <v>233.15</v>
      </c>
      <c r="V31" s="68">
        <v>1125.2</v>
      </c>
      <c r="W31" s="69">
        <v>1125.26</v>
      </c>
      <c r="X31" s="70">
        <f t="shared" si="7"/>
        <v>5.332385353710045E-3</v>
      </c>
    </row>
    <row r="32" spans="2:25" x14ac:dyDescent="0.25">
      <c r="B32" s="3">
        <v>207.98</v>
      </c>
      <c r="C32" s="17">
        <v>0.28305000000000002</v>
      </c>
      <c r="D32" s="17">
        <v>0.28261999999999998</v>
      </c>
      <c r="E32" s="8">
        <v>0.28273999999999999</v>
      </c>
      <c r="F32" s="16">
        <f t="shared" si="1"/>
        <v>-4.3000000000004146E-4</v>
      </c>
      <c r="G32">
        <f t="shared" si="2"/>
        <v>-0.15191662250487242</v>
      </c>
      <c r="H32">
        <f t="shared" si="3"/>
        <v>-4.2441819339325525E-2</v>
      </c>
      <c r="I32">
        <f t="shared" si="4"/>
        <v>-0.10952128599188569</v>
      </c>
      <c r="K32" s="8">
        <v>226.25</v>
      </c>
      <c r="L32">
        <v>47.936857500000002</v>
      </c>
      <c r="M32" s="8">
        <v>47.774900000000002</v>
      </c>
      <c r="N32">
        <v>47.799479329999997</v>
      </c>
      <c r="O32" s="16">
        <f t="shared" si="8"/>
        <v>-0.16195749999999975</v>
      </c>
      <c r="P32">
        <f t="shared" si="9"/>
        <v>-0.33785589720811326</v>
      </c>
      <c r="Q32">
        <f t="shared" si="10"/>
        <v>-5.1421752589192002E-2</v>
      </c>
      <c r="R32">
        <f t="shared" si="12"/>
        <v>-0.2865815098538847</v>
      </c>
      <c r="T32" s="17">
        <v>0.30146000000000001</v>
      </c>
      <c r="U32" s="3">
        <v>240</v>
      </c>
      <c r="V32" s="17">
        <v>6.8643999999999998</v>
      </c>
      <c r="W32" s="16">
        <v>6.8641399999999999</v>
      </c>
      <c r="X32" s="13">
        <f t="shared" si="7"/>
        <v>-3.7876580618834417E-3</v>
      </c>
      <c r="Y32" t="s">
        <v>226</v>
      </c>
    </row>
    <row r="33" spans="2:25" x14ac:dyDescent="0.25">
      <c r="B33" s="3">
        <v>208.44</v>
      </c>
      <c r="C33" s="17">
        <v>0.29264000000000001</v>
      </c>
      <c r="D33" s="17">
        <v>0.29220000000000002</v>
      </c>
      <c r="E33" s="8">
        <v>0.29233999999999999</v>
      </c>
      <c r="F33" s="16">
        <f t="shared" si="1"/>
        <v>-4.3999999999999595E-4</v>
      </c>
      <c r="G33">
        <f t="shared" si="2"/>
        <v>-0.15035538545653224</v>
      </c>
      <c r="H33">
        <f t="shared" si="3"/>
        <v>-4.7889443798307958E-2</v>
      </c>
      <c r="I33">
        <f t="shared" si="4"/>
        <v>-0.10251503553855333</v>
      </c>
      <c r="K33" s="8">
        <v>235.25</v>
      </c>
      <c r="L33">
        <v>95.863582500000007</v>
      </c>
      <c r="M33" s="8">
        <v>96.021569999999997</v>
      </c>
      <c r="N33">
        <v>95.670545099999998</v>
      </c>
      <c r="O33" s="16">
        <f t="shared" si="8"/>
        <v>0.15798749999999018</v>
      </c>
      <c r="P33">
        <f t="shared" si="9"/>
        <v>0.16480450227278973</v>
      </c>
      <c r="Q33">
        <f t="shared" si="10"/>
        <v>0.3669101076335341</v>
      </c>
      <c r="R33">
        <f t="shared" si="12"/>
        <v>-0.20136677032699937</v>
      </c>
      <c r="T33" s="17">
        <v>0.50122999999999995</v>
      </c>
      <c r="U33" s="3">
        <v>240</v>
      </c>
      <c r="V33" s="17">
        <v>11.6769</v>
      </c>
      <c r="W33" s="16">
        <v>11.676600000000001</v>
      </c>
      <c r="X33" s="13">
        <f t="shared" si="7"/>
        <v>-2.5691750378893444E-3</v>
      </c>
      <c r="Y33" t="s">
        <v>215</v>
      </c>
    </row>
    <row r="34" spans="2:25" x14ac:dyDescent="0.25">
      <c r="B34" s="3">
        <v>209.3</v>
      </c>
      <c r="C34" s="17">
        <v>0.31126999999999999</v>
      </c>
      <c r="D34" s="17">
        <v>0.31089</v>
      </c>
      <c r="E34" s="8">
        <v>0.31107000000000001</v>
      </c>
      <c r="F34" s="16">
        <f t="shared" si="1"/>
        <v>-3.7999999999999146E-4</v>
      </c>
      <c r="G34">
        <f t="shared" si="2"/>
        <v>-0.1220805088829606</v>
      </c>
      <c r="H34">
        <f t="shared" si="3"/>
        <v>-5.786478927573005E-2</v>
      </c>
      <c r="I34">
        <f t="shared" si="4"/>
        <v>-6.4252899412078901E-2</v>
      </c>
      <c r="K34" s="8">
        <v>242.65</v>
      </c>
      <c r="L34">
        <v>138.06544500000001</v>
      </c>
      <c r="M34" s="8">
        <v>138.42627999999999</v>
      </c>
      <c r="N34">
        <v>137.7853484</v>
      </c>
      <c r="O34" s="16">
        <f t="shared" si="8"/>
        <v>0.36083499999998025</v>
      </c>
      <c r="P34">
        <f t="shared" si="9"/>
        <v>0.26135069495483121</v>
      </c>
      <c r="Q34">
        <f t="shared" si="10"/>
        <v>0.46516673031106376</v>
      </c>
      <c r="R34">
        <f t="shared" si="12"/>
        <v>-0.20287234072218963</v>
      </c>
      <c r="T34" s="17">
        <v>0.50190999999999997</v>
      </c>
      <c r="U34" s="3">
        <v>240</v>
      </c>
      <c r="V34" s="17">
        <v>11.693099999999999</v>
      </c>
      <c r="W34" s="16">
        <v>11.6934</v>
      </c>
      <c r="X34" s="13">
        <f t="shared" si="7"/>
        <v>2.5656156194771036E-3</v>
      </c>
    </row>
    <row r="35" spans="2:25" x14ac:dyDescent="0.25">
      <c r="B35" s="3">
        <v>210.73</v>
      </c>
      <c r="C35" s="17">
        <v>0.34497</v>
      </c>
      <c r="D35" s="17">
        <v>0.34433999999999998</v>
      </c>
      <c r="E35" s="8">
        <v>0.34456999999999999</v>
      </c>
      <c r="F35" s="16">
        <f t="shared" si="1"/>
        <v>-6.3000000000001943E-4</v>
      </c>
      <c r="G35">
        <f t="shared" si="2"/>
        <v>-0.18262457605009694</v>
      </c>
      <c r="H35">
        <f t="shared" si="3"/>
        <v>-6.6749862147026148E-2</v>
      </c>
      <c r="I35">
        <f t="shared" si="4"/>
        <v>-0.11595211177783908</v>
      </c>
      <c r="K35" s="8">
        <v>242.66</v>
      </c>
      <c r="L35">
        <v>138.06544500000001</v>
      </c>
      <c r="M35" s="8">
        <v>138.48518000000001</v>
      </c>
      <c r="N35">
        <v>137.8439419</v>
      </c>
      <c r="O35" s="16">
        <f t="shared" si="8"/>
        <v>0.41973500000000286</v>
      </c>
      <c r="P35">
        <f t="shared" si="9"/>
        <v>0.3040116228937681</v>
      </c>
      <c r="Q35">
        <f t="shared" si="10"/>
        <v>0.46519135419473195</v>
      </c>
      <c r="R35">
        <f t="shared" si="12"/>
        <v>-0.16043340895327335</v>
      </c>
      <c r="T35" s="17">
        <v>0.75036000000000003</v>
      </c>
      <c r="U35" s="3">
        <v>240</v>
      </c>
      <c r="V35" s="17">
        <v>18.0261</v>
      </c>
      <c r="W35" s="16">
        <v>18.027200000000001</v>
      </c>
      <c r="X35" s="13">
        <f t="shared" si="7"/>
        <v>6.1022628300130876E-3</v>
      </c>
    </row>
    <row r="36" spans="2:25" x14ac:dyDescent="0.25">
      <c r="B36" s="3">
        <v>210.93</v>
      </c>
      <c r="C36" s="17">
        <v>0.34976000000000002</v>
      </c>
      <c r="D36" s="17">
        <v>0.34927000000000002</v>
      </c>
      <c r="E36" s="8">
        <v>0.34949999999999998</v>
      </c>
      <c r="F36" s="16">
        <f t="shared" si="1"/>
        <v>-4.8999999999999044E-4</v>
      </c>
      <c r="G36">
        <f t="shared" si="2"/>
        <v>-0.14009606587373927</v>
      </c>
      <c r="H36">
        <f t="shared" si="3"/>
        <v>-6.5808297567940627E-2</v>
      </c>
      <c r="I36">
        <f t="shared" si="4"/>
        <v>-7.433668801464946E-2</v>
      </c>
      <c r="K36" s="8">
        <v>252.25</v>
      </c>
      <c r="L36">
        <v>195.96254999999999</v>
      </c>
      <c r="M36" s="8">
        <v>196.88381000000001</v>
      </c>
      <c r="N36">
        <v>196.12443690000001</v>
      </c>
      <c r="O36" s="16">
        <f t="shared" si="8"/>
        <v>0.92126000000001795</v>
      </c>
      <c r="P36">
        <f t="shared" si="9"/>
        <v>0.47012043882875476</v>
      </c>
      <c r="Q36">
        <f t="shared" si="10"/>
        <v>0.3871894354435772</v>
      </c>
      <c r="R36">
        <f t="shared" si="12"/>
        <v>8.2611141771738103E-2</v>
      </c>
      <c r="T36" s="17">
        <v>0.99563000000000001</v>
      </c>
      <c r="U36" s="3">
        <v>240</v>
      </c>
      <c r="V36" s="17">
        <v>24.731100000000001</v>
      </c>
      <c r="W36" s="16">
        <v>24.732399999999998</v>
      </c>
      <c r="X36" s="13">
        <f t="shared" si="7"/>
        <v>5.2565393370977032E-3</v>
      </c>
    </row>
    <row r="37" spans="2:25" x14ac:dyDescent="0.25">
      <c r="B37" s="3">
        <v>211.11</v>
      </c>
      <c r="C37" s="17">
        <v>0.35419</v>
      </c>
      <c r="D37" s="17">
        <v>0.35376000000000002</v>
      </c>
      <c r="E37" s="8">
        <v>0.35399000000000003</v>
      </c>
      <c r="F37" s="16">
        <f t="shared" si="1"/>
        <v>-4.2999999999998595E-4</v>
      </c>
      <c r="G37">
        <f t="shared" si="2"/>
        <v>-0.12140376634009598</v>
      </c>
      <c r="H37">
        <f t="shared" si="3"/>
        <v>-6.497358682448881E-2</v>
      </c>
      <c r="I37">
        <f t="shared" si="4"/>
        <v>-5.6466868065156543E-2</v>
      </c>
      <c r="K37" s="8">
        <v>259.08999999999997</v>
      </c>
      <c r="L37">
        <v>240.24157500000001</v>
      </c>
      <c r="M37" s="8">
        <v>240.81712999999999</v>
      </c>
      <c r="N37">
        <v>240.2429736</v>
      </c>
      <c r="O37" s="16">
        <f t="shared" si="8"/>
        <v>0.57555499999998005</v>
      </c>
      <c r="P37">
        <f t="shared" si="9"/>
        <v>0.23957343769494518</v>
      </c>
      <c r="Q37">
        <f t="shared" si="10"/>
        <v>0.2389898823663214</v>
      </c>
      <c r="R37">
        <f t="shared" si="12"/>
        <v>5.8216401552790441E-4</v>
      </c>
      <c r="T37" s="17">
        <v>0.99968000000000001</v>
      </c>
      <c r="U37" s="3">
        <v>240</v>
      </c>
      <c r="V37" s="17">
        <v>24.845199999999998</v>
      </c>
      <c r="W37" s="16">
        <v>24.8475</v>
      </c>
      <c r="X37" s="13">
        <f t="shared" si="7"/>
        <v>9.2573213337052845E-3</v>
      </c>
    </row>
    <row r="38" spans="2:25" x14ac:dyDescent="0.25">
      <c r="B38" s="3">
        <v>211.23</v>
      </c>
      <c r="C38" s="17">
        <v>0.35732999999999998</v>
      </c>
      <c r="D38" s="17">
        <v>0.35677999999999999</v>
      </c>
      <c r="E38" s="8">
        <v>0.35702</v>
      </c>
      <c r="F38" s="16">
        <f t="shared" si="1"/>
        <v>-5.4999999999999494E-4</v>
      </c>
      <c r="G38">
        <f t="shared" si="2"/>
        <v>-0.15391934626255702</v>
      </c>
      <c r="H38">
        <f t="shared" si="3"/>
        <v>-6.7223124754920732E-2</v>
      </c>
      <c r="I38">
        <f t="shared" si="4"/>
        <v>-8.6754540620708309E-2</v>
      </c>
      <c r="K38" s="8">
        <v>259.2</v>
      </c>
      <c r="L38">
        <v>241.13323500000001</v>
      </c>
      <c r="M38" s="8">
        <v>241.53886</v>
      </c>
      <c r="N38">
        <v>240.96983180000001</v>
      </c>
      <c r="O38" s="16">
        <f t="shared" si="8"/>
        <v>0.40562499999998636</v>
      </c>
      <c r="P38">
        <f t="shared" si="9"/>
        <v>0.16821613163361174</v>
      </c>
      <c r="Q38">
        <f t="shared" si="10"/>
        <v>0.23614084624181203</v>
      </c>
      <c r="R38">
        <f t="shared" si="12"/>
        <v>-6.7764694485189791E-2</v>
      </c>
      <c r="T38" s="17">
        <v>1.0008600000000001</v>
      </c>
      <c r="U38" s="3">
        <v>240</v>
      </c>
      <c r="V38" s="17">
        <v>24.8796</v>
      </c>
      <c r="W38" s="16">
        <v>24.881</v>
      </c>
      <c r="X38" s="13">
        <f t="shared" si="7"/>
        <v>5.6271001141509104E-3</v>
      </c>
    </row>
    <row r="39" spans="2:25" x14ac:dyDescent="0.25">
      <c r="B39" s="3">
        <v>211.29</v>
      </c>
      <c r="C39" s="17">
        <v>0.35886000000000001</v>
      </c>
      <c r="D39" s="17">
        <v>0.35830000000000001</v>
      </c>
      <c r="E39" s="8">
        <v>0.35854000000000003</v>
      </c>
      <c r="F39" s="16">
        <f t="shared" si="1"/>
        <v>-5.6000000000000494E-4</v>
      </c>
      <c r="G39">
        <f t="shared" si="2"/>
        <v>-0.15604971297999357</v>
      </c>
      <c r="H39">
        <f t="shared" si="3"/>
        <v>-6.6938138004132855E-2</v>
      </c>
      <c r="I39">
        <f t="shared" si="4"/>
        <v>-8.91712645599919E-2</v>
      </c>
      <c r="K39" s="8">
        <v>261.62</v>
      </c>
      <c r="L39">
        <v>257.04126000000002</v>
      </c>
      <c r="M39" s="8">
        <v>257.53726999999998</v>
      </c>
      <c r="N39">
        <v>257.09965940000001</v>
      </c>
      <c r="O39" s="16">
        <f t="shared" si="8"/>
        <v>0.49600999999995565</v>
      </c>
      <c r="P39">
        <f t="shared" si="9"/>
        <v>0.19296901983749831</v>
      </c>
      <c r="Q39">
        <f t="shared" si="10"/>
        <v>0.17021049386888876</v>
      </c>
      <c r="R39">
        <f t="shared" si="12"/>
        <v>2.2719854392242233E-2</v>
      </c>
      <c r="T39" s="17">
        <v>1.0009399999999999</v>
      </c>
      <c r="U39" s="3">
        <v>240</v>
      </c>
      <c r="V39" s="17">
        <v>24.880800000000001</v>
      </c>
      <c r="W39" s="16">
        <v>24.883299999999998</v>
      </c>
      <c r="X39" s="13">
        <f t="shared" si="7"/>
        <v>1.0047908427372618E-2</v>
      </c>
    </row>
    <row r="40" spans="2:25" x14ac:dyDescent="0.25">
      <c r="B40" s="3">
        <v>213.19</v>
      </c>
      <c r="C40" s="17">
        <v>0.40993000000000002</v>
      </c>
      <c r="D40" s="17">
        <v>0.40949999999999998</v>
      </c>
      <c r="E40" s="8">
        <v>0.40975</v>
      </c>
      <c r="F40" s="16">
        <f t="shared" si="1"/>
        <v>-4.3000000000004146E-4</v>
      </c>
      <c r="G40">
        <f t="shared" si="2"/>
        <v>-0.1048959578464717</v>
      </c>
      <c r="H40">
        <f t="shared" si="3"/>
        <v>-6.1012812690671867E-2</v>
      </c>
      <c r="I40">
        <f t="shared" si="4"/>
        <v>-4.3909935842708137E-2</v>
      </c>
      <c r="K40" s="8">
        <v>265.67</v>
      </c>
      <c r="L40">
        <v>284.27742000000001</v>
      </c>
      <c r="M40" s="8">
        <v>284.82368000000002</v>
      </c>
      <c r="N40">
        <v>284.68845570000002</v>
      </c>
      <c r="O40" s="16">
        <f t="shared" si="8"/>
        <v>0.54626000000001795</v>
      </c>
      <c r="P40">
        <f t="shared" si="9"/>
        <v>0.19215736515408713</v>
      </c>
      <c r="Q40">
        <f t="shared" si="10"/>
        <v>4.7499045813962172E-2</v>
      </c>
      <c r="R40">
        <f t="shared" si="12"/>
        <v>0.14458964064047491</v>
      </c>
      <c r="T40" s="17">
        <v>1.2543</v>
      </c>
      <c r="U40" s="3">
        <v>240</v>
      </c>
      <c r="V40" s="17">
        <v>32.411700000000003</v>
      </c>
      <c r="W40" s="16">
        <v>32.413200000000003</v>
      </c>
      <c r="X40" s="13">
        <f t="shared" si="7"/>
        <v>4.6279584224217076E-3</v>
      </c>
    </row>
    <row r="41" spans="2:25" x14ac:dyDescent="0.25">
      <c r="B41" s="3">
        <v>213.27</v>
      </c>
      <c r="C41" s="17">
        <v>0.41224</v>
      </c>
      <c r="D41" s="17">
        <v>0.4118</v>
      </c>
      <c r="E41" s="8">
        <v>0.41204000000000002</v>
      </c>
      <c r="F41" s="16">
        <f t="shared" si="1"/>
        <v>-4.3999999999999595E-4</v>
      </c>
      <c r="G41">
        <f t="shared" si="2"/>
        <v>-0.10673394139336211</v>
      </c>
      <c r="H41">
        <f t="shared" si="3"/>
        <v>-5.8246772158047272E-2</v>
      </c>
      <c r="I41">
        <f t="shared" si="4"/>
        <v>-4.8515427906068789E-2</v>
      </c>
      <c r="K41" s="8">
        <v>266</v>
      </c>
      <c r="L41">
        <v>286.770015</v>
      </c>
      <c r="M41" s="8">
        <v>287.07508000000001</v>
      </c>
      <c r="N41">
        <v>286.96923370000002</v>
      </c>
      <c r="O41" s="16">
        <f t="shared" si="8"/>
        <v>0.30506500000001324</v>
      </c>
      <c r="P41">
        <f t="shared" si="9"/>
        <v>0.10637967152877306</v>
      </c>
      <c r="Q41">
        <f t="shared" si="10"/>
        <v>3.6884197875598275E-2</v>
      </c>
      <c r="R41">
        <f t="shared" si="12"/>
        <v>6.9469850256142426E-2</v>
      </c>
      <c r="T41" s="17">
        <v>1.3922099999999999</v>
      </c>
      <c r="U41" s="3">
        <v>240</v>
      </c>
      <c r="V41" s="17">
        <v>1089.26</v>
      </c>
      <c r="W41" s="16">
        <v>1089.23</v>
      </c>
      <c r="X41" s="13">
        <f t="shared" si="7"/>
        <v>-2.7541633769690172E-3</v>
      </c>
    </row>
    <row r="42" spans="2:25" x14ac:dyDescent="0.25">
      <c r="B42" s="3">
        <v>213.28</v>
      </c>
      <c r="C42" s="17">
        <v>0.41276000000000002</v>
      </c>
      <c r="D42" s="17">
        <v>0.41208</v>
      </c>
      <c r="E42" s="8">
        <v>0.41232999999999997</v>
      </c>
      <c r="F42" s="16">
        <f t="shared" si="1"/>
        <v>-6.8000000000001393E-4</v>
      </c>
      <c r="G42">
        <f t="shared" si="2"/>
        <v>-0.1647446457990149</v>
      </c>
      <c r="H42">
        <f t="shared" si="3"/>
        <v>-6.0631047947026041E-2</v>
      </c>
      <c r="I42">
        <f t="shared" si="4"/>
        <v>-0.10417676131409086</v>
      </c>
      <c r="T42" s="17">
        <v>2.0010300000000001</v>
      </c>
      <c r="U42" s="3">
        <v>240</v>
      </c>
      <c r="V42" s="17">
        <v>1091.27</v>
      </c>
      <c r="W42" s="16">
        <v>1091.24</v>
      </c>
      <c r="X42" s="13">
        <f t="shared" si="7"/>
        <v>-2.7490905092206986E-3</v>
      </c>
    </row>
    <row r="43" spans="2:25" x14ac:dyDescent="0.25">
      <c r="B43" s="3">
        <v>213.31</v>
      </c>
      <c r="C43" s="17">
        <v>0.41361399999999998</v>
      </c>
      <c r="D43" s="17">
        <v>0.41294999999999998</v>
      </c>
      <c r="E43" s="8">
        <v>0.41319</v>
      </c>
      <c r="F43" s="16">
        <f t="shared" si="1"/>
        <v>-6.6399999999999793E-4</v>
      </c>
      <c r="G43">
        <f t="shared" si="2"/>
        <v>-0.16053615206448474</v>
      </c>
      <c r="H43">
        <f t="shared" si="3"/>
        <v>-5.8084658389607198E-2</v>
      </c>
      <c r="I43">
        <f t="shared" si="4"/>
        <v>-0.10251103686044959</v>
      </c>
      <c r="T43" s="17">
        <v>3.0052699999999999</v>
      </c>
      <c r="U43" s="3">
        <v>240</v>
      </c>
      <c r="V43" s="17">
        <v>1094.51</v>
      </c>
      <c r="W43" s="16">
        <v>1094.48</v>
      </c>
      <c r="X43" s="13">
        <f t="shared" si="7"/>
        <v>-2.7409525723814964E-3</v>
      </c>
    </row>
    <row r="44" spans="2:25" x14ac:dyDescent="0.25">
      <c r="B44" s="3">
        <v>213.34</v>
      </c>
      <c r="C44" s="17">
        <v>0.414331</v>
      </c>
      <c r="D44" s="17">
        <v>0.41381000000000001</v>
      </c>
      <c r="E44" s="8">
        <v>0.41405999999999998</v>
      </c>
      <c r="F44" s="16">
        <f t="shared" si="1"/>
        <v>-5.2099999999999369E-4</v>
      </c>
      <c r="G44">
        <f t="shared" si="2"/>
        <v>-0.1257448754739553</v>
      </c>
      <c r="H44">
        <f t="shared" si="3"/>
        <v>-6.0377723035302248E-2</v>
      </c>
      <c r="I44">
        <f t="shared" si="4"/>
        <v>-6.5406643480700508E-2</v>
      </c>
      <c r="K44" t="s">
        <v>373</v>
      </c>
      <c r="N44" t="s">
        <v>374</v>
      </c>
      <c r="Q44" t="s">
        <v>216</v>
      </c>
      <c r="T44" s="17">
        <v>4.0102500000000001</v>
      </c>
      <c r="U44" s="3">
        <v>240</v>
      </c>
      <c r="V44" s="17">
        <v>1097.6600000000001</v>
      </c>
      <c r="W44" s="16">
        <v>1097.6400000000001</v>
      </c>
      <c r="X44" s="13">
        <f t="shared" si="7"/>
        <v>-1.8220578321139342E-3</v>
      </c>
    </row>
    <row r="45" spans="2:25" x14ac:dyDescent="0.25">
      <c r="B45" s="3">
        <v>213.34</v>
      </c>
      <c r="C45" s="17">
        <v>0.41447400000000001</v>
      </c>
      <c r="D45" s="17">
        <v>0.41381000000000001</v>
      </c>
      <c r="E45" s="8">
        <v>0.41405999999999998</v>
      </c>
      <c r="F45" s="16">
        <f t="shared" si="1"/>
        <v>-6.6399999999999793E-4</v>
      </c>
      <c r="G45">
        <f t="shared" si="2"/>
        <v>-0.16020305254370548</v>
      </c>
      <c r="H45">
        <f t="shared" si="3"/>
        <v>-6.0377723035302248E-2</v>
      </c>
      <c r="I45">
        <f t="shared" si="4"/>
        <v>-9.9885638182377043E-2</v>
      </c>
      <c r="K45" s="21" t="s">
        <v>86</v>
      </c>
      <c r="L45" s="21"/>
      <c r="M45" s="21"/>
      <c r="N45" s="21"/>
      <c r="O45" s="21"/>
      <c r="P45" s="21"/>
      <c r="Q45" s="21"/>
      <c r="R45" s="21"/>
      <c r="S45" s="21"/>
      <c r="T45" s="17">
        <v>5.0008600000000003</v>
      </c>
      <c r="U45" s="3">
        <v>240</v>
      </c>
      <c r="V45" s="17">
        <v>1100.7</v>
      </c>
      <c r="W45" s="16">
        <v>1100.67</v>
      </c>
      <c r="X45" s="13">
        <f t="shared" si="7"/>
        <v>-2.7255382938105492E-3</v>
      </c>
    </row>
    <row r="46" spans="2:25" x14ac:dyDescent="0.25">
      <c r="B46" s="3">
        <v>213.35</v>
      </c>
      <c r="C46" s="17">
        <v>0.41476000000000002</v>
      </c>
      <c r="D46" s="17">
        <v>0.41410000000000002</v>
      </c>
      <c r="E46" s="8">
        <v>0.41433999999999999</v>
      </c>
      <c r="F46" s="16">
        <f t="shared" si="1"/>
        <v>-6.5999999999999392E-4</v>
      </c>
      <c r="G46">
        <f t="shared" si="2"/>
        <v>-0.15912817050824427</v>
      </c>
      <c r="H46">
        <f t="shared" si="3"/>
        <v>-5.7923444514158054E-2</v>
      </c>
      <c r="I46">
        <f t="shared" si="4"/>
        <v>-0.10126338123252759</v>
      </c>
      <c r="K46" s="1" t="s">
        <v>1</v>
      </c>
      <c r="L46" s="1" t="s">
        <v>58</v>
      </c>
      <c r="M46" s="1" t="s">
        <v>57</v>
      </c>
      <c r="N46" s="1" t="s">
        <v>60</v>
      </c>
      <c r="O46" s="1" t="s">
        <v>59</v>
      </c>
      <c r="P46" s="1" t="s">
        <v>92</v>
      </c>
      <c r="Q46" s="1" t="s">
        <v>91</v>
      </c>
      <c r="R46" s="1" t="s">
        <v>90</v>
      </c>
      <c r="S46" s="71"/>
      <c r="T46" s="17">
        <v>5.0101800000000001</v>
      </c>
      <c r="U46" s="3">
        <v>240</v>
      </c>
      <c r="V46" s="17">
        <v>1100.72</v>
      </c>
      <c r="W46" s="16">
        <v>1100.69</v>
      </c>
      <c r="X46" s="13">
        <f t="shared" si="7"/>
        <v>-2.7254887709837845E-3</v>
      </c>
    </row>
    <row r="47" spans="2:25" x14ac:dyDescent="0.25">
      <c r="B47" s="3">
        <v>213.39</v>
      </c>
      <c r="C47" s="17">
        <v>0.41576000000000002</v>
      </c>
      <c r="D47" s="17">
        <v>0.41526000000000002</v>
      </c>
      <c r="E47" s="8">
        <v>0.41549999999999998</v>
      </c>
      <c r="F47" s="16">
        <f t="shared" si="1"/>
        <v>-5.0000000000000044E-4</v>
      </c>
      <c r="G47">
        <f t="shared" si="2"/>
        <v>-0.12026168943621331</v>
      </c>
      <c r="H47">
        <f t="shared" si="3"/>
        <v>-5.7761732851976527E-2</v>
      </c>
      <c r="I47">
        <f t="shared" si="4"/>
        <v>-6.2536078506839995E-2</v>
      </c>
      <c r="K47" s="8">
        <v>217</v>
      </c>
      <c r="L47" s="8">
        <v>0.52746999999999999</v>
      </c>
      <c r="M47">
        <v>0.52722000000000002</v>
      </c>
      <c r="N47" s="8">
        <v>0.52721322800000003</v>
      </c>
      <c r="O47" s="16">
        <f>-L47+M47</f>
        <v>-2.4999999999997247E-4</v>
      </c>
      <c r="P47">
        <f>100*O47/L47</f>
        <v>-4.7396060439451056E-2</v>
      </c>
      <c r="Q47">
        <f>-100*(N47-M47)/N47</f>
        <v>1.2844897738393301E-3</v>
      </c>
      <c r="R47">
        <f>100*(N47-L47)/L47</f>
        <v>-4.8679924924632814E-2</v>
      </c>
      <c r="T47" s="17">
        <v>6.0094700000000003</v>
      </c>
      <c r="U47" s="3">
        <v>240</v>
      </c>
      <c r="V47" s="17">
        <v>1103.7</v>
      </c>
      <c r="W47" s="16">
        <v>1103.68</v>
      </c>
      <c r="X47" s="13">
        <f t="shared" si="7"/>
        <v>-1.8120866177386797E-3</v>
      </c>
    </row>
    <row r="48" spans="2:25" x14ac:dyDescent="0.25">
      <c r="B48" s="3">
        <v>213.41</v>
      </c>
      <c r="C48" s="17">
        <v>0.41649999999999998</v>
      </c>
      <c r="D48" s="17">
        <v>0.41583999999999999</v>
      </c>
      <c r="E48" s="8">
        <v>0.41608000000000001</v>
      </c>
      <c r="F48" s="16">
        <f t="shared" si="1"/>
        <v>-6.5999999999999392E-4</v>
      </c>
      <c r="G48">
        <f t="shared" si="2"/>
        <v>-0.1584633853541402</v>
      </c>
      <c r="H48">
        <f t="shared" si="3"/>
        <v>-5.7681215150936833E-2</v>
      </c>
      <c r="I48">
        <f t="shared" si="4"/>
        <v>-0.10084033613444801</v>
      </c>
      <c r="K48" s="8">
        <v>217</v>
      </c>
      <c r="L48" s="8">
        <v>0.52746000000000004</v>
      </c>
      <c r="M48">
        <v>0.52722000000000002</v>
      </c>
      <c r="N48" s="8">
        <v>0.52721322800000003</v>
      </c>
      <c r="O48" s="16">
        <f t="shared" ref="O48:O111" si="13">-L48+M48</f>
        <v>-2.4000000000001798E-4</v>
      </c>
      <c r="P48">
        <f t="shared" ref="P48:P111" si="14">100*O48/L48</f>
        <v>-4.5501080650668858E-2</v>
      </c>
      <c r="Q48">
        <f>-100*(N48-M48)/N48</f>
        <v>1.2844897738393301E-3</v>
      </c>
      <c r="R48">
        <f t="shared" ref="R48:R111" si="15">100*(N48-L48)/L48</f>
        <v>-4.6784969476359572E-2</v>
      </c>
      <c r="T48" s="17">
        <v>7.0034400000000003</v>
      </c>
      <c r="U48" s="3">
        <v>240</v>
      </c>
      <c r="V48" s="17">
        <v>1106.6300000000001</v>
      </c>
      <c r="W48" s="16">
        <v>1106.57</v>
      </c>
      <c r="X48" s="13">
        <f t="shared" si="7"/>
        <v>-5.4218663871549479E-3</v>
      </c>
    </row>
    <row r="49" spans="2:24" x14ac:dyDescent="0.25">
      <c r="B49" s="3">
        <v>213.43</v>
      </c>
      <c r="C49" s="17">
        <v>0.41710000000000003</v>
      </c>
      <c r="D49" s="17">
        <v>0.41642000000000001</v>
      </c>
      <c r="E49" s="8">
        <v>0.41665999999999997</v>
      </c>
      <c r="F49" s="16">
        <f t="shared" si="1"/>
        <v>-6.8000000000001393E-4</v>
      </c>
      <c r="G49">
        <f t="shared" si="2"/>
        <v>-0.16303044833373626</v>
      </c>
      <c r="H49">
        <f t="shared" si="3"/>
        <v>-5.760092161473683E-2</v>
      </c>
      <c r="I49">
        <f t="shared" si="4"/>
        <v>-0.1054902900983101</v>
      </c>
      <c r="K49" s="8">
        <v>217</v>
      </c>
      <c r="L49" s="8">
        <v>0.52744000000000002</v>
      </c>
      <c r="M49">
        <v>0.52722000000000002</v>
      </c>
      <c r="N49" s="8">
        <v>0.52721322800000003</v>
      </c>
      <c r="O49" s="16">
        <f t="shared" si="13"/>
        <v>-2.1999999999999797E-4</v>
      </c>
      <c r="P49">
        <f t="shared" si="14"/>
        <v>-4.1710905505839141E-2</v>
      </c>
      <c r="Q49">
        <f>-100*(N49-M49)/N49</f>
        <v>1.2844897738393301E-3</v>
      </c>
      <c r="R49">
        <f t="shared" si="15"/>
        <v>-4.2994843015316662E-2</v>
      </c>
      <c r="T49" s="17">
        <v>7.9973400000000003</v>
      </c>
      <c r="U49" s="3">
        <v>240</v>
      </c>
      <c r="V49" s="17">
        <v>1109.47</v>
      </c>
      <c r="W49" s="16">
        <v>1109.4000000000001</v>
      </c>
      <c r="X49" s="13">
        <f t="shared" si="7"/>
        <v>-6.3093188639563339E-3</v>
      </c>
    </row>
    <row r="50" spans="2:24" x14ac:dyDescent="0.25">
      <c r="B50" s="3">
        <v>213.47</v>
      </c>
      <c r="C50" s="17">
        <v>0.41826000000000002</v>
      </c>
      <c r="D50" s="17">
        <v>0.41758000000000001</v>
      </c>
      <c r="E50" s="8">
        <v>0.41782000000000002</v>
      </c>
      <c r="F50" s="16">
        <f t="shared" si="1"/>
        <v>-6.8000000000001393E-4</v>
      </c>
      <c r="G50">
        <f t="shared" si="2"/>
        <v>-0.1625783005785908</v>
      </c>
      <c r="H50">
        <f t="shared" si="3"/>
        <v>-5.744100330286199E-2</v>
      </c>
      <c r="I50">
        <f t="shared" si="4"/>
        <v>-0.10519772390379092</v>
      </c>
      <c r="K50" s="8">
        <v>217</v>
      </c>
      <c r="L50" s="8">
        <v>0.52746999999999999</v>
      </c>
      <c r="M50">
        <v>0.52722000000000002</v>
      </c>
      <c r="N50" s="8">
        <v>0.52721322800000003</v>
      </c>
      <c r="O50" s="16">
        <f t="shared" si="13"/>
        <v>-2.4999999999997247E-4</v>
      </c>
      <c r="P50">
        <f t="shared" si="14"/>
        <v>-4.7396060439451056E-2</v>
      </c>
      <c r="Q50">
        <f>-100*(N50-M50)/N50</f>
        <v>1.2844897738393301E-3</v>
      </c>
      <c r="R50">
        <f t="shared" si="15"/>
        <v>-4.8679924924632814E-2</v>
      </c>
      <c r="T50" s="17">
        <v>8.9916800000000006</v>
      </c>
      <c r="U50" s="9">
        <v>240</v>
      </c>
      <c r="V50" s="19">
        <v>1112.22</v>
      </c>
      <c r="W50" s="27">
        <v>1112.17</v>
      </c>
      <c r="X50" s="66">
        <f t="shared" si="7"/>
        <v>-4.4955134775453171E-3</v>
      </c>
    </row>
    <row r="51" spans="2:24" x14ac:dyDescent="0.25">
      <c r="B51" s="3">
        <v>213.51</v>
      </c>
      <c r="C51" s="17">
        <v>0.41935</v>
      </c>
      <c r="D51" s="17">
        <v>0.41875000000000001</v>
      </c>
      <c r="E51" s="8">
        <v>0.41898999999999997</v>
      </c>
      <c r="F51" s="16">
        <f t="shared" si="1"/>
        <v>-5.9999999999998943E-4</v>
      </c>
      <c r="G51">
        <f t="shared" si="2"/>
        <v>-0.14307857398354346</v>
      </c>
      <c r="H51">
        <f t="shared" si="3"/>
        <v>-5.7280603355679728E-2</v>
      </c>
      <c r="I51">
        <f t="shared" si="4"/>
        <v>-8.5847144390134009E-2</v>
      </c>
      <c r="K51" s="8">
        <v>217</v>
      </c>
      <c r="L51" s="8">
        <v>0.52742999999999995</v>
      </c>
      <c r="M51">
        <v>0.52722000000000002</v>
      </c>
      <c r="N51" s="8">
        <v>0.52721322800000003</v>
      </c>
      <c r="O51" s="16">
        <f t="shared" si="13"/>
        <v>-2.0999999999993246E-4</v>
      </c>
      <c r="P51">
        <f t="shared" si="14"/>
        <v>-3.9815710141617368E-2</v>
      </c>
      <c r="Q51">
        <f t="shared" ref="Q51:Q114" si="16">-100*(N51-M51)/N51</f>
        <v>1.2844897738393301E-3</v>
      </c>
      <c r="R51">
        <f t="shared" si="15"/>
        <v>-4.1099671994372845E-2</v>
      </c>
      <c r="T51" s="17">
        <v>1.70011</v>
      </c>
      <c r="U51" s="3">
        <v>250</v>
      </c>
      <c r="V51" s="17">
        <v>43.816899999999997</v>
      </c>
      <c r="W51" s="16">
        <v>43.816600000000001</v>
      </c>
      <c r="X51" s="13">
        <f t="shared" si="7"/>
        <v>-6.8466733154501607E-4</v>
      </c>
    </row>
    <row r="52" spans="2:24" x14ac:dyDescent="0.25">
      <c r="B52" s="3">
        <v>213.54</v>
      </c>
      <c r="C52" s="17">
        <v>0.42020999999999997</v>
      </c>
      <c r="D52" s="17">
        <v>0.41961999999999999</v>
      </c>
      <c r="E52" s="17">
        <v>0.41986000000000001</v>
      </c>
      <c r="F52" s="16">
        <f t="shared" si="1"/>
        <v>-5.8999999999997943E-4</v>
      </c>
      <c r="G52">
        <f t="shared" si="2"/>
        <v>-0.14040598748244437</v>
      </c>
      <c r="H52">
        <f t="shared" si="3"/>
        <v>-5.7161911113232496E-2</v>
      </c>
      <c r="I52">
        <f t="shared" si="4"/>
        <v>-8.3291687489579366E-2</v>
      </c>
      <c r="K52" s="8">
        <v>220</v>
      </c>
      <c r="L52" s="8">
        <v>0.59936999999999996</v>
      </c>
      <c r="M52">
        <v>0.59913000000000005</v>
      </c>
      <c r="N52" s="8">
        <v>0.59912789700000002</v>
      </c>
      <c r="O52" s="16">
        <f t="shared" si="13"/>
        <v>-2.3999999999990695E-4</v>
      </c>
      <c r="P52">
        <f t="shared" si="14"/>
        <v>-4.0042044146338149E-2</v>
      </c>
      <c r="Q52">
        <f t="shared" si="16"/>
        <v>3.5101019507877335E-4</v>
      </c>
      <c r="R52">
        <f t="shared" si="15"/>
        <v>-4.0392912558175752E-2</v>
      </c>
      <c r="T52" s="17">
        <v>1.7508300000000001</v>
      </c>
      <c r="U52" s="3">
        <v>250</v>
      </c>
      <c r="V52" s="17">
        <v>45.4953</v>
      </c>
      <c r="W52" s="16">
        <v>45.493200000000002</v>
      </c>
      <c r="X52" s="13">
        <f t="shared" si="7"/>
        <v>-4.6158614186490882E-3</v>
      </c>
    </row>
    <row r="53" spans="2:24" x14ac:dyDescent="0.25">
      <c r="B53" s="3">
        <v>213.68</v>
      </c>
      <c r="C53" s="17">
        <v>0.42426000000000003</v>
      </c>
      <c r="D53" s="17">
        <v>0.42373</v>
      </c>
      <c r="E53" s="8">
        <v>0.42397000000000001</v>
      </c>
      <c r="F53" s="16">
        <f t="shared" si="1"/>
        <v>-5.3000000000003045E-4</v>
      </c>
      <c r="G53">
        <f t="shared" si="2"/>
        <v>-0.12492339603074304</v>
      </c>
      <c r="H53">
        <f t="shared" si="3"/>
        <v>-5.6607778852281521E-2</v>
      </c>
      <c r="I53">
        <f t="shared" si="4"/>
        <v>-6.8354311035688606E-2</v>
      </c>
      <c r="K53" s="8">
        <v>220</v>
      </c>
      <c r="L53" s="8">
        <v>0.59938000000000002</v>
      </c>
      <c r="M53">
        <v>0.59913000000000005</v>
      </c>
      <c r="N53" s="8">
        <v>0.59912789700000002</v>
      </c>
      <c r="O53" s="16">
        <f t="shared" si="13"/>
        <v>-2.4999999999997247E-4</v>
      </c>
      <c r="P53">
        <f t="shared" si="14"/>
        <v>-4.1709766758979687E-2</v>
      </c>
      <c r="Q53">
        <f t="shared" si="16"/>
        <v>3.5101019507877335E-4</v>
      </c>
      <c r="R53">
        <f t="shared" si="15"/>
        <v>-4.2060629316961445E-2</v>
      </c>
      <c r="T53" s="17">
        <v>5.4211099999999997</v>
      </c>
      <c r="U53" s="9">
        <v>250</v>
      </c>
      <c r="V53" s="19">
        <v>1060.3900000000001</v>
      </c>
      <c r="W53" s="27">
        <v>1060.44</v>
      </c>
      <c r="X53" s="66">
        <f t="shared" si="7"/>
        <v>4.7152462773087751E-3</v>
      </c>
    </row>
    <row r="54" spans="2:24" x14ac:dyDescent="0.25">
      <c r="B54" s="3">
        <v>213.7</v>
      </c>
      <c r="C54" s="17">
        <v>0.42498999999999998</v>
      </c>
      <c r="D54" s="17">
        <v>0.42431999999999997</v>
      </c>
      <c r="E54" s="8">
        <v>0.42455999999999999</v>
      </c>
      <c r="F54" s="16">
        <f t="shared" si="1"/>
        <v>-6.7000000000000393E-4</v>
      </c>
      <c r="G54">
        <f t="shared" si="2"/>
        <v>-0.1576507682533716</v>
      </c>
      <c r="H54">
        <f t="shared" si="3"/>
        <v>-5.6529112492938099E-2</v>
      </c>
      <c r="I54">
        <f t="shared" si="4"/>
        <v>-0.10117885126708534</v>
      </c>
      <c r="K54" s="8">
        <v>220</v>
      </c>
      <c r="L54" s="8">
        <v>0.59936</v>
      </c>
      <c r="M54">
        <v>0.59913000000000005</v>
      </c>
      <c r="N54" s="8">
        <v>0.59912789700000002</v>
      </c>
      <c r="O54" s="16">
        <f t="shared" si="13"/>
        <v>-2.2999999999995246E-4</v>
      </c>
      <c r="P54">
        <f t="shared" si="14"/>
        <v>-3.8374265883601252E-2</v>
      </c>
      <c r="Q54">
        <f t="shared" si="16"/>
        <v>3.5101019507877335E-4</v>
      </c>
      <c r="R54">
        <f t="shared" si="15"/>
        <v>-3.8725140149490044E-2</v>
      </c>
      <c r="T54" s="17">
        <v>0.50165999999999999</v>
      </c>
      <c r="U54" s="3">
        <v>260</v>
      </c>
      <c r="V54" s="17">
        <v>10.6426</v>
      </c>
      <c r="W54" s="16">
        <v>10.6425</v>
      </c>
      <c r="X54" s="13">
        <f t="shared" si="7"/>
        <v>-9.3962001766266653E-4</v>
      </c>
    </row>
    <row r="55" spans="2:24" x14ac:dyDescent="0.25">
      <c r="B55" s="3">
        <v>213.73</v>
      </c>
      <c r="C55" s="17">
        <v>0.42571999999999999</v>
      </c>
      <c r="D55" s="17">
        <v>0.42520999999999998</v>
      </c>
      <c r="E55" s="8">
        <v>0.42543999999999998</v>
      </c>
      <c r="F55" s="16">
        <f t="shared" si="1"/>
        <v>-5.1000000000001044E-4</v>
      </c>
      <c r="G55">
        <f t="shared" si="2"/>
        <v>-0.11979704970403328</v>
      </c>
      <c r="H55">
        <f t="shared" si="3"/>
        <v>-5.4061677322303492E-2</v>
      </c>
      <c r="I55">
        <f t="shared" si="4"/>
        <v>-6.57709292492724E-2</v>
      </c>
      <c r="K55" s="8">
        <v>220</v>
      </c>
      <c r="L55" s="8">
        <v>0.59938000000000002</v>
      </c>
      <c r="M55">
        <v>0.59913000000000005</v>
      </c>
      <c r="N55" s="8">
        <v>0.59912789700000002</v>
      </c>
      <c r="O55" s="16">
        <f t="shared" si="13"/>
        <v>-2.4999999999997247E-4</v>
      </c>
      <c r="P55">
        <f t="shared" si="14"/>
        <v>-4.1709766758979687E-2</v>
      </c>
      <c r="Q55">
        <f t="shared" si="16"/>
        <v>3.5101019507877335E-4</v>
      </c>
      <c r="R55">
        <f t="shared" si="15"/>
        <v>-4.2060629316961445E-2</v>
      </c>
      <c r="T55" s="17">
        <v>0.50173999999999996</v>
      </c>
      <c r="U55" s="3">
        <v>260</v>
      </c>
      <c r="V55" s="17">
        <v>10.6441</v>
      </c>
      <c r="W55" s="16">
        <v>10.644299999999999</v>
      </c>
      <c r="X55" s="13">
        <f t="shared" si="7"/>
        <v>1.8789752069177657E-3</v>
      </c>
    </row>
    <row r="56" spans="2:24" x14ac:dyDescent="0.25">
      <c r="B56" s="3">
        <v>213.8</v>
      </c>
      <c r="C56" s="17">
        <v>0.42776999999999998</v>
      </c>
      <c r="D56" s="17">
        <v>0.42729</v>
      </c>
      <c r="E56" s="8">
        <v>0.42752000000000001</v>
      </c>
      <c r="F56" s="16">
        <f t="shared" si="1"/>
        <v>-4.7999999999998044E-4</v>
      </c>
      <c r="G56">
        <f t="shared" si="2"/>
        <v>-0.11220983238655831</v>
      </c>
      <c r="H56">
        <f t="shared" si="3"/>
        <v>-5.3798652694612641E-2</v>
      </c>
      <c r="I56">
        <f t="shared" si="4"/>
        <v>-5.8442621034661732E-2</v>
      </c>
      <c r="K56" s="8">
        <v>220</v>
      </c>
      <c r="L56" s="8">
        <v>0.59941</v>
      </c>
      <c r="M56">
        <v>0.59913000000000005</v>
      </c>
      <c r="N56" s="8">
        <v>0.59912789700000002</v>
      </c>
      <c r="O56" s="16">
        <f t="shared" si="13"/>
        <v>-2.7999999999994696E-4</v>
      </c>
      <c r="P56">
        <f t="shared" si="14"/>
        <v>-4.6712600724036463E-2</v>
      </c>
      <c r="Q56">
        <f t="shared" si="16"/>
        <v>3.5101019507877335E-4</v>
      </c>
      <c r="R56">
        <f t="shared" si="15"/>
        <v>-4.7063445721622597E-2</v>
      </c>
      <c r="T56" s="17">
        <v>1.00132</v>
      </c>
      <c r="U56" s="3">
        <v>260</v>
      </c>
      <c r="V56" s="17">
        <v>22.246099999999998</v>
      </c>
      <c r="W56" s="16">
        <v>22.2471</v>
      </c>
      <c r="X56" s="13">
        <f t="shared" si="7"/>
        <v>4.4951699399050716E-3</v>
      </c>
    </row>
    <row r="57" spans="2:24" x14ac:dyDescent="0.25">
      <c r="B57" s="3">
        <v>213.85</v>
      </c>
      <c r="C57" s="17">
        <v>0.42924000000000001</v>
      </c>
      <c r="D57" s="17">
        <v>0.42876999999999998</v>
      </c>
      <c r="E57" s="8">
        <v>0.42899999999999999</v>
      </c>
      <c r="F57" s="16">
        <f t="shared" si="1"/>
        <v>-4.7000000000002595E-4</v>
      </c>
      <c r="G57">
        <f t="shared" si="2"/>
        <v>-0.1094958531357809</v>
      </c>
      <c r="H57">
        <f t="shared" si="3"/>
        <v>-5.3613053613055475E-2</v>
      </c>
      <c r="I57">
        <f t="shared" si="4"/>
        <v>-5.5912776069336027E-2</v>
      </c>
      <c r="K57" s="8">
        <v>220</v>
      </c>
      <c r="L57" s="8">
        <v>0.59936999999999996</v>
      </c>
      <c r="M57">
        <v>0.59913000000000005</v>
      </c>
      <c r="N57" s="8">
        <v>0.59912789700000002</v>
      </c>
      <c r="O57" s="16">
        <f t="shared" si="13"/>
        <v>-2.3999999999990695E-4</v>
      </c>
      <c r="P57">
        <f t="shared" si="14"/>
        <v>-4.0042044146338149E-2</v>
      </c>
      <c r="Q57">
        <f t="shared" si="16"/>
        <v>3.5101019507877335E-4</v>
      </c>
      <c r="R57">
        <f t="shared" si="15"/>
        <v>-4.0392912558175752E-2</v>
      </c>
      <c r="T57" s="17">
        <v>1.5002</v>
      </c>
      <c r="U57" s="3">
        <v>260</v>
      </c>
      <c r="V57" s="17">
        <v>35.146999999999998</v>
      </c>
      <c r="W57" s="16">
        <v>35.1477</v>
      </c>
      <c r="X57" s="13">
        <f t="shared" si="7"/>
        <v>1.9916351324492029E-3</v>
      </c>
    </row>
    <row r="58" spans="2:24" x14ac:dyDescent="0.25">
      <c r="B58" s="3">
        <v>213.92</v>
      </c>
      <c r="C58" s="17">
        <v>0.43145</v>
      </c>
      <c r="D58" s="17">
        <v>0.43086999999999998</v>
      </c>
      <c r="E58" s="8">
        <v>0.43108999999999997</v>
      </c>
      <c r="F58" s="16">
        <f t="shared" si="1"/>
        <v>-5.8000000000002494E-4</v>
      </c>
      <c r="G58">
        <f t="shared" si="2"/>
        <v>-0.13443040908564721</v>
      </c>
      <c r="H58">
        <f t="shared" si="3"/>
        <v>-5.1033426894615506E-2</v>
      </c>
      <c r="I58">
        <f t="shared" si="4"/>
        <v>-8.3439564260059565E-2</v>
      </c>
      <c r="K58" s="8">
        <v>220</v>
      </c>
      <c r="L58" s="8">
        <v>0.59936</v>
      </c>
      <c r="M58">
        <v>0.59913000000000005</v>
      </c>
      <c r="N58" s="8">
        <v>0.59912789700000002</v>
      </c>
      <c r="O58" s="16">
        <f t="shared" si="13"/>
        <v>-2.2999999999995246E-4</v>
      </c>
      <c r="P58">
        <f t="shared" si="14"/>
        <v>-3.8374265883601252E-2</v>
      </c>
      <c r="Q58">
        <f t="shared" si="16"/>
        <v>3.5101019507877335E-4</v>
      </c>
      <c r="R58">
        <f t="shared" si="15"/>
        <v>-3.8725140149490044E-2</v>
      </c>
      <c r="T58" s="17">
        <v>1.9998400000000001</v>
      </c>
      <c r="U58" s="3">
        <v>260</v>
      </c>
      <c r="V58" s="17">
        <v>49.906599999999997</v>
      </c>
      <c r="W58" s="16">
        <v>49.908700000000003</v>
      </c>
      <c r="X58" s="13">
        <f t="shared" si="7"/>
        <v>4.2078602830202096E-3</v>
      </c>
    </row>
    <row r="59" spans="2:24" x14ac:dyDescent="0.25">
      <c r="B59" s="3">
        <v>214.17</v>
      </c>
      <c r="C59" s="17">
        <v>0.43881999999999999</v>
      </c>
      <c r="D59" s="17">
        <v>0.43841000000000002</v>
      </c>
      <c r="E59" s="8">
        <v>0.43863000000000002</v>
      </c>
      <c r="F59" s="16">
        <f t="shared" si="1"/>
        <v>-4.0999999999996595E-4</v>
      </c>
      <c r="G59">
        <f t="shared" si="2"/>
        <v>-9.3432386855650598E-2</v>
      </c>
      <c r="H59">
        <f t="shared" si="3"/>
        <v>-5.0156168068759083E-2</v>
      </c>
      <c r="I59">
        <f t="shared" si="4"/>
        <v>-4.3297935372127061E-2</v>
      </c>
      <c r="K59" s="8">
        <v>220</v>
      </c>
      <c r="L59" s="8">
        <v>0.59940000000000004</v>
      </c>
      <c r="M59">
        <v>0.59913000000000005</v>
      </c>
      <c r="N59" s="8">
        <v>0.59912789700000002</v>
      </c>
      <c r="O59" s="16">
        <f t="shared" si="13"/>
        <v>-2.6999999999999247E-4</v>
      </c>
      <c r="P59">
        <f t="shared" si="14"/>
        <v>-4.5045045045043787E-2</v>
      </c>
      <c r="Q59">
        <f t="shared" si="16"/>
        <v>3.5101019507877335E-4</v>
      </c>
      <c r="R59">
        <f t="shared" si="15"/>
        <v>-4.5395895895899818E-2</v>
      </c>
      <c r="T59" s="17">
        <v>2.0005000000000002</v>
      </c>
      <c r="U59" s="3">
        <v>260</v>
      </c>
      <c r="V59" s="17">
        <v>49.928800000000003</v>
      </c>
      <c r="W59" s="16">
        <v>49.9298</v>
      </c>
      <c r="X59" s="13">
        <f t="shared" si="7"/>
        <v>2.0028520613306735E-3</v>
      </c>
    </row>
    <row r="60" spans="2:24" x14ac:dyDescent="0.25">
      <c r="B60" s="3">
        <v>214.23</v>
      </c>
      <c r="C60" s="17">
        <v>0.44086999999999998</v>
      </c>
      <c r="D60" s="17">
        <v>0.44024000000000002</v>
      </c>
      <c r="E60" s="8">
        <v>0.44045000000000001</v>
      </c>
      <c r="F60" s="16">
        <f t="shared" si="1"/>
        <v>-6.2999999999996392E-4</v>
      </c>
      <c r="G60">
        <f t="shared" si="2"/>
        <v>-0.14289926735771633</v>
      </c>
      <c r="H60">
        <f t="shared" si="3"/>
        <v>-4.767851061414189E-2</v>
      </c>
      <c r="I60">
        <f t="shared" si="4"/>
        <v>-9.526617823847755E-2</v>
      </c>
      <c r="K60" s="8">
        <v>220</v>
      </c>
      <c r="L60" s="8">
        <v>0.59941999999999995</v>
      </c>
      <c r="M60">
        <v>0.59913000000000005</v>
      </c>
      <c r="N60" s="8">
        <v>0.59912789700000002</v>
      </c>
      <c r="O60" s="16">
        <f t="shared" si="13"/>
        <v>-2.8999999999990145E-4</v>
      </c>
      <c r="P60">
        <f t="shared" si="14"/>
        <v>-4.8380100764055502E-2</v>
      </c>
      <c r="Q60">
        <f t="shared" si="16"/>
        <v>3.5101019507877335E-4</v>
      </c>
      <c r="R60">
        <f t="shared" si="15"/>
        <v>-4.8730939908567035E-2</v>
      </c>
      <c r="T60" s="17">
        <v>2.40015</v>
      </c>
      <c r="U60" s="3">
        <v>260</v>
      </c>
      <c r="V60" s="17">
        <v>63.7136</v>
      </c>
      <c r="W60" s="16">
        <v>63.715299999999999</v>
      </c>
      <c r="X60" s="13">
        <f t="shared" si="7"/>
        <v>2.6681901509247488E-3</v>
      </c>
    </row>
    <row r="61" spans="2:24" x14ac:dyDescent="0.25">
      <c r="B61" s="3">
        <v>214.34</v>
      </c>
      <c r="C61" s="17">
        <v>0.44429000000000002</v>
      </c>
      <c r="D61" s="17">
        <v>0.44361</v>
      </c>
      <c r="E61" s="8">
        <v>0.44381999999999999</v>
      </c>
      <c r="F61" s="16">
        <f t="shared" si="1"/>
        <v>-6.8000000000001393E-4</v>
      </c>
      <c r="G61">
        <f t="shared" si="2"/>
        <v>-0.15305318598213191</v>
      </c>
      <c r="H61">
        <f t="shared" si="3"/>
        <v>-4.7316479653911038E-2</v>
      </c>
      <c r="I61">
        <f t="shared" si="4"/>
        <v>-0.10578676089941838</v>
      </c>
      <c r="K61" s="8">
        <v>225</v>
      </c>
      <c r="L61" s="8">
        <v>0.73533999999999999</v>
      </c>
      <c r="M61">
        <v>0.73509000000000002</v>
      </c>
      <c r="N61">
        <v>0.73508900200000005</v>
      </c>
      <c r="O61" s="16">
        <f t="shared" si="13"/>
        <v>-2.4999999999997247E-4</v>
      </c>
      <c r="P61">
        <f t="shared" si="14"/>
        <v>-3.3997878532375833E-2</v>
      </c>
      <c r="Q61">
        <f t="shared" si="16"/>
        <v>1.3576587287511847E-4</v>
      </c>
      <c r="R61">
        <f t="shared" si="15"/>
        <v>-3.4133598063473602E-2</v>
      </c>
      <c r="T61" s="17">
        <v>2.5032800000000002</v>
      </c>
      <c r="U61" s="3">
        <v>260</v>
      </c>
      <c r="V61" s="17">
        <v>999.298</v>
      </c>
      <c r="W61" s="16">
        <v>999.36500000000001</v>
      </c>
      <c r="X61" s="13">
        <f t="shared" si="7"/>
        <v>6.7047067041070109E-3</v>
      </c>
    </row>
    <row r="62" spans="2:24" x14ac:dyDescent="0.25">
      <c r="B62" s="3">
        <v>214.37</v>
      </c>
      <c r="C62" s="17">
        <v>0.44503999999999999</v>
      </c>
      <c r="D62" s="17">
        <v>0.44452999999999998</v>
      </c>
      <c r="E62" s="8">
        <v>0.44474000000000002</v>
      </c>
      <c r="F62" s="16">
        <f t="shared" si="1"/>
        <v>-5.1000000000001044E-4</v>
      </c>
      <c r="G62">
        <f t="shared" si="2"/>
        <v>-0.11459644076937139</v>
      </c>
      <c r="H62">
        <f t="shared" si="3"/>
        <v>-4.7218599631255E-2</v>
      </c>
      <c r="I62">
        <f t="shared" si="4"/>
        <v>-6.7409671040797897E-2</v>
      </c>
      <c r="K62" s="8">
        <v>225</v>
      </c>
      <c r="L62" s="8">
        <v>0.73536000000000001</v>
      </c>
      <c r="M62">
        <v>0.73509000000000002</v>
      </c>
      <c r="N62">
        <v>0.73508900200000005</v>
      </c>
      <c r="O62" s="16">
        <f t="shared" si="13"/>
        <v>-2.6999999999999247E-4</v>
      </c>
      <c r="P62">
        <f t="shared" si="14"/>
        <v>-3.67167101827666E-2</v>
      </c>
      <c r="Q62">
        <f t="shared" si="16"/>
        <v>1.3576587287511847E-4</v>
      </c>
      <c r="R62">
        <f t="shared" si="15"/>
        <v>-3.6852426022623855E-2</v>
      </c>
      <c r="T62" s="17">
        <v>2.9945400000000002</v>
      </c>
      <c r="U62" s="3">
        <v>260</v>
      </c>
      <c r="V62" s="17">
        <v>1002.06</v>
      </c>
      <c r="W62" s="16">
        <v>1002.1</v>
      </c>
      <c r="X62" s="13">
        <f t="shared" si="7"/>
        <v>3.9917769395123358E-3</v>
      </c>
    </row>
    <row r="63" spans="2:24" x14ac:dyDescent="0.25">
      <c r="B63" s="3">
        <v>214.39</v>
      </c>
      <c r="C63" s="17">
        <v>0.44568000000000002</v>
      </c>
      <c r="D63" s="17">
        <v>0.44514999999999999</v>
      </c>
      <c r="E63" s="8">
        <v>0.44535000000000002</v>
      </c>
      <c r="F63" s="16">
        <f t="shared" si="1"/>
        <v>-5.3000000000003045E-4</v>
      </c>
      <c r="G63">
        <f t="shared" si="2"/>
        <v>-0.11891940405672914</v>
      </c>
      <c r="H63">
        <f t="shared" si="3"/>
        <v>-4.4908498933430664E-2</v>
      </c>
      <c r="I63">
        <f t="shared" si="4"/>
        <v>-7.4044157242864145E-2</v>
      </c>
      <c r="K63" s="8">
        <v>230</v>
      </c>
      <c r="L63" s="8">
        <v>0.89324000000000003</v>
      </c>
      <c r="M63">
        <v>0.89290999999999998</v>
      </c>
      <c r="N63">
        <v>0.89292261900000003</v>
      </c>
      <c r="O63" s="16">
        <f t="shared" si="13"/>
        <v>-3.3000000000005247E-4</v>
      </c>
      <c r="P63">
        <f t="shared" si="14"/>
        <v>-3.6944158344907579E-2</v>
      </c>
      <c r="Q63">
        <f t="shared" si="16"/>
        <v>-1.4132243636273043E-3</v>
      </c>
      <c r="R63">
        <f t="shared" si="15"/>
        <v>-3.5531436120192272E-2</v>
      </c>
      <c r="T63" s="17">
        <v>4.00312</v>
      </c>
      <c r="U63" s="3">
        <v>260</v>
      </c>
      <c r="V63" s="17">
        <v>1007.49</v>
      </c>
      <c r="W63" s="16">
        <v>1007.5</v>
      </c>
      <c r="X63" s="13">
        <f t="shared" si="7"/>
        <v>9.9256568303317206E-4</v>
      </c>
    </row>
    <row r="64" spans="2:24" x14ac:dyDescent="0.25">
      <c r="B64" s="3">
        <v>214.39</v>
      </c>
      <c r="C64" s="17">
        <v>0.44584000000000001</v>
      </c>
      <c r="D64" s="17">
        <v>0.44514999999999999</v>
      </c>
      <c r="E64" s="8">
        <v>0.44535000000000002</v>
      </c>
      <c r="F64" s="16">
        <f t="shared" si="1"/>
        <v>-6.9000000000002393E-4</v>
      </c>
      <c r="G64">
        <f t="shared" si="2"/>
        <v>-0.15476404091154314</v>
      </c>
      <c r="H64">
        <f t="shared" si="3"/>
        <v>-4.4908498933430664E-2</v>
      </c>
      <c r="I64">
        <f t="shared" si="4"/>
        <v>-0.10990489861833627</v>
      </c>
      <c r="K64" s="8">
        <v>230</v>
      </c>
      <c r="L64" s="8">
        <v>0.89319999999999999</v>
      </c>
      <c r="M64">
        <v>0.89290999999999998</v>
      </c>
      <c r="N64">
        <v>0.89292261900000003</v>
      </c>
      <c r="O64" s="16">
        <f t="shared" si="13"/>
        <v>-2.9000000000001247E-4</v>
      </c>
      <c r="P64">
        <f t="shared" si="14"/>
        <v>-3.2467532467533866E-2</v>
      </c>
      <c r="Q64">
        <f t="shared" si="16"/>
        <v>-1.4132243636273043E-3</v>
      </c>
      <c r="R64">
        <f t="shared" si="15"/>
        <v>-3.1054746977156905E-2</v>
      </c>
      <c r="T64" s="17">
        <v>4.0086399999999998</v>
      </c>
      <c r="U64" s="3">
        <v>260</v>
      </c>
      <c r="V64" s="17">
        <v>1007.51</v>
      </c>
      <c r="W64" s="16">
        <v>1007.53</v>
      </c>
      <c r="X64" s="13">
        <f t="shared" si="7"/>
        <v>1.9850919593832131E-3</v>
      </c>
    </row>
    <row r="65" spans="2:25" x14ac:dyDescent="0.25">
      <c r="B65" s="3">
        <v>214.4</v>
      </c>
      <c r="C65" s="17">
        <v>0.44599</v>
      </c>
      <c r="D65" s="17">
        <v>0.44546000000000002</v>
      </c>
      <c r="E65" s="8">
        <v>0.44566</v>
      </c>
      <c r="F65" s="16">
        <f t="shared" si="1"/>
        <v>-5.2999999999997494E-4</v>
      </c>
      <c r="G65">
        <f t="shared" si="2"/>
        <v>-0.11883674521849703</v>
      </c>
      <c r="H65">
        <f t="shared" si="3"/>
        <v>-4.4877260692002416E-2</v>
      </c>
      <c r="I65">
        <f t="shared" si="4"/>
        <v>-7.3992690419067017E-2</v>
      </c>
      <c r="K65" s="8">
        <v>230</v>
      </c>
      <c r="L65" s="8">
        <v>0.89324000000000003</v>
      </c>
      <c r="M65">
        <v>0.89290999999999998</v>
      </c>
      <c r="N65">
        <v>0.89292261900000003</v>
      </c>
      <c r="O65" s="16">
        <f t="shared" si="13"/>
        <v>-3.3000000000005247E-4</v>
      </c>
      <c r="P65">
        <f t="shared" si="14"/>
        <v>-3.6944158344907579E-2</v>
      </c>
      <c r="Q65">
        <f t="shared" si="16"/>
        <v>-1.4132243636273043E-3</v>
      </c>
      <c r="R65">
        <f t="shared" si="15"/>
        <v>-3.5531436120192272E-2</v>
      </c>
      <c r="T65" s="17">
        <v>5.0042200000000001</v>
      </c>
      <c r="U65" s="3">
        <v>260</v>
      </c>
      <c r="V65" s="17">
        <v>1012.6</v>
      </c>
      <c r="W65" s="16">
        <v>1012.59</v>
      </c>
      <c r="X65" s="13">
        <f t="shared" si="7"/>
        <v>-9.8755678451421152E-4</v>
      </c>
    </row>
    <row r="66" spans="2:25" x14ac:dyDescent="0.25">
      <c r="B66" s="3">
        <v>214.46</v>
      </c>
      <c r="C66" s="17">
        <v>0.44792999999999999</v>
      </c>
      <c r="D66" s="17">
        <v>0.44730999999999999</v>
      </c>
      <c r="E66" s="8">
        <v>0.44751000000000002</v>
      </c>
      <c r="F66" s="16">
        <f t="shared" si="1"/>
        <v>-6.2000000000000943E-4</v>
      </c>
      <c r="G66">
        <f t="shared" si="2"/>
        <v>-0.1384144844060477</v>
      </c>
      <c r="H66">
        <f t="shared" si="3"/>
        <v>-4.4691738732102852E-2</v>
      </c>
      <c r="I66">
        <f t="shared" si="4"/>
        <v>-9.3764650726670673E-2</v>
      </c>
      <c r="K66" s="8">
        <v>235</v>
      </c>
      <c r="L66" s="8">
        <v>1.07498</v>
      </c>
      <c r="M66">
        <v>1.07467</v>
      </c>
      <c r="N66">
        <v>1.074689228</v>
      </c>
      <c r="O66" s="16">
        <f t="shared" si="13"/>
        <v>-3.1000000000003247E-4</v>
      </c>
      <c r="P66">
        <f t="shared" si="14"/>
        <v>-2.8837745818529877E-2</v>
      </c>
      <c r="Q66">
        <f t="shared" si="16"/>
        <v>-1.7891683938961245E-3</v>
      </c>
      <c r="R66">
        <f t="shared" si="15"/>
        <v>-2.704906137789077E-2</v>
      </c>
      <c r="T66" s="17">
        <v>6.0010599999999998</v>
      </c>
      <c r="U66" s="3">
        <v>260</v>
      </c>
      <c r="V66" s="17">
        <v>1017.49</v>
      </c>
      <c r="W66" s="16">
        <v>1017.43</v>
      </c>
      <c r="X66" s="13">
        <f t="shared" si="7"/>
        <v>-5.8968638512475911E-3</v>
      </c>
    </row>
    <row r="67" spans="2:25" x14ac:dyDescent="0.25">
      <c r="B67" s="3">
        <v>214.52</v>
      </c>
      <c r="C67" s="17">
        <v>0.44980999999999999</v>
      </c>
      <c r="D67" s="17">
        <v>0.44917000000000001</v>
      </c>
      <c r="E67" s="8">
        <v>0.44936999999999999</v>
      </c>
      <c r="F67" s="16">
        <f t="shared" si="1"/>
        <v>-6.3999999999997392E-4</v>
      </c>
      <c r="G67">
        <f t="shared" si="2"/>
        <v>-0.14228229696982592</v>
      </c>
      <c r="H67">
        <f t="shared" si="3"/>
        <v>-4.4506753899899408E-2</v>
      </c>
      <c r="I67">
        <f t="shared" si="4"/>
        <v>-9.7819079166758402E-2</v>
      </c>
      <c r="K67" s="8">
        <v>235</v>
      </c>
      <c r="L67" s="8">
        <v>1.0749599999999999</v>
      </c>
      <c r="M67">
        <v>1.07467</v>
      </c>
      <c r="N67">
        <v>1.074689228</v>
      </c>
      <c r="O67" s="16">
        <f t="shared" si="13"/>
        <v>-2.8999999999990145E-4</v>
      </c>
      <c r="P67">
        <f t="shared" si="14"/>
        <v>-2.6977748009219083E-2</v>
      </c>
      <c r="Q67">
        <f t="shared" si="16"/>
        <v>-1.7891683938961245E-3</v>
      </c>
      <c r="R67">
        <f t="shared" si="15"/>
        <v>-2.518903028949163E-2</v>
      </c>
      <c r="T67" s="17">
        <v>6.9895100000000001</v>
      </c>
      <c r="U67" s="3">
        <v>260</v>
      </c>
      <c r="V67" s="17">
        <v>1022.08</v>
      </c>
      <c r="W67" s="16">
        <v>1022.02</v>
      </c>
      <c r="X67" s="13">
        <f t="shared" si="7"/>
        <v>-5.8703819661923839E-3</v>
      </c>
    </row>
    <row r="68" spans="2:25" x14ac:dyDescent="0.25">
      <c r="B68" s="3">
        <v>214.56</v>
      </c>
      <c r="C68" s="17">
        <v>0.45086999999999999</v>
      </c>
      <c r="D68" s="17">
        <v>0.45041999999999999</v>
      </c>
      <c r="E68" s="8">
        <v>0.45061000000000001</v>
      </c>
      <c r="F68" s="16">
        <f t="shared" si="1"/>
        <v>-4.5000000000000595E-4</v>
      </c>
      <c r="G68">
        <f t="shared" si="2"/>
        <v>-9.9807039723203136E-2</v>
      </c>
      <c r="H68">
        <f t="shared" si="3"/>
        <v>-4.2165065133934775E-2</v>
      </c>
      <c r="I68">
        <f t="shared" si="4"/>
        <v>-5.7666289617846048E-2</v>
      </c>
      <c r="K68" s="8">
        <v>240</v>
      </c>
      <c r="L68" s="8">
        <v>1.2827500000000001</v>
      </c>
      <c r="M68">
        <v>1.2824800000000001</v>
      </c>
      <c r="N68">
        <v>1.282503757</v>
      </c>
      <c r="O68" s="16">
        <f t="shared" si="13"/>
        <v>-2.6999999999999247E-4</v>
      </c>
      <c r="P68">
        <f t="shared" si="14"/>
        <v>-2.1048528551938606E-2</v>
      </c>
      <c r="Q68">
        <f t="shared" si="16"/>
        <v>-1.8523922343489951E-3</v>
      </c>
      <c r="R68">
        <f t="shared" si="15"/>
        <v>-1.9196491911915053E-2</v>
      </c>
      <c r="T68" s="17">
        <v>7.0028800000000002</v>
      </c>
      <c r="U68" s="3">
        <v>260</v>
      </c>
      <c r="V68" s="17">
        <v>1022.16</v>
      </c>
      <c r="W68" s="16">
        <v>1022.08</v>
      </c>
      <c r="X68" s="13">
        <f t="shared" si="7"/>
        <v>-7.826563356023249E-3</v>
      </c>
    </row>
    <row r="69" spans="2:25" x14ac:dyDescent="0.25">
      <c r="B69" s="3">
        <v>214.62</v>
      </c>
      <c r="C69" s="17">
        <v>0.45289000000000001</v>
      </c>
      <c r="D69" s="17">
        <v>0.45229000000000003</v>
      </c>
      <c r="E69" s="8">
        <v>0.45247999999999999</v>
      </c>
      <c r="F69" s="16">
        <f t="shared" ref="F69:F87" si="17">D69-C69</f>
        <v>-5.9999999999998943E-4</v>
      </c>
      <c r="G69">
        <f t="shared" ref="G69:G87" si="18">100*F69/C69</f>
        <v>-0.13248250126962163</v>
      </c>
      <c r="H69">
        <f t="shared" ref="H69:H87" si="19">100*(D69-E69)/E69</f>
        <v>-4.1990806223472413E-2</v>
      </c>
      <c r="I69">
        <f t="shared" ref="I69:I87" si="20">100*(E69-C69)/C69</f>
        <v>-9.0529709200914452E-2</v>
      </c>
      <c r="K69" s="8">
        <v>240</v>
      </c>
      <c r="L69" s="8">
        <v>1.2827999999999999</v>
      </c>
      <c r="M69">
        <v>1.2824800000000001</v>
      </c>
      <c r="N69">
        <v>1.282503757</v>
      </c>
      <c r="O69" s="16">
        <f t="shared" si="13"/>
        <v>-3.1999999999987594E-4</v>
      </c>
      <c r="P69">
        <f t="shared" si="14"/>
        <v>-2.494543186777954E-2</v>
      </c>
      <c r="Q69">
        <f t="shared" si="16"/>
        <v>-1.8523922343489951E-3</v>
      </c>
      <c r="R69">
        <f t="shared" si="15"/>
        <v>-2.3093467415027585E-2</v>
      </c>
      <c r="T69" s="17">
        <v>8.0097500000000004</v>
      </c>
      <c r="U69" s="3">
        <v>260</v>
      </c>
      <c r="V69" s="17">
        <v>1026.6600000000001</v>
      </c>
      <c r="W69" s="16">
        <v>1026.57</v>
      </c>
      <c r="X69" s="13">
        <f t="shared" ref="X69:X132" si="21">-100*(V69-W69)/V69</f>
        <v>-8.7662906902134605E-3</v>
      </c>
    </row>
    <row r="70" spans="2:25" x14ac:dyDescent="0.25">
      <c r="B70" s="3">
        <v>214.74</v>
      </c>
      <c r="C70" s="17">
        <v>0.45660000000000001</v>
      </c>
      <c r="D70" s="17">
        <v>0.45606000000000002</v>
      </c>
      <c r="E70" s="8">
        <v>0.45624999999999999</v>
      </c>
      <c r="F70" s="16">
        <f t="shared" si="17"/>
        <v>-5.3999999999998494E-4</v>
      </c>
      <c r="G70">
        <f t="shared" si="18"/>
        <v>-0.11826544021024638</v>
      </c>
      <c r="H70">
        <f t="shared" si="19"/>
        <v>-4.1643835616431341E-2</v>
      </c>
      <c r="I70">
        <f t="shared" si="20"/>
        <v>-7.6653526062202576E-2</v>
      </c>
      <c r="K70" s="8">
        <v>240</v>
      </c>
      <c r="L70" s="8">
        <v>1.28284</v>
      </c>
      <c r="M70">
        <v>1.2824800000000001</v>
      </c>
      <c r="N70">
        <v>1.282503757</v>
      </c>
      <c r="O70" s="16">
        <f t="shared" si="13"/>
        <v>-3.5999999999991594E-4</v>
      </c>
      <c r="P70">
        <f t="shared" si="14"/>
        <v>-2.8062735804926252E-2</v>
      </c>
      <c r="Q70">
        <f t="shared" si="16"/>
        <v>-1.8523922343489951E-3</v>
      </c>
      <c r="R70">
        <f t="shared" si="15"/>
        <v>-2.6210829097940026E-2</v>
      </c>
      <c r="T70" s="17">
        <v>9.0026399999999995</v>
      </c>
      <c r="U70" s="3">
        <v>260</v>
      </c>
      <c r="V70" s="17">
        <v>1030.8499999999999</v>
      </c>
      <c r="W70" s="16">
        <v>1030.83</v>
      </c>
      <c r="X70" s="13">
        <f t="shared" si="21"/>
        <v>-1.9401464810575556E-3</v>
      </c>
    </row>
    <row r="71" spans="2:25" x14ac:dyDescent="0.25">
      <c r="B71" s="3">
        <v>214.85</v>
      </c>
      <c r="C71" s="17">
        <v>0.46004</v>
      </c>
      <c r="D71" s="17">
        <v>0.45954</v>
      </c>
      <c r="E71" s="8">
        <v>0.45972000000000002</v>
      </c>
      <c r="F71" s="16">
        <f t="shared" si="17"/>
        <v>-5.0000000000000044E-4</v>
      </c>
      <c r="G71">
        <f t="shared" si="18"/>
        <v>-0.10868620119989576</v>
      </c>
      <c r="H71">
        <f t="shared" si="19"/>
        <v>-3.9154267815194786E-2</v>
      </c>
      <c r="I71">
        <f t="shared" si="20"/>
        <v>-6.955916876793039E-2</v>
      </c>
      <c r="K71" s="8">
        <v>240</v>
      </c>
      <c r="L71" s="8">
        <v>1.28285</v>
      </c>
      <c r="M71">
        <v>1.2824800000000001</v>
      </c>
      <c r="N71">
        <v>1.282503757</v>
      </c>
      <c r="O71" s="16">
        <f t="shared" si="13"/>
        <v>-3.6999999999998145E-4</v>
      </c>
      <c r="P71">
        <f t="shared" si="14"/>
        <v>-2.8842031414427365E-2</v>
      </c>
      <c r="Q71">
        <f t="shared" si="16"/>
        <v>-1.8523922343489951E-3</v>
      </c>
      <c r="R71">
        <f t="shared" si="15"/>
        <v>-2.6990139143319901E-2</v>
      </c>
      <c r="T71" s="17">
        <v>8.9918200000000006</v>
      </c>
      <c r="U71" s="9">
        <v>260</v>
      </c>
      <c r="V71" s="19">
        <v>1030.8800000000001</v>
      </c>
      <c r="W71" s="27">
        <v>1030.78</v>
      </c>
      <c r="X71" s="66">
        <f t="shared" si="21"/>
        <v>-9.7004501008979144E-3</v>
      </c>
    </row>
    <row r="72" spans="2:25" x14ac:dyDescent="0.25">
      <c r="B72" s="3">
        <v>214.91</v>
      </c>
      <c r="C72" s="17">
        <v>0.46211000000000002</v>
      </c>
      <c r="D72" s="17">
        <v>0.46145000000000003</v>
      </c>
      <c r="E72" s="8">
        <v>0.46161999999999997</v>
      </c>
      <c r="F72" s="16">
        <f t="shared" si="17"/>
        <v>-6.5999999999999392E-4</v>
      </c>
      <c r="G72">
        <f t="shared" si="18"/>
        <v>-0.14282313734824909</v>
      </c>
      <c r="H72">
        <f t="shared" si="19"/>
        <v>-3.682682726050604E-2</v>
      </c>
      <c r="I72">
        <f t="shared" si="20"/>
        <v>-0.10603535954643828</v>
      </c>
      <c r="K72" s="8">
        <v>240</v>
      </c>
      <c r="L72" s="8">
        <v>1.2827900000000001</v>
      </c>
      <c r="M72">
        <v>1.2824800000000001</v>
      </c>
      <c r="N72">
        <v>1.282503757</v>
      </c>
      <c r="O72" s="16">
        <f t="shared" si="13"/>
        <v>-3.1000000000003247E-4</v>
      </c>
      <c r="P72">
        <f t="shared" si="14"/>
        <v>-2.4166075507295229E-2</v>
      </c>
      <c r="Q72">
        <f t="shared" si="16"/>
        <v>-1.8523922343489951E-3</v>
      </c>
      <c r="R72">
        <f t="shared" si="15"/>
        <v>-2.231409661753914E-2</v>
      </c>
      <c r="T72" s="17">
        <v>2.99695</v>
      </c>
      <c r="U72" s="3">
        <v>270</v>
      </c>
      <c r="V72" s="17">
        <v>79.688000000000002</v>
      </c>
      <c r="W72" s="16">
        <v>79.685400000000001</v>
      </c>
      <c r="X72" s="13">
        <f t="shared" si="21"/>
        <v>-3.2627246260428745E-3</v>
      </c>
    </row>
    <row r="73" spans="2:25" x14ac:dyDescent="0.25">
      <c r="B73" s="3">
        <v>215.01</v>
      </c>
      <c r="C73" s="17">
        <v>0.46522000000000002</v>
      </c>
      <c r="D73" s="17">
        <v>0.46464</v>
      </c>
      <c r="E73" s="8">
        <v>0.46481</v>
      </c>
      <c r="F73" s="16">
        <f t="shared" si="17"/>
        <v>-5.8000000000002494E-4</v>
      </c>
      <c r="G73">
        <f t="shared" si="18"/>
        <v>-0.12467219809982909</v>
      </c>
      <c r="H73">
        <f t="shared" si="19"/>
        <v>-3.6574084034337359E-2</v>
      </c>
      <c r="I73">
        <f t="shared" si="20"/>
        <v>-8.8130346932638631E-2</v>
      </c>
      <c r="K73" s="8">
        <v>245</v>
      </c>
      <c r="L73" s="8">
        <v>1.5188699999999999</v>
      </c>
      <c r="M73">
        <v>1.5185299999999999</v>
      </c>
      <c r="N73">
        <v>1.518538441</v>
      </c>
      <c r="O73" s="16">
        <f t="shared" si="13"/>
        <v>-3.4000000000000696E-4</v>
      </c>
      <c r="P73">
        <f t="shared" si="14"/>
        <v>-2.2385062579418052E-2</v>
      </c>
      <c r="Q73">
        <f t="shared" si="16"/>
        <v>-5.5586343896059387E-4</v>
      </c>
      <c r="R73">
        <f t="shared" si="15"/>
        <v>-2.1829320481668989E-2</v>
      </c>
      <c r="T73" s="17">
        <v>2.9975700000000001</v>
      </c>
      <c r="U73" s="3">
        <v>270</v>
      </c>
      <c r="V73" s="17">
        <v>79.711600000000004</v>
      </c>
      <c r="W73" s="16">
        <v>79.7102</v>
      </c>
      <c r="X73" s="13">
        <f t="shared" si="21"/>
        <v>-1.7563315753338817E-3</v>
      </c>
    </row>
    <row r="74" spans="2:25" x14ac:dyDescent="0.25">
      <c r="B74" s="3">
        <v>215.31</v>
      </c>
      <c r="C74" s="17">
        <v>0.47478999999999999</v>
      </c>
      <c r="D74" s="17">
        <v>0.47434999999999999</v>
      </c>
      <c r="E74" s="8">
        <v>0.47449000000000002</v>
      </c>
      <c r="F74" s="16">
        <f t="shared" si="17"/>
        <v>-4.3999999999999595E-4</v>
      </c>
      <c r="G74">
        <f t="shared" si="18"/>
        <v>-9.2672549969459325E-2</v>
      </c>
      <c r="H74">
        <f t="shared" si="19"/>
        <v>-2.9505363653613139E-2</v>
      </c>
      <c r="I74">
        <f t="shared" si="20"/>
        <v>-6.3185829524624981E-2</v>
      </c>
      <c r="K74" s="8">
        <v>245</v>
      </c>
      <c r="L74" s="8">
        <v>1.51884</v>
      </c>
      <c r="M74">
        <v>1.5185299999999999</v>
      </c>
      <c r="N74">
        <v>1.518538441</v>
      </c>
      <c r="O74" s="16">
        <f t="shared" si="13"/>
        <v>-3.1000000000003247E-4</v>
      </c>
      <c r="P74">
        <f t="shared" si="14"/>
        <v>-2.0410313133709442E-2</v>
      </c>
      <c r="Q74">
        <f t="shared" si="16"/>
        <v>-5.5586343896059387E-4</v>
      </c>
      <c r="R74">
        <f t="shared" si="15"/>
        <v>-1.9854560058989182E-2</v>
      </c>
      <c r="T74" s="17">
        <v>6.5151899999999996</v>
      </c>
      <c r="U74" s="9">
        <v>270.85399999999998</v>
      </c>
      <c r="V74" s="19">
        <v>964.78</v>
      </c>
      <c r="W74" s="27">
        <v>964.83600000000001</v>
      </c>
      <c r="X74" s="66">
        <f t="shared" si="21"/>
        <v>5.804432098513653E-3</v>
      </c>
    </row>
    <row r="75" spans="2:25" x14ac:dyDescent="0.25">
      <c r="B75" s="3">
        <v>215.6</v>
      </c>
      <c r="C75" s="17">
        <v>0.48436699999999999</v>
      </c>
      <c r="D75" s="17">
        <v>0.48391000000000001</v>
      </c>
      <c r="E75" s="8">
        <v>0.48403000000000002</v>
      </c>
      <c r="F75" s="16">
        <f t="shared" si="17"/>
        <v>-4.569999999999852E-4</v>
      </c>
      <c r="G75">
        <f t="shared" si="18"/>
        <v>-9.4349945392643436E-2</v>
      </c>
      <c r="H75">
        <f t="shared" si="19"/>
        <v>-2.4791851744728421E-2</v>
      </c>
      <c r="I75">
        <f t="shared" si="20"/>
        <v>-6.9575342663719078E-2</v>
      </c>
      <c r="K75" s="8">
        <v>250</v>
      </c>
      <c r="L75" s="8">
        <v>1.7853399999999999</v>
      </c>
      <c r="M75">
        <v>1.78505</v>
      </c>
      <c r="N75">
        <v>1.785029065</v>
      </c>
      <c r="O75" s="16">
        <f t="shared" si="13"/>
        <v>-2.8999999999990145E-4</v>
      </c>
      <c r="P75">
        <f t="shared" si="14"/>
        <v>-1.624340461760233E-2</v>
      </c>
      <c r="Q75">
        <f t="shared" si="16"/>
        <v>1.172810034888687E-3</v>
      </c>
      <c r="R75">
        <f t="shared" si="15"/>
        <v>-1.741601039577342E-2</v>
      </c>
      <c r="T75" s="17">
        <v>0.49940000000000001</v>
      </c>
      <c r="U75" s="3">
        <v>280</v>
      </c>
      <c r="V75" s="17">
        <v>9.7447999999999997</v>
      </c>
      <c r="W75" s="16">
        <v>9.7447400000000002</v>
      </c>
      <c r="X75" s="13">
        <f t="shared" si="21"/>
        <v>-6.1571299564388085E-4</v>
      </c>
      <c r="Y75" t="s">
        <v>227</v>
      </c>
    </row>
    <row r="76" spans="2:25" x14ac:dyDescent="0.25">
      <c r="B76" s="3">
        <v>216.19</v>
      </c>
      <c r="C76" s="17">
        <v>0.50436999999999999</v>
      </c>
      <c r="D76" s="17">
        <v>0.50390000000000001</v>
      </c>
      <c r="E76" s="8">
        <v>0.50395000000000001</v>
      </c>
      <c r="F76" s="16">
        <f t="shared" si="17"/>
        <v>-4.6999999999997044E-4</v>
      </c>
      <c r="G76">
        <f t="shared" si="18"/>
        <v>-9.3185558221141315E-2</v>
      </c>
      <c r="H76">
        <f t="shared" si="19"/>
        <v>-9.9216192082536951E-3</v>
      </c>
      <c r="I76">
        <f t="shared" si="20"/>
        <v>-8.3272200963573559E-2</v>
      </c>
      <c r="K76" s="8">
        <v>250</v>
      </c>
      <c r="L76" s="8">
        <v>1.7852600000000001</v>
      </c>
      <c r="M76">
        <v>1.78505</v>
      </c>
      <c r="N76">
        <v>1.785029065</v>
      </c>
      <c r="O76" s="16">
        <f t="shared" si="13"/>
        <v>-2.1000000000004349E-4</v>
      </c>
      <c r="P76">
        <f t="shared" si="14"/>
        <v>-1.1762992505295783E-2</v>
      </c>
      <c r="Q76">
        <f t="shared" si="16"/>
        <v>1.172810034888687E-3</v>
      </c>
      <c r="R76">
        <f t="shared" si="15"/>
        <v>-1.2935650829573462E-2</v>
      </c>
      <c r="T76" s="17">
        <v>0.49994</v>
      </c>
      <c r="U76" s="3">
        <v>280</v>
      </c>
      <c r="V76" s="17">
        <v>9.7555999999999994</v>
      </c>
      <c r="W76" s="16">
        <v>9.75563</v>
      </c>
      <c r="X76" s="13">
        <f t="shared" si="21"/>
        <v>3.0751568330641504E-4</v>
      </c>
      <c r="Y76" t="s">
        <v>194</v>
      </c>
    </row>
    <row r="77" spans="2:25" x14ac:dyDescent="0.25">
      <c r="B77" s="3">
        <v>216.33</v>
      </c>
      <c r="C77" s="17">
        <v>0.50915999999999995</v>
      </c>
      <c r="D77" s="17">
        <v>0.50875000000000004</v>
      </c>
      <c r="E77" s="8">
        <v>0.50878999999999996</v>
      </c>
      <c r="F77" s="16">
        <f t="shared" si="17"/>
        <v>-4.0999999999991044E-4</v>
      </c>
      <c r="G77">
        <f t="shared" si="18"/>
        <v>-8.0524785921893022E-2</v>
      </c>
      <c r="H77">
        <f t="shared" si="19"/>
        <v>-7.8617897364195409E-3</v>
      </c>
      <c r="I77">
        <f t="shared" si="20"/>
        <v>-7.2668709246598615E-2</v>
      </c>
      <c r="K77" s="8">
        <v>250</v>
      </c>
      <c r="L77" s="8">
        <v>1.78532</v>
      </c>
      <c r="M77">
        <v>1.78505</v>
      </c>
      <c r="N77">
        <v>1.785029065</v>
      </c>
      <c r="O77" s="16">
        <f t="shared" si="13"/>
        <v>-2.6999999999999247E-4</v>
      </c>
      <c r="P77">
        <f t="shared" si="14"/>
        <v>-1.5123339233302292E-2</v>
      </c>
      <c r="Q77">
        <f t="shared" si="16"/>
        <v>1.172810034888687E-3</v>
      </c>
      <c r="R77">
        <f t="shared" si="15"/>
        <v>-1.6295958147558541E-2</v>
      </c>
      <c r="T77" s="17">
        <v>0.50056999999999996</v>
      </c>
      <c r="U77" s="3">
        <v>280</v>
      </c>
      <c r="V77" s="17">
        <v>9.7682000000000002</v>
      </c>
      <c r="W77" s="16">
        <v>9.7683300000000006</v>
      </c>
      <c r="X77" s="13">
        <f t="shared" si="21"/>
        <v>1.330849081718306E-3</v>
      </c>
    </row>
    <row r="78" spans="2:25" x14ac:dyDescent="0.25">
      <c r="B78" s="3">
        <v>216.38</v>
      </c>
      <c r="C78" s="17">
        <v>0.51095000000000002</v>
      </c>
      <c r="D78" s="17">
        <v>0.51049999999999995</v>
      </c>
      <c r="E78" s="8">
        <v>0.51053000000000004</v>
      </c>
      <c r="F78" s="16">
        <f t="shared" si="17"/>
        <v>-4.5000000000006146E-4</v>
      </c>
      <c r="G78">
        <f t="shared" si="18"/>
        <v>-8.8071239847355209E-2</v>
      </c>
      <c r="H78">
        <f t="shared" si="19"/>
        <v>-5.8762462539097629E-3</v>
      </c>
      <c r="I78">
        <f t="shared" si="20"/>
        <v>-8.2199823857515592E-2</v>
      </c>
      <c r="K78" s="8">
        <v>255</v>
      </c>
      <c r="L78" s="8">
        <v>2.0845600000000002</v>
      </c>
      <c r="M78">
        <v>2.0843400000000001</v>
      </c>
      <c r="N78">
        <v>2.0842852340000002</v>
      </c>
      <c r="O78" s="16">
        <f t="shared" si="13"/>
        <v>-2.20000000000109E-4</v>
      </c>
      <c r="P78">
        <f t="shared" si="14"/>
        <v>-1.0553785930849147E-2</v>
      </c>
      <c r="Q78">
        <f t="shared" si="16"/>
        <v>2.6275674320625571E-3</v>
      </c>
      <c r="R78">
        <f t="shared" si="15"/>
        <v>-1.3181007023063948E-2</v>
      </c>
      <c r="T78" s="17">
        <v>1.0041500000000001</v>
      </c>
      <c r="U78" s="3">
        <v>280</v>
      </c>
      <c r="V78" s="17">
        <v>20.289100000000001</v>
      </c>
      <c r="W78" s="16">
        <v>20.289200000000001</v>
      </c>
      <c r="X78" s="13">
        <f t="shared" si="21"/>
        <v>4.9287548486510947E-4</v>
      </c>
    </row>
    <row r="79" spans="2:25" x14ac:dyDescent="0.25">
      <c r="B79" s="3">
        <v>216.45</v>
      </c>
      <c r="C79" s="17">
        <v>0.51354</v>
      </c>
      <c r="D79" s="17">
        <v>0.51295000000000002</v>
      </c>
      <c r="E79" s="8">
        <v>0.51297000000000004</v>
      </c>
      <c r="F79" s="16">
        <f t="shared" si="17"/>
        <v>-5.8999999999997943E-4</v>
      </c>
      <c r="G79">
        <f t="shared" si="18"/>
        <v>-0.11488881099816556</v>
      </c>
      <c r="H79">
        <f t="shared" si="19"/>
        <v>-3.8988634812991015E-3</v>
      </c>
      <c r="I79">
        <f t="shared" si="20"/>
        <v>-0.11099427503212202</v>
      </c>
      <c r="K79" s="8">
        <v>255</v>
      </c>
      <c r="L79" s="8">
        <v>2.0844800000000001</v>
      </c>
      <c r="M79">
        <v>2.0843400000000001</v>
      </c>
      <c r="N79">
        <v>2.0842852340000002</v>
      </c>
      <c r="O79" s="16">
        <f t="shared" si="13"/>
        <v>-1.4000000000002899E-4</v>
      </c>
      <c r="P79">
        <f t="shared" si="14"/>
        <v>-6.7163033466394011E-3</v>
      </c>
      <c r="Q79">
        <f t="shared" si="16"/>
        <v>2.6275674320625571E-3</v>
      </c>
      <c r="R79">
        <f t="shared" si="15"/>
        <v>-9.343625268647425E-3</v>
      </c>
      <c r="T79" s="17">
        <v>1.50162</v>
      </c>
      <c r="U79" s="3">
        <v>280</v>
      </c>
      <c r="V79" s="17">
        <v>31.509399999999999</v>
      </c>
      <c r="W79" s="16">
        <v>31.509</v>
      </c>
      <c r="X79" s="13">
        <f t="shared" si="21"/>
        <v>-1.269462446124229E-3</v>
      </c>
    </row>
    <row r="80" spans="2:25" x14ac:dyDescent="0.25">
      <c r="B80" s="3">
        <v>216.48</v>
      </c>
      <c r="C80" s="17">
        <v>0.51444000000000001</v>
      </c>
      <c r="D80" s="17">
        <v>0.51400000000000001</v>
      </c>
      <c r="E80" s="8">
        <v>0.51402000000000003</v>
      </c>
      <c r="F80" s="16">
        <f t="shared" si="17"/>
        <v>-4.3999999999999595E-4</v>
      </c>
      <c r="G80">
        <f t="shared" si="18"/>
        <v>-8.5529896586578794E-2</v>
      </c>
      <c r="H80">
        <f t="shared" si="19"/>
        <v>-3.8908991868059611E-3</v>
      </c>
      <c r="I80">
        <f t="shared" si="20"/>
        <v>-8.1642174014457655E-2</v>
      </c>
      <c r="K80" s="8">
        <v>260</v>
      </c>
      <c r="L80" s="8">
        <v>2.41893</v>
      </c>
      <c r="M80">
        <v>2.4188000000000001</v>
      </c>
      <c r="N80">
        <v>2.418705755</v>
      </c>
      <c r="O80" s="16">
        <f t="shared" si="13"/>
        <v>-1.2999999999996348E-4</v>
      </c>
      <c r="P80">
        <f t="shared" si="14"/>
        <v>-5.3742770563829246E-3</v>
      </c>
      <c r="Q80">
        <f t="shared" si="16"/>
        <v>3.8965053853813577E-3</v>
      </c>
      <c r="R80">
        <f t="shared" si="15"/>
        <v>-9.2704212193022249E-3</v>
      </c>
      <c r="T80" s="17">
        <v>2.0009700000000001</v>
      </c>
      <c r="U80" s="3">
        <v>280</v>
      </c>
      <c r="V80" s="17">
        <v>43.796399999999998</v>
      </c>
      <c r="W80" s="16">
        <v>43.796999999999997</v>
      </c>
      <c r="X80" s="13">
        <f t="shared" si="21"/>
        <v>1.3699756144308704E-3</v>
      </c>
    </row>
    <row r="81" spans="2:24" x14ac:dyDescent="0.25">
      <c r="B81" s="3">
        <v>216.49</v>
      </c>
      <c r="C81" s="17">
        <v>0.51471</v>
      </c>
      <c r="D81" s="17">
        <v>0.51434999999999997</v>
      </c>
      <c r="E81" s="8">
        <v>0.51436999999999999</v>
      </c>
      <c r="F81" s="16">
        <f t="shared" si="17"/>
        <v>-3.6000000000002697E-4</v>
      </c>
      <c r="G81">
        <f t="shared" si="18"/>
        <v>-6.9942297604481549E-2</v>
      </c>
      <c r="H81">
        <f t="shared" si="19"/>
        <v>-3.8882516476505245E-3</v>
      </c>
      <c r="I81">
        <f t="shared" si="20"/>
        <v>-6.6056614404228969E-2</v>
      </c>
      <c r="K81" s="8">
        <v>260</v>
      </c>
      <c r="L81" s="8">
        <v>2.4189400000000001</v>
      </c>
      <c r="M81">
        <v>2.4188000000000001</v>
      </c>
      <c r="N81">
        <v>2.418705755</v>
      </c>
      <c r="O81" s="16">
        <f t="shared" si="13"/>
        <v>-1.4000000000002899E-4</v>
      </c>
      <c r="P81">
        <f t="shared" si="14"/>
        <v>-5.7876590572742189E-3</v>
      </c>
      <c r="Q81">
        <f t="shared" si="16"/>
        <v>3.8965053853813577E-3</v>
      </c>
      <c r="R81">
        <f t="shared" si="15"/>
        <v>-9.6837871133691952E-3</v>
      </c>
      <c r="T81" s="17">
        <v>2.50027</v>
      </c>
      <c r="U81" s="3">
        <v>280</v>
      </c>
      <c r="V81" s="17">
        <v>57.404000000000003</v>
      </c>
      <c r="W81" s="16">
        <v>57.403700000000001</v>
      </c>
      <c r="X81" s="13">
        <f t="shared" si="21"/>
        <v>-5.2261166469732688E-4</v>
      </c>
    </row>
    <row r="82" spans="2:24" x14ac:dyDescent="0.25">
      <c r="B82" s="3">
        <v>216.53</v>
      </c>
      <c r="C82" s="17">
        <v>0.51615999999999995</v>
      </c>
      <c r="D82" s="17">
        <v>0.51576</v>
      </c>
      <c r="E82" s="8">
        <v>0.51576999999999995</v>
      </c>
      <c r="F82" s="16">
        <f t="shared" si="17"/>
        <v>-3.9999999999995595E-4</v>
      </c>
      <c r="G82">
        <f t="shared" si="18"/>
        <v>-7.7495350278974737E-2</v>
      </c>
      <c r="H82">
        <f t="shared" si="19"/>
        <v>-1.9388487116262076E-3</v>
      </c>
      <c r="I82">
        <f t="shared" si="20"/>
        <v>-7.5557966522008968E-2</v>
      </c>
      <c r="K82" s="8">
        <v>260</v>
      </c>
      <c r="L82" s="8">
        <v>2.4189600000000002</v>
      </c>
      <c r="M82">
        <v>2.4188000000000001</v>
      </c>
      <c r="N82">
        <v>2.418705755</v>
      </c>
      <c r="O82" s="16">
        <f t="shared" si="13"/>
        <v>-1.6000000000016001E-4</v>
      </c>
      <c r="P82">
        <f t="shared" si="14"/>
        <v>-6.6144128055098056E-3</v>
      </c>
      <c r="Q82">
        <f t="shared" si="16"/>
        <v>3.8965053853813577E-3</v>
      </c>
      <c r="R82">
        <f t="shared" si="15"/>
        <v>-1.0510508648355649E-2</v>
      </c>
      <c r="T82" s="17">
        <v>2.5007999999999999</v>
      </c>
      <c r="U82" s="3">
        <v>280</v>
      </c>
      <c r="V82" s="17">
        <v>57.417299999999997</v>
      </c>
      <c r="W82" s="16">
        <v>57.418999999999997</v>
      </c>
      <c r="X82" s="13">
        <f t="shared" si="21"/>
        <v>2.9607801133100841E-3</v>
      </c>
    </row>
    <row r="83" spans="2:24" x14ac:dyDescent="0.25">
      <c r="B83" s="3">
        <v>216.58</v>
      </c>
      <c r="C83" s="17">
        <v>0.51797000000000004</v>
      </c>
      <c r="D83" s="17">
        <v>0.51751999999999998</v>
      </c>
      <c r="E83" s="8">
        <v>0.51753000000000005</v>
      </c>
      <c r="F83" s="16">
        <f t="shared" si="17"/>
        <v>-4.5000000000006146E-4</v>
      </c>
      <c r="G83">
        <f t="shared" si="18"/>
        <v>-8.6877618394899589E-2</v>
      </c>
      <c r="H83">
        <f t="shared" si="19"/>
        <v>-1.9322551349806795E-3</v>
      </c>
      <c r="I83">
        <f t="shared" si="20"/>
        <v>-8.4947004652778324E-2</v>
      </c>
      <c r="K83" s="8">
        <v>260</v>
      </c>
      <c r="L83" s="8">
        <v>2.4188999999999998</v>
      </c>
      <c r="M83">
        <v>2.4188000000000001</v>
      </c>
      <c r="N83">
        <v>2.418705755</v>
      </c>
      <c r="O83" s="16">
        <f t="shared" si="13"/>
        <v>-9.9999999999766942E-5</v>
      </c>
      <c r="P83">
        <f t="shared" si="14"/>
        <v>-4.1341105461063683E-3</v>
      </c>
      <c r="Q83">
        <f t="shared" si="16"/>
        <v>3.8965053853813577E-3</v>
      </c>
      <c r="R83">
        <f t="shared" si="15"/>
        <v>-8.0303030302976888E-3</v>
      </c>
      <c r="T83" s="17">
        <v>3.0004</v>
      </c>
      <c r="U83" s="3">
        <v>280</v>
      </c>
      <c r="V83" s="17">
        <v>72.818799999999996</v>
      </c>
      <c r="W83" s="16">
        <v>72.818299999999994</v>
      </c>
      <c r="X83" s="13">
        <f t="shared" si="21"/>
        <v>-6.8663586876244523E-4</v>
      </c>
    </row>
    <row r="84" spans="2:24" x14ac:dyDescent="0.25">
      <c r="B84" s="3">
        <v>216.58</v>
      </c>
      <c r="C84" s="17">
        <v>0.51868000000000003</v>
      </c>
      <c r="D84" s="17">
        <v>0.51751999999999998</v>
      </c>
      <c r="E84" s="8">
        <v>0.51753000000000005</v>
      </c>
      <c r="F84" s="16">
        <f t="shared" si="17"/>
        <v>-1.1600000000000499E-3</v>
      </c>
      <c r="G84">
        <f t="shared" si="18"/>
        <v>-0.22364463638467838</v>
      </c>
      <c r="H84">
        <f t="shared" si="19"/>
        <v>-1.9322551349806795E-3</v>
      </c>
      <c r="I84">
        <f t="shared" si="20"/>
        <v>-0.22171666538134963</v>
      </c>
      <c r="K84" s="8">
        <v>260</v>
      </c>
      <c r="L84" s="8">
        <v>2.4188499999999999</v>
      </c>
      <c r="M84">
        <v>2.4188000000000001</v>
      </c>
      <c r="N84">
        <v>2.418705755</v>
      </c>
      <c r="O84" s="16">
        <f t="shared" si="13"/>
        <v>-4.9999999999883471E-5</v>
      </c>
      <c r="P84">
        <f t="shared" si="14"/>
        <v>-2.0670980011114155E-3</v>
      </c>
      <c r="Q84">
        <f t="shared" si="16"/>
        <v>3.8965053853813577E-3</v>
      </c>
      <c r="R84">
        <f t="shared" si="15"/>
        <v>-5.9633710234196953E-3</v>
      </c>
      <c r="T84" s="17">
        <v>3.5006599999999999</v>
      </c>
      <c r="U84" s="3">
        <v>280</v>
      </c>
      <c r="V84" s="17">
        <v>90.834000000000003</v>
      </c>
      <c r="W84" s="16">
        <v>90.832400000000007</v>
      </c>
      <c r="X84" s="13">
        <f t="shared" si="21"/>
        <v>-1.7614549617943403E-3</v>
      </c>
    </row>
    <row r="85" spans="2:24" x14ac:dyDescent="0.25">
      <c r="B85" s="3">
        <v>216.59</v>
      </c>
      <c r="C85" s="17">
        <v>0.51880000000000004</v>
      </c>
      <c r="D85" s="17">
        <v>0.51788000000000001</v>
      </c>
      <c r="E85" s="8">
        <v>0.51788000000000001</v>
      </c>
      <c r="F85" s="16">
        <f t="shared" si="17"/>
        <v>-9.200000000000319E-4</v>
      </c>
      <c r="G85">
        <f t="shared" si="18"/>
        <v>-0.17733230531997529</v>
      </c>
      <c r="H85">
        <f t="shared" si="19"/>
        <v>0</v>
      </c>
      <c r="I85">
        <f t="shared" si="20"/>
        <v>-0.17733230531997529</v>
      </c>
      <c r="K85" s="8">
        <v>260</v>
      </c>
      <c r="L85" s="8">
        <v>2.4188900000000002</v>
      </c>
      <c r="M85">
        <v>2.4188000000000001</v>
      </c>
      <c r="N85">
        <v>2.418705755</v>
      </c>
      <c r="O85" s="16">
        <f t="shared" si="13"/>
        <v>-9.0000000000145519E-5</v>
      </c>
      <c r="P85">
        <f t="shared" si="14"/>
        <v>-3.7207148733570156E-3</v>
      </c>
      <c r="Q85">
        <f t="shared" si="16"/>
        <v>3.8965053853813577E-3</v>
      </c>
      <c r="R85">
        <f t="shared" si="15"/>
        <v>-7.6169234649053627E-3</v>
      </c>
      <c r="T85" s="17">
        <v>3.9981300000000002</v>
      </c>
      <c r="U85" s="3">
        <v>280</v>
      </c>
      <c r="V85" s="17">
        <v>112.986</v>
      </c>
      <c r="W85" s="16">
        <v>112.983</v>
      </c>
      <c r="X85" s="13">
        <f t="shared" si="21"/>
        <v>-2.6551962190006846E-3</v>
      </c>
    </row>
    <row r="86" spans="2:24" x14ac:dyDescent="0.25">
      <c r="B86" s="3">
        <v>216.59</v>
      </c>
      <c r="C86" s="17">
        <v>0.51895000000000002</v>
      </c>
      <c r="D86" s="17">
        <v>0.51788000000000001</v>
      </c>
      <c r="E86" s="8">
        <v>0.51788000000000001</v>
      </c>
      <c r="F86" s="16">
        <f t="shared" si="17"/>
        <v>-1.0700000000000154E-3</v>
      </c>
      <c r="G86">
        <f t="shared" si="18"/>
        <v>-0.20618556701031224</v>
      </c>
      <c r="H86">
        <f t="shared" si="19"/>
        <v>0</v>
      </c>
      <c r="I86">
        <f t="shared" si="20"/>
        <v>-0.20618556701031224</v>
      </c>
      <c r="K86" s="8">
        <v>260</v>
      </c>
      <c r="L86" s="8">
        <v>2.4188800000000001</v>
      </c>
      <c r="M86">
        <v>2.4188000000000001</v>
      </c>
      <c r="N86">
        <v>2.418705755</v>
      </c>
      <c r="O86" s="16">
        <f t="shared" si="13"/>
        <v>-8.0000000000080007E-5</v>
      </c>
      <c r="P86">
        <f t="shared" si="14"/>
        <v>-3.3073157825142217E-3</v>
      </c>
      <c r="Q86">
        <f t="shared" si="16"/>
        <v>3.8965053853813577E-3</v>
      </c>
      <c r="R86">
        <f t="shared" si="15"/>
        <v>-7.2035404815527773E-3</v>
      </c>
      <c r="T86" s="17">
        <v>3.9993099999999999</v>
      </c>
      <c r="U86" s="3">
        <v>280</v>
      </c>
      <c r="V86" s="17">
        <v>113.04300000000001</v>
      </c>
      <c r="W86" s="16">
        <v>113.04300000000001</v>
      </c>
      <c r="X86" s="13">
        <f t="shared" si="21"/>
        <v>0</v>
      </c>
    </row>
    <row r="87" spans="2:24" x14ac:dyDescent="0.25">
      <c r="B87" s="3">
        <v>216.59</v>
      </c>
      <c r="C87" s="17">
        <v>0.51898</v>
      </c>
      <c r="D87" s="17">
        <v>0.51788000000000001</v>
      </c>
      <c r="E87" s="8">
        <v>0.51788000000000001</v>
      </c>
      <c r="F87" s="16">
        <f t="shared" si="17"/>
        <v>-1.0999999999999899E-3</v>
      </c>
      <c r="G87">
        <f t="shared" si="18"/>
        <v>-0.21195421788893404</v>
      </c>
      <c r="H87">
        <f t="shared" si="19"/>
        <v>0</v>
      </c>
      <c r="I87">
        <f t="shared" si="20"/>
        <v>-0.21195421788893404</v>
      </c>
      <c r="K87" s="8">
        <v>260</v>
      </c>
      <c r="L87" s="8">
        <v>2.41892</v>
      </c>
      <c r="M87">
        <v>2.4188000000000001</v>
      </c>
      <c r="N87">
        <v>2.418705755</v>
      </c>
      <c r="O87" s="16">
        <f t="shared" si="13"/>
        <v>-1.1999999999989797E-4</v>
      </c>
      <c r="P87">
        <f t="shared" si="14"/>
        <v>-4.9608916375861118E-3</v>
      </c>
      <c r="Q87">
        <f t="shared" si="16"/>
        <v>3.8965053853813577E-3</v>
      </c>
      <c r="R87">
        <f t="shared" si="15"/>
        <v>-8.8570519074629098E-3</v>
      </c>
      <c r="T87" s="17">
        <v>3.9999799999999999</v>
      </c>
      <c r="U87" s="3">
        <v>280</v>
      </c>
      <c r="V87" s="17">
        <v>113.081</v>
      </c>
      <c r="W87" s="16">
        <v>113.077</v>
      </c>
      <c r="X87" s="13">
        <f t="shared" si="21"/>
        <v>-3.5372874311377584E-3</v>
      </c>
    </row>
    <row r="88" spans="2:24" x14ac:dyDescent="0.25">
      <c r="K88" s="8">
        <v>265</v>
      </c>
      <c r="L88" s="8">
        <v>2.7909799999999998</v>
      </c>
      <c r="M88">
        <v>2.7909199999999998</v>
      </c>
      <c r="N88">
        <v>2.790800876</v>
      </c>
      <c r="O88" s="16">
        <f t="shared" si="13"/>
        <v>-5.9999999999948983E-5</v>
      </c>
      <c r="P88">
        <f t="shared" si="14"/>
        <v>-2.1497825136672062E-3</v>
      </c>
      <c r="Q88">
        <f t="shared" si="16"/>
        <v>4.2684521502136703E-3</v>
      </c>
      <c r="R88">
        <f t="shared" si="15"/>
        <v>-6.4179607162986813E-3</v>
      </c>
      <c r="T88" s="17">
        <v>4.0018399999999996</v>
      </c>
      <c r="U88" s="3">
        <v>280</v>
      </c>
      <c r="V88" s="17">
        <v>113.17400000000001</v>
      </c>
      <c r="W88" s="16">
        <v>113.172</v>
      </c>
      <c r="X88" s="13">
        <f t="shared" si="21"/>
        <v>-1.7671903440803979E-3</v>
      </c>
    </row>
    <row r="89" spans="2:24" x14ac:dyDescent="0.25">
      <c r="K89" s="8">
        <v>265</v>
      </c>
      <c r="L89" s="8">
        <v>2.79095</v>
      </c>
      <c r="M89">
        <v>2.7909199999999998</v>
      </c>
      <c r="N89">
        <v>2.790800876</v>
      </c>
      <c r="O89" s="16">
        <f t="shared" si="13"/>
        <v>-3.0000000000196536E-5</v>
      </c>
      <c r="P89">
        <f t="shared" si="14"/>
        <v>-1.0749028108778924E-3</v>
      </c>
      <c r="Q89">
        <f t="shared" si="16"/>
        <v>4.2684521502136703E-3</v>
      </c>
      <c r="R89">
        <f t="shared" si="15"/>
        <v>-5.3431268922768402E-3</v>
      </c>
      <c r="T89" s="17">
        <v>4.1201100000000004</v>
      </c>
      <c r="U89" s="3">
        <v>280</v>
      </c>
      <c r="V89" s="17">
        <v>119.453</v>
      </c>
      <c r="W89" s="16">
        <v>119.456</v>
      </c>
      <c r="X89" s="13">
        <f t="shared" si="21"/>
        <v>2.5114480172118855E-3</v>
      </c>
    </row>
    <row r="90" spans="2:24" x14ac:dyDescent="0.25">
      <c r="B90" s="21" t="s">
        <v>110</v>
      </c>
      <c r="C90" s="21"/>
      <c r="D90" s="21"/>
      <c r="E90" s="21"/>
      <c r="F90" s="21"/>
      <c r="G90" s="21"/>
      <c r="H90" t="s">
        <v>210</v>
      </c>
      <c r="K90" s="8">
        <v>270</v>
      </c>
      <c r="L90" s="8">
        <v>3.2033200000000002</v>
      </c>
      <c r="M90">
        <v>3.2033499999999999</v>
      </c>
      <c r="N90">
        <v>3.203224386</v>
      </c>
      <c r="O90" s="16">
        <f t="shared" si="13"/>
        <v>2.9999999999752447E-5</v>
      </c>
      <c r="P90">
        <f t="shared" si="14"/>
        <v>9.3652835182724318E-4</v>
      </c>
      <c r="Q90">
        <f t="shared" si="16"/>
        <v>3.9214861296914807E-3</v>
      </c>
      <c r="R90">
        <f t="shared" si="15"/>
        <v>-2.9848407277491052E-3</v>
      </c>
      <c r="T90" s="17">
        <v>4.1531200000000004</v>
      </c>
      <c r="U90" s="3">
        <v>280</v>
      </c>
      <c r="V90" s="17">
        <v>121.29900000000001</v>
      </c>
      <c r="W90" s="16">
        <v>121.307</v>
      </c>
      <c r="X90" s="13">
        <f t="shared" si="21"/>
        <v>6.5952728381895691E-3</v>
      </c>
    </row>
    <row r="91" spans="2:24" x14ac:dyDescent="0.25">
      <c r="B91" s="1" t="s">
        <v>1</v>
      </c>
      <c r="C91" s="1" t="s">
        <v>111</v>
      </c>
      <c r="D91" s="1" t="s">
        <v>107</v>
      </c>
      <c r="E91" s="1" t="s">
        <v>109</v>
      </c>
      <c r="F91" s="1" t="s">
        <v>108</v>
      </c>
      <c r="G91" s="1" t="s">
        <v>63</v>
      </c>
      <c r="H91" t="s">
        <v>209</v>
      </c>
      <c r="K91" s="8">
        <v>270</v>
      </c>
      <c r="L91" s="8">
        <v>3.20329</v>
      </c>
      <c r="M91">
        <v>3.2033499999999999</v>
      </c>
      <c r="N91">
        <v>3.203224386</v>
      </c>
      <c r="O91" s="16">
        <f t="shared" si="13"/>
        <v>5.9999999999948983E-5</v>
      </c>
      <c r="P91">
        <f t="shared" si="14"/>
        <v>1.8730742455397103E-3</v>
      </c>
      <c r="Q91">
        <f t="shared" si="16"/>
        <v>3.9214861296914807E-3</v>
      </c>
      <c r="R91">
        <f t="shared" si="15"/>
        <v>-2.0483315591137896E-3</v>
      </c>
      <c r="T91" s="17">
        <v>4.1759300000000001</v>
      </c>
      <c r="U91" s="3">
        <v>280</v>
      </c>
      <c r="V91" s="17">
        <v>883.77599999999995</v>
      </c>
      <c r="W91" s="16">
        <v>883.80799999999999</v>
      </c>
      <c r="X91" s="13">
        <f t="shared" si="21"/>
        <v>3.6208269968905143E-3</v>
      </c>
    </row>
    <row r="92" spans="2:24" x14ac:dyDescent="0.25">
      <c r="B92">
        <f>-183 + 273.15</f>
        <v>90.149999999999977</v>
      </c>
      <c r="C92">
        <v>1663</v>
      </c>
      <c r="D92">
        <f t="shared" ref="D92:D107" si="22">0.04401/C92</f>
        <v>2.6464221286831028E-5</v>
      </c>
      <c r="E92" s="13">
        <v>1668.23</v>
      </c>
      <c r="F92" s="13">
        <f t="shared" ref="F92:F107" si="23">0.04401/E92</f>
        <v>2.6381254383388381E-5</v>
      </c>
      <c r="G92" s="16">
        <f t="shared" ref="G92:G107" si="24">100*(F92-D92)/D92</f>
        <v>-0.31350593143631567</v>
      </c>
      <c r="H92">
        <v>80</v>
      </c>
      <c r="I92">
        <v>2.6269999999999998</v>
      </c>
      <c r="K92" s="8">
        <v>275</v>
      </c>
      <c r="L92" s="8">
        <v>3.6588099999999999</v>
      </c>
      <c r="M92">
        <v>3.6589200000000002</v>
      </c>
      <c r="N92">
        <v>3.658820897</v>
      </c>
      <c r="O92" s="16">
        <f t="shared" si="13"/>
        <v>1.1000000000027654E-4</v>
      </c>
      <c r="P92">
        <f t="shared" si="14"/>
        <v>3.0064419852431951E-3</v>
      </c>
      <c r="Q92">
        <f t="shared" si="16"/>
        <v>2.7086048426533792E-3</v>
      </c>
      <c r="R92">
        <f t="shared" si="15"/>
        <v>2.9782907557705178E-4</v>
      </c>
      <c r="T92" s="17">
        <v>4.1977799999999998</v>
      </c>
      <c r="U92" s="3">
        <v>280</v>
      </c>
      <c r="V92" s="17">
        <v>884.04</v>
      </c>
      <c r="W92" s="16">
        <v>884.09400000000005</v>
      </c>
      <c r="X92" s="13">
        <f t="shared" si="21"/>
        <v>6.1083208904673218E-3</v>
      </c>
    </row>
    <row r="93" spans="2:24" x14ac:dyDescent="0.25">
      <c r="B93">
        <f>-183 + 273.15</f>
        <v>90.149999999999977</v>
      </c>
      <c r="C93">
        <v>1674</v>
      </c>
      <c r="D93">
        <f t="shared" si="22"/>
        <v>2.6290322580645163E-5</v>
      </c>
      <c r="E93" s="13">
        <v>1668.23</v>
      </c>
      <c r="F93" s="13">
        <f t="shared" si="23"/>
        <v>2.6381254383388381E-5</v>
      </c>
      <c r="G93" s="16">
        <f t="shared" si="24"/>
        <v>0.34587556871653574</v>
      </c>
      <c r="H93">
        <v>90</v>
      </c>
      <c r="I93">
        <v>2.6379999999999999</v>
      </c>
      <c r="K93" s="8">
        <v>280</v>
      </c>
      <c r="L93" s="8">
        <v>4.1606199999999998</v>
      </c>
      <c r="M93">
        <v>4.1607399999999997</v>
      </c>
      <c r="N93">
        <v>4.1606983130000001</v>
      </c>
      <c r="O93" s="16">
        <f t="shared" si="13"/>
        <v>1.1999999999989797E-4</v>
      </c>
      <c r="P93">
        <f t="shared" si="14"/>
        <v>2.8841855300387434E-3</v>
      </c>
      <c r="Q93">
        <f t="shared" si="16"/>
        <v>1.0019231596115213E-3</v>
      </c>
      <c r="R93">
        <f t="shared" si="15"/>
        <v>1.8822435117935574E-3</v>
      </c>
      <c r="T93" s="17">
        <v>4.2676499999999997</v>
      </c>
      <c r="U93" s="3">
        <v>280</v>
      </c>
      <c r="V93" s="17">
        <v>884.96299999999997</v>
      </c>
      <c r="W93" s="16">
        <v>885.00199999999995</v>
      </c>
      <c r="X93" s="13">
        <f t="shared" si="21"/>
        <v>4.4069639069641633E-3</v>
      </c>
    </row>
    <row r="94" spans="2:24" x14ac:dyDescent="0.25">
      <c r="B94">
        <f>-135.2 + 273.15</f>
        <v>137.94999999999999</v>
      </c>
      <c r="C94">
        <v>1630</v>
      </c>
      <c r="D94">
        <f t="shared" si="22"/>
        <v>2.6999999999999999E-5</v>
      </c>
      <c r="E94" s="13">
        <v>1630.07</v>
      </c>
      <c r="F94" s="13">
        <f t="shared" si="23"/>
        <v>2.6998840540590284E-5</v>
      </c>
      <c r="G94" s="16">
        <f t="shared" si="24"/>
        <v>-4.2942941100571714E-3</v>
      </c>
      <c r="H94">
        <f>-183 + 273.15</f>
        <v>90.149999999999977</v>
      </c>
      <c r="I94">
        <v>2.6379999999999999</v>
      </c>
      <c r="K94" s="8">
        <v>280</v>
      </c>
      <c r="L94" s="8">
        <v>4.1604700000000001</v>
      </c>
      <c r="M94">
        <v>4.1607399999999997</v>
      </c>
      <c r="N94">
        <v>4.1606983130000001</v>
      </c>
      <c r="O94" s="16">
        <f t="shared" si="13"/>
        <v>2.6999999999954838E-4</v>
      </c>
      <c r="P94">
        <f t="shared" si="14"/>
        <v>6.4896514095654665E-3</v>
      </c>
      <c r="Q94">
        <f t="shared" si="16"/>
        <v>1.0019231596115213E-3</v>
      </c>
      <c r="R94">
        <f t="shared" si="15"/>
        <v>5.4876732676845527E-3</v>
      </c>
      <c r="T94" s="17">
        <v>4.50556</v>
      </c>
      <c r="U94" s="3">
        <v>280</v>
      </c>
      <c r="V94" s="17">
        <v>887.947</v>
      </c>
      <c r="W94" s="16">
        <v>888.01400000000001</v>
      </c>
      <c r="X94" s="13">
        <f t="shared" si="21"/>
        <v>7.545495395559338E-3</v>
      </c>
    </row>
    <row r="95" spans="2:24" x14ac:dyDescent="0.25">
      <c r="B95">
        <f>-128.8 + 273.15</f>
        <v>144.34999999999997</v>
      </c>
      <c r="C95">
        <v>1621</v>
      </c>
      <c r="D95">
        <f t="shared" si="22"/>
        <v>2.7149907464528069E-5</v>
      </c>
      <c r="E95" s="13">
        <v>1624.17</v>
      </c>
      <c r="F95" s="13">
        <f t="shared" si="23"/>
        <v>2.709691719462864E-5</v>
      </c>
      <c r="G95" s="16">
        <f t="shared" si="24"/>
        <v>-0.19517661328555894</v>
      </c>
      <c r="H95">
        <f>-183 + 273.15</f>
        <v>90.149999999999977</v>
      </c>
      <c r="I95">
        <v>2.6379999999999999</v>
      </c>
      <c r="K95" s="8">
        <v>280</v>
      </c>
      <c r="L95" s="8">
        <v>4.1605999999999996</v>
      </c>
      <c r="M95">
        <v>4.1607399999999997</v>
      </c>
      <c r="N95">
        <v>4.1606983130000001</v>
      </c>
      <c r="O95" s="16">
        <f t="shared" si="13"/>
        <v>1.4000000000002899E-4</v>
      </c>
      <c r="P95">
        <f t="shared" si="14"/>
        <v>3.3648992933718457E-3</v>
      </c>
      <c r="Q95">
        <f t="shared" si="16"/>
        <v>1.0019231596115213E-3</v>
      </c>
      <c r="R95">
        <f t="shared" si="15"/>
        <v>2.3629524587923888E-3</v>
      </c>
      <c r="T95" s="17">
        <v>4.9974499999999997</v>
      </c>
      <c r="U95" s="3">
        <v>280</v>
      </c>
      <c r="V95" s="17">
        <v>893.82399999999996</v>
      </c>
      <c r="W95" s="16">
        <v>893.89099999999996</v>
      </c>
      <c r="X95" s="13">
        <f t="shared" si="21"/>
        <v>7.4958828583711421E-3</v>
      </c>
    </row>
    <row r="96" spans="2:24" x14ac:dyDescent="0.25">
      <c r="B96">
        <f>-125.2 + 273.15</f>
        <v>147.94999999999999</v>
      </c>
      <c r="C96">
        <v>1623</v>
      </c>
      <c r="D96">
        <f t="shared" si="22"/>
        <v>2.7116451016635859E-5</v>
      </c>
      <c r="E96" s="13">
        <v>1620.76</v>
      </c>
      <c r="F96" s="13">
        <f t="shared" si="23"/>
        <v>2.715392778696414E-5</v>
      </c>
      <c r="G96" s="16">
        <f t="shared" si="24"/>
        <v>0.13820676719563921</v>
      </c>
      <c r="H96">
        <v>100</v>
      </c>
      <c r="I96">
        <v>2.649</v>
      </c>
      <c r="J96" s="72"/>
      <c r="K96" s="8">
        <v>280</v>
      </c>
      <c r="L96" s="8">
        <v>4.1605800000000004</v>
      </c>
      <c r="M96">
        <v>4.1607399999999997</v>
      </c>
      <c r="N96">
        <v>4.1606983130000001</v>
      </c>
      <c r="O96" s="16">
        <f t="shared" si="13"/>
        <v>1.5999999999927184E-4</v>
      </c>
      <c r="P96">
        <f t="shared" si="14"/>
        <v>3.8456176782869652E-3</v>
      </c>
      <c r="Q96">
        <f t="shared" si="16"/>
        <v>1.0019231596115213E-3</v>
      </c>
      <c r="R96">
        <f t="shared" si="15"/>
        <v>2.8436660273269345E-3</v>
      </c>
      <c r="T96" s="17">
        <v>4.9994100000000001</v>
      </c>
      <c r="U96" s="3">
        <v>280</v>
      </c>
      <c r="V96" s="17">
        <v>893.85</v>
      </c>
      <c r="W96" s="16">
        <v>893.91300000000001</v>
      </c>
      <c r="X96" s="13">
        <f t="shared" si="21"/>
        <v>7.0481624433616575E-3</v>
      </c>
    </row>
    <row r="97" spans="2:24" x14ac:dyDescent="0.25">
      <c r="B97">
        <f>-115.2 + 273.15</f>
        <v>157.94999999999999</v>
      </c>
      <c r="C97">
        <v>1610</v>
      </c>
      <c r="D97">
        <f t="shared" si="22"/>
        <v>2.7335403726708076E-5</v>
      </c>
      <c r="E97" s="13">
        <v>1611</v>
      </c>
      <c r="F97" s="13">
        <f t="shared" si="23"/>
        <v>2.7318435754189945E-5</v>
      </c>
      <c r="G97" s="16">
        <f t="shared" si="24"/>
        <v>-6.2073246430788133E-2</v>
      </c>
      <c r="H97">
        <v>110</v>
      </c>
      <c r="I97">
        <v>2.661</v>
      </c>
      <c r="K97" s="8">
        <v>280</v>
      </c>
      <c r="L97" s="8">
        <v>4.1605600000000003</v>
      </c>
      <c r="M97">
        <v>4.1607399999999997</v>
      </c>
      <c r="N97">
        <v>4.1606983130000001</v>
      </c>
      <c r="O97" s="16">
        <f t="shared" si="13"/>
        <v>1.7999999999940286E-4</v>
      </c>
      <c r="P97">
        <f t="shared" si="14"/>
        <v>4.3263406848934481E-3</v>
      </c>
      <c r="Q97">
        <f t="shared" si="16"/>
        <v>1.0019231596115213E-3</v>
      </c>
      <c r="R97">
        <f t="shared" si="15"/>
        <v>3.3243842175065372E-3</v>
      </c>
      <c r="T97" s="17">
        <v>6.00474</v>
      </c>
      <c r="U97" s="3">
        <v>280</v>
      </c>
      <c r="V97" s="17">
        <v>904.7</v>
      </c>
      <c r="W97" s="16">
        <v>904.73699999999997</v>
      </c>
      <c r="X97" s="13">
        <f t="shared" si="21"/>
        <v>4.0897535094418999E-3</v>
      </c>
    </row>
    <row r="98" spans="2:24" x14ac:dyDescent="0.25">
      <c r="B98">
        <f>-114.9 + 273.15</f>
        <v>158.24999999999997</v>
      </c>
      <c r="C98">
        <v>1611</v>
      </c>
      <c r="D98">
        <f t="shared" si="22"/>
        <v>2.7318435754189945E-5</v>
      </c>
      <c r="E98" s="13">
        <v>1610.7</v>
      </c>
      <c r="F98" s="13">
        <f t="shared" si="23"/>
        <v>2.7323523933693423E-5</v>
      </c>
      <c r="G98" s="16">
        <f t="shared" si="24"/>
        <v>1.8625442354243984E-2</v>
      </c>
      <c r="H98">
        <v>120</v>
      </c>
      <c r="I98">
        <v>2.6739999999999999</v>
      </c>
      <c r="K98" s="8">
        <v>280</v>
      </c>
      <c r="L98" s="8">
        <v>4.1605100000000004</v>
      </c>
      <c r="M98">
        <v>4.1607399999999997</v>
      </c>
      <c r="N98">
        <v>4.1606983130000001</v>
      </c>
      <c r="O98" s="16">
        <f t="shared" si="13"/>
        <v>2.2999999999928633E-4</v>
      </c>
      <c r="P98">
        <f t="shared" si="14"/>
        <v>5.5281684216426904E-3</v>
      </c>
      <c r="Q98">
        <f t="shared" si="16"/>
        <v>1.0019231596115213E-3</v>
      </c>
      <c r="R98">
        <f t="shared" si="15"/>
        <v>4.5261999129859905E-3</v>
      </c>
      <c r="T98" s="17">
        <v>6.9988200000000003</v>
      </c>
      <c r="U98" s="3">
        <v>280</v>
      </c>
      <c r="V98" s="17">
        <v>914.28800000000001</v>
      </c>
      <c r="W98" s="16">
        <v>914.24900000000002</v>
      </c>
      <c r="X98" s="13">
        <f t="shared" si="21"/>
        <v>-4.2656143359627672E-3</v>
      </c>
    </row>
    <row r="99" spans="2:24" x14ac:dyDescent="0.25">
      <c r="B99">
        <f>-105.2 + 273.15</f>
        <v>167.95</v>
      </c>
      <c r="C99">
        <v>1600</v>
      </c>
      <c r="D99">
        <f t="shared" si="22"/>
        <v>2.7506250000000001E-5</v>
      </c>
      <c r="E99" s="13">
        <v>1600.79</v>
      </c>
      <c r="F99" s="13">
        <f t="shared" si="23"/>
        <v>2.7492675491476085E-5</v>
      </c>
      <c r="G99" s="16">
        <f t="shared" si="24"/>
        <v>-4.935063312489249E-2</v>
      </c>
      <c r="H99">
        <v>130</v>
      </c>
      <c r="I99">
        <v>2.6880000000000002</v>
      </c>
      <c r="K99" s="8">
        <v>280</v>
      </c>
      <c r="L99" s="8">
        <v>4.1605499999999997</v>
      </c>
      <c r="M99">
        <v>4.1607399999999997</v>
      </c>
      <c r="N99">
        <v>4.1606983130000001</v>
      </c>
      <c r="O99" s="16">
        <f t="shared" si="13"/>
        <v>1.8999999999991246E-4</v>
      </c>
      <c r="P99">
        <f t="shared" si="14"/>
        <v>4.5667039213544477E-3</v>
      </c>
      <c r="Q99">
        <f t="shared" si="16"/>
        <v>1.0019231596115213E-3</v>
      </c>
      <c r="R99">
        <f t="shared" si="15"/>
        <v>3.5647450457367319E-3</v>
      </c>
      <c r="T99" s="17">
        <v>7.0045700000000002</v>
      </c>
      <c r="U99" s="3">
        <v>280</v>
      </c>
      <c r="V99" s="17">
        <v>914.34199999999998</v>
      </c>
      <c r="W99" s="16">
        <v>914.30100000000004</v>
      </c>
      <c r="X99" s="13">
        <f t="shared" si="21"/>
        <v>-4.4840989476519696E-3</v>
      </c>
    </row>
    <row r="100" spans="2:24" x14ac:dyDescent="0.25">
      <c r="B100">
        <f>-105.1 + 273.15</f>
        <v>168.04999999999998</v>
      </c>
      <c r="C100">
        <v>1602</v>
      </c>
      <c r="D100">
        <f t="shared" si="22"/>
        <v>2.7471910112359552E-5</v>
      </c>
      <c r="E100" s="13">
        <v>1600.68</v>
      </c>
      <c r="F100" s="13">
        <f t="shared" si="23"/>
        <v>2.7494564809955768E-5</v>
      </c>
      <c r="G100" s="16">
        <f t="shared" si="24"/>
        <v>8.2464952395225458E-2</v>
      </c>
      <c r="H100">
        <f>-135.2 + 273.15</f>
        <v>137.94999999999999</v>
      </c>
      <c r="I100">
        <v>2.7</v>
      </c>
      <c r="K100" s="8">
        <v>280</v>
      </c>
      <c r="L100" s="8">
        <v>4.1604999999999999</v>
      </c>
      <c r="M100">
        <v>4.1607399999999997</v>
      </c>
      <c r="N100">
        <v>4.1606983130000001</v>
      </c>
      <c r="O100" s="16">
        <f t="shared" si="13"/>
        <v>2.3999999999979593E-4</v>
      </c>
      <c r="P100">
        <f t="shared" si="14"/>
        <v>5.768537435399494E-3</v>
      </c>
      <c r="Q100">
        <f t="shared" si="16"/>
        <v>1.0019231596115213E-3</v>
      </c>
      <c r="R100">
        <f t="shared" si="15"/>
        <v>4.7665665184541059E-3</v>
      </c>
      <c r="T100" s="17">
        <v>8.0018799999999999</v>
      </c>
      <c r="U100" s="3">
        <v>280</v>
      </c>
      <c r="V100" s="17">
        <v>923.00300000000004</v>
      </c>
      <c r="W100" s="16">
        <v>922.93799999999999</v>
      </c>
      <c r="X100" s="13">
        <f t="shared" si="21"/>
        <v>-7.0422306319756888E-3</v>
      </c>
    </row>
    <row r="101" spans="2:24" x14ac:dyDescent="0.25">
      <c r="B101">
        <f>-95.3 + 273.15</f>
        <v>177.84999999999997</v>
      </c>
      <c r="C101">
        <v>1589</v>
      </c>
      <c r="D101">
        <f t="shared" si="22"/>
        <v>2.7696664568911265E-5</v>
      </c>
      <c r="E101" s="13">
        <v>1590.23</v>
      </c>
      <c r="F101" s="13">
        <f t="shared" si="23"/>
        <v>2.7675241946133577E-5</v>
      </c>
      <c r="G101" s="16">
        <f t="shared" si="24"/>
        <v>-7.734730196261233E-2</v>
      </c>
      <c r="H101">
        <v>139</v>
      </c>
      <c r="I101">
        <v>2.7010000000000001</v>
      </c>
      <c r="K101" s="8">
        <v>280</v>
      </c>
      <c r="L101" s="8">
        <v>4.1606300000000003</v>
      </c>
      <c r="M101">
        <v>4.1607399999999997</v>
      </c>
      <c r="N101">
        <v>4.1606983130000001</v>
      </c>
      <c r="O101" s="16">
        <f t="shared" si="13"/>
        <v>1.0999999999938836E-4</v>
      </c>
      <c r="P101">
        <f t="shared" si="14"/>
        <v>2.6438303814419538E-3</v>
      </c>
      <c r="Q101">
        <f t="shared" si="16"/>
        <v>1.0019231596115213E-3</v>
      </c>
      <c r="R101">
        <f t="shared" si="15"/>
        <v>1.6418907713465387E-3</v>
      </c>
      <c r="T101" s="17">
        <v>8.0040800000000001</v>
      </c>
      <c r="U101" s="3">
        <v>280</v>
      </c>
      <c r="V101" s="17">
        <v>923.03300000000002</v>
      </c>
      <c r="W101" s="16">
        <v>922.95600000000002</v>
      </c>
      <c r="X101" s="13">
        <f t="shared" si="21"/>
        <v>-8.3420636098599059E-3</v>
      </c>
    </row>
    <row r="102" spans="2:24" x14ac:dyDescent="0.25">
      <c r="B102">
        <f>-95.1 + 273.15</f>
        <v>178.04999999999998</v>
      </c>
      <c r="C102">
        <v>1590</v>
      </c>
      <c r="D102">
        <f t="shared" si="22"/>
        <v>2.7679245283018869E-5</v>
      </c>
      <c r="E102" s="13">
        <v>1590.01</v>
      </c>
      <c r="F102" s="13">
        <f t="shared" si="23"/>
        <v>2.7679071200810059E-5</v>
      </c>
      <c r="G102" s="16">
        <f t="shared" si="24"/>
        <v>-6.2892686209149295E-4</v>
      </c>
      <c r="H102">
        <f>-128.8 + 273.15</f>
        <v>144.34999999999997</v>
      </c>
      <c r="I102">
        <v>2.71</v>
      </c>
      <c r="K102" s="8">
        <v>285</v>
      </c>
      <c r="L102" s="8">
        <v>4.7118399999999996</v>
      </c>
      <c r="M102">
        <v>4.7123499999999998</v>
      </c>
      <c r="N102">
        <v>4.7123459600000004</v>
      </c>
      <c r="O102" s="16">
        <f t="shared" si="13"/>
        <v>5.1000000000023249E-4</v>
      </c>
      <c r="P102">
        <f t="shared" si="14"/>
        <v>1.0823797072910637E-2</v>
      </c>
      <c r="Q102">
        <f t="shared" si="16"/>
        <v>8.5732245334292783E-5</v>
      </c>
      <c r="R102">
        <f t="shared" si="15"/>
        <v>1.0738055621600155E-2</v>
      </c>
      <c r="T102" s="17">
        <v>9.0048899999999996</v>
      </c>
      <c r="U102" s="3">
        <v>280</v>
      </c>
      <c r="V102" s="17">
        <v>931.024</v>
      </c>
      <c r="W102" s="16">
        <v>930.90499999999997</v>
      </c>
      <c r="X102" s="13">
        <f t="shared" si="21"/>
        <v>-1.2781625393118565E-2</v>
      </c>
    </row>
    <row r="103" spans="2:24" x14ac:dyDescent="0.25">
      <c r="B103">
        <f>-87.9 + 273.15</f>
        <v>185.24999999999997</v>
      </c>
      <c r="C103">
        <v>1582</v>
      </c>
      <c r="D103">
        <f t="shared" si="22"/>
        <v>2.7819216182048041E-5</v>
      </c>
      <c r="E103" s="13">
        <v>1582.06</v>
      </c>
      <c r="F103" s="13">
        <f t="shared" si="23"/>
        <v>2.7818161131689063E-5</v>
      </c>
      <c r="G103" s="16">
        <f t="shared" si="24"/>
        <v>-3.792523671671807E-3</v>
      </c>
      <c r="H103">
        <f>-125.2 + 273.15</f>
        <v>147.94999999999999</v>
      </c>
      <c r="I103">
        <v>2.7149999999999999</v>
      </c>
      <c r="K103" s="8">
        <v>285</v>
      </c>
      <c r="L103" s="8">
        <v>4.7119299999999997</v>
      </c>
      <c r="M103">
        <v>4.7123499999999998</v>
      </c>
      <c r="N103">
        <v>4.7123459600000004</v>
      </c>
      <c r="O103" s="16">
        <f t="shared" si="13"/>
        <v>4.2000000000008697E-4</v>
      </c>
      <c r="P103">
        <f t="shared" si="14"/>
        <v>8.9135449805087721E-3</v>
      </c>
      <c r="Q103">
        <f t="shared" si="16"/>
        <v>8.5732245334292783E-5</v>
      </c>
      <c r="R103">
        <f t="shared" si="15"/>
        <v>8.8278051668988968E-3</v>
      </c>
      <c r="T103" s="17">
        <v>9.0044400000000007</v>
      </c>
      <c r="U103" s="9">
        <v>280</v>
      </c>
      <c r="V103" s="19">
        <v>931.03599999999994</v>
      </c>
      <c r="W103" s="27">
        <v>930.90099999999995</v>
      </c>
      <c r="X103" s="66">
        <f t="shared" si="21"/>
        <v>-1.4499976370407902E-2</v>
      </c>
    </row>
    <row r="104" spans="2:24" x14ac:dyDescent="0.25">
      <c r="B104">
        <f>-85.5 + 273.15</f>
        <v>187.64999999999998</v>
      </c>
      <c r="C104">
        <v>1575</v>
      </c>
      <c r="D104">
        <f t="shared" si="22"/>
        <v>2.7942857142857143E-5</v>
      </c>
      <c r="E104" s="13">
        <v>1579.36</v>
      </c>
      <c r="F104" s="13">
        <f t="shared" si="23"/>
        <v>2.7865717759092292E-5</v>
      </c>
      <c r="G104" s="16">
        <f t="shared" si="24"/>
        <v>-0.27606118934251439</v>
      </c>
      <c r="H104">
        <f>-115.2 + 273.15</f>
        <v>157.94999999999999</v>
      </c>
      <c r="I104">
        <v>2.7320000000000002</v>
      </c>
      <c r="K104" s="8">
        <v>290</v>
      </c>
      <c r="L104" s="8">
        <v>5.3172100000000002</v>
      </c>
      <c r="M104">
        <v>5.3180399999999999</v>
      </c>
      <c r="N104">
        <v>5.3178458119999998</v>
      </c>
      <c r="O104" s="16">
        <f t="shared" si="13"/>
        <v>8.2999999999966434E-4</v>
      </c>
      <c r="P104">
        <f t="shared" si="14"/>
        <v>1.5609690044208605E-2</v>
      </c>
      <c r="Q104">
        <f t="shared" si="16"/>
        <v>3.6516290028914353E-3</v>
      </c>
      <c r="R104">
        <f t="shared" si="15"/>
        <v>1.1957624393236768E-2</v>
      </c>
      <c r="T104" s="17">
        <v>4.5009699999999997</v>
      </c>
      <c r="U104" s="3">
        <v>290</v>
      </c>
      <c r="V104" s="17">
        <v>121.51</v>
      </c>
      <c r="W104" s="16">
        <v>121.496</v>
      </c>
      <c r="X104" s="13">
        <f t="shared" si="21"/>
        <v>-1.1521685457995231E-2</v>
      </c>
    </row>
    <row r="105" spans="2:24" x14ac:dyDescent="0.25">
      <c r="B105">
        <f>-83.6 + 273.15</f>
        <v>189.54999999999998</v>
      </c>
      <c r="C105">
        <v>1573</v>
      </c>
      <c r="D105">
        <f t="shared" si="22"/>
        <v>2.7978385251112525E-5</v>
      </c>
      <c r="E105" s="13">
        <v>1577.2</v>
      </c>
      <c r="F105" s="13">
        <f t="shared" si="23"/>
        <v>2.790388029419224E-5</v>
      </c>
      <c r="G105" s="16">
        <f t="shared" si="24"/>
        <v>-0.26629469946741208</v>
      </c>
      <c r="H105">
        <f>-114.9 + 273.15</f>
        <v>158.24999999999997</v>
      </c>
      <c r="I105">
        <v>2.7320000000000002</v>
      </c>
      <c r="K105" s="8">
        <v>290</v>
      </c>
      <c r="L105" s="8">
        <v>5.3173599999999999</v>
      </c>
      <c r="M105">
        <v>5.3180399999999999</v>
      </c>
      <c r="N105">
        <v>5.3178458119999998</v>
      </c>
      <c r="O105" s="16">
        <f t="shared" si="13"/>
        <v>6.8000000000001393E-4</v>
      </c>
      <c r="P105">
        <f t="shared" si="14"/>
        <v>1.2788300961379593E-2</v>
      </c>
      <c r="Q105">
        <f t="shared" si="16"/>
        <v>3.6516290028914353E-3</v>
      </c>
      <c r="R105">
        <f t="shared" si="15"/>
        <v>9.1363383333077763E-3</v>
      </c>
      <c r="T105" s="17">
        <v>5.0000900000000001</v>
      </c>
      <c r="U105" s="3">
        <v>290</v>
      </c>
      <c r="V105" s="17">
        <v>148.435</v>
      </c>
      <c r="W105" s="16">
        <v>148.40199999999999</v>
      </c>
      <c r="X105" s="13">
        <f t="shared" si="21"/>
        <v>-2.2231953380277874E-2</v>
      </c>
    </row>
    <row r="106" spans="2:24" x14ac:dyDescent="0.25">
      <c r="B106">
        <f>-81.5 + 273.15</f>
        <v>191.64999999999998</v>
      </c>
      <c r="C106">
        <v>1569</v>
      </c>
      <c r="D106">
        <f t="shared" si="22"/>
        <v>2.8049713193116636E-5</v>
      </c>
      <c r="E106" s="13">
        <v>1574.8</v>
      </c>
      <c r="F106" s="13">
        <f t="shared" si="23"/>
        <v>2.7946405892811786E-5</v>
      </c>
      <c r="G106" s="16">
        <f t="shared" si="24"/>
        <v>-0.36830073660147861</v>
      </c>
      <c r="H106">
        <f>-105.2 + 273.15</f>
        <v>167.95</v>
      </c>
      <c r="I106">
        <v>2.7492999999999999</v>
      </c>
      <c r="K106" s="8">
        <v>290</v>
      </c>
      <c r="L106" s="8">
        <v>5.3171900000000001</v>
      </c>
      <c r="M106">
        <v>5.3180399999999999</v>
      </c>
      <c r="N106">
        <v>5.3178458119999998</v>
      </c>
      <c r="O106" s="16">
        <f t="shared" si="13"/>
        <v>8.4999999999979536E-4</v>
      </c>
      <c r="P106">
        <f t="shared" si="14"/>
        <v>1.5985887282564577E-2</v>
      </c>
      <c r="Q106">
        <f t="shared" si="16"/>
        <v>3.6516290028914353E-3</v>
      </c>
      <c r="R106">
        <f t="shared" si="15"/>
        <v>1.2333807894766893E-2</v>
      </c>
      <c r="T106" s="17">
        <v>5.2000299999999999</v>
      </c>
      <c r="U106" s="3">
        <v>290</v>
      </c>
      <c r="V106" s="17">
        <v>162.31200000000001</v>
      </c>
      <c r="W106" s="16">
        <v>162.27099999999999</v>
      </c>
      <c r="X106" s="13">
        <f t="shared" si="21"/>
        <v>-2.5259993099724751E-2</v>
      </c>
    </row>
    <row r="107" spans="2:24" x14ac:dyDescent="0.25">
      <c r="B107">
        <f>-79.6 + 273.15</f>
        <v>193.54999999999998</v>
      </c>
      <c r="C107">
        <v>1565</v>
      </c>
      <c r="D107">
        <f t="shared" si="22"/>
        <v>2.8121405750798724E-5</v>
      </c>
      <c r="E107" s="13">
        <v>1572.62</v>
      </c>
      <c r="F107" s="13">
        <f t="shared" si="23"/>
        <v>2.7985145807633126E-5</v>
      </c>
      <c r="G107" s="16">
        <f t="shared" si="24"/>
        <v>-0.48454172018668773</v>
      </c>
      <c r="H107">
        <f>-105.1 + 273.15</f>
        <v>168.04999999999998</v>
      </c>
      <c r="I107">
        <v>2.7494999999999998</v>
      </c>
      <c r="K107" s="8">
        <v>290</v>
      </c>
      <c r="L107" s="8">
        <v>5.3171799999999996</v>
      </c>
      <c r="M107">
        <v>5.3180399999999999</v>
      </c>
      <c r="N107">
        <v>5.3178458119999998</v>
      </c>
      <c r="O107" s="16">
        <f t="shared" si="13"/>
        <v>8.6000000000030496E-4</v>
      </c>
      <c r="P107">
        <f t="shared" si="14"/>
        <v>1.6173986963019967E-2</v>
      </c>
      <c r="Q107">
        <f t="shared" si="16"/>
        <v>3.6516290028914353E-3</v>
      </c>
      <c r="R107">
        <f t="shared" si="15"/>
        <v>1.252190070677061E-2</v>
      </c>
      <c r="T107" s="17">
        <v>5.3003499999999999</v>
      </c>
      <c r="U107" s="3">
        <v>290</v>
      </c>
      <c r="V107" s="17">
        <v>170.459</v>
      </c>
      <c r="W107" s="16">
        <v>170.40899999999999</v>
      </c>
      <c r="X107" s="13">
        <f t="shared" si="21"/>
        <v>-2.9332566775594933E-2</v>
      </c>
    </row>
    <row r="108" spans="2:24" x14ac:dyDescent="0.25">
      <c r="H108">
        <f>-95.3 + 273.15</f>
        <v>177.84999999999997</v>
      </c>
      <c r="I108">
        <v>2.7679999999999998</v>
      </c>
      <c r="K108" s="8">
        <v>295</v>
      </c>
      <c r="L108" s="8">
        <v>5.9813999999999998</v>
      </c>
      <c r="M108">
        <v>5.9835700000000003</v>
      </c>
      <c r="N108">
        <v>5.982309635</v>
      </c>
      <c r="O108" s="16">
        <f t="shared" si="13"/>
        <v>2.1700000000004493E-3</v>
      </c>
      <c r="P108">
        <f t="shared" si="14"/>
        <v>3.6279131975799135E-2</v>
      </c>
      <c r="Q108">
        <f t="shared" si="16"/>
        <v>2.1068200693364195E-2</v>
      </c>
      <c r="R108">
        <f t="shared" si="15"/>
        <v>1.5207727287929018E-2</v>
      </c>
      <c r="T108" s="17">
        <v>5.49993</v>
      </c>
      <c r="U108" s="3">
        <v>290</v>
      </c>
      <c r="V108" s="17">
        <v>809.375</v>
      </c>
      <c r="W108" s="16">
        <v>809.99</v>
      </c>
      <c r="X108" s="13">
        <f t="shared" si="21"/>
        <v>7.5984555984557112E-2</v>
      </c>
    </row>
    <row r="109" spans="2:24" x14ac:dyDescent="0.25">
      <c r="D109" s="72">
        <f>0.04401/C92</f>
        <v>2.6464221286831028E-5</v>
      </c>
      <c r="E109" s="10">
        <v>2.6459999999999999</v>
      </c>
      <c r="H109">
        <f>-95.1 + 273.15</f>
        <v>178.04999999999998</v>
      </c>
      <c r="I109">
        <v>2.7679999999999998</v>
      </c>
      <c r="K109" s="8">
        <v>295</v>
      </c>
      <c r="L109" s="8">
        <v>5.9815699999999996</v>
      </c>
      <c r="M109">
        <v>5.9835700000000003</v>
      </c>
      <c r="N109">
        <v>5.982309635</v>
      </c>
      <c r="O109" s="16">
        <f t="shared" si="13"/>
        <v>2.0000000000006679E-3</v>
      </c>
      <c r="P109">
        <f t="shared" si="14"/>
        <v>3.3436037695800065E-2</v>
      </c>
      <c r="Q109">
        <f t="shared" si="16"/>
        <v>2.1068200693364195E-2</v>
      </c>
      <c r="R109">
        <f t="shared" si="15"/>
        <v>1.236523187056918E-2</v>
      </c>
      <c r="T109" s="17">
        <v>6.0019099999999996</v>
      </c>
      <c r="U109" s="3">
        <v>290</v>
      </c>
      <c r="V109" s="17">
        <v>820.78499999999997</v>
      </c>
      <c r="W109" s="16">
        <v>821.30100000000004</v>
      </c>
      <c r="X109" s="13">
        <f t="shared" si="21"/>
        <v>6.2866645954796491E-2</v>
      </c>
    </row>
    <row r="110" spans="2:24" x14ac:dyDescent="0.25">
      <c r="D110" s="72">
        <f t="shared" ref="D110:D124" si="25">0.04401/C93</f>
        <v>2.6290322580645163E-5</v>
      </c>
      <c r="E110" s="10">
        <v>2.629</v>
      </c>
      <c r="H110">
        <f>-87.9 + 273.15</f>
        <v>185.24999999999997</v>
      </c>
      <c r="I110">
        <v>2.782</v>
      </c>
      <c r="J110" s="13"/>
      <c r="K110" s="8">
        <v>295</v>
      </c>
      <c r="L110" s="8">
        <v>5.9815100000000001</v>
      </c>
      <c r="M110">
        <v>5.9835700000000003</v>
      </c>
      <c r="N110">
        <v>5.982309635</v>
      </c>
      <c r="O110" s="16">
        <f t="shared" si="13"/>
        <v>2.0600000000001728E-3</v>
      </c>
      <c r="P110">
        <f t="shared" si="14"/>
        <v>3.4439464282433246E-2</v>
      </c>
      <c r="Q110">
        <f t="shared" si="16"/>
        <v>2.1068200693364195E-2</v>
      </c>
      <c r="R110">
        <f t="shared" si="15"/>
        <v>1.3368447097804896E-2</v>
      </c>
      <c r="T110" s="17">
        <v>7.0006700000000004</v>
      </c>
      <c r="U110" s="3">
        <v>290</v>
      </c>
      <c r="V110" s="17">
        <v>839.25199999999995</v>
      </c>
      <c r="W110" s="16">
        <v>839.58100000000002</v>
      </c>
      <c r="X110" s="13">
        <f t="shared" si="21"/>
        <v>3.9201574735605586E-2</v>
      </c>
    </row>
    <row r="111" spans="2:24" x14ac:dyDescent="0.25">
      <c r="D111" s="72">
        <f t="shared" si="25"/>
        <v>2.6999999999999999E-5</v>
      </c>
      <c r="E111" s="10">
        <v>2.7</v>
      </c>
      <c r="H111">
        <f>-85.5 + 273.15</f>
        <v>187.64999999999998</v>
      </c>
      <c r="I111">
        <v>2.7869999999999999</v>
      </c>
      <c r="J111" s="13"/>
      <c r="K111" s="8">
        <v>295</v>
      </c>
      <c r="L111" s="8">
        <v>5.9814499999999997</v>
      </c>
      <c r="M111">
        <v>5.9835700000000003</v>
      </c>
      <c r="N111">
        <v>5.982309635</v>
      </c>
      <c r="O111" s="16">
        <f t="shared" si="13"/>
        <v>2.1200000000005659E-3</v>
      </c>
      <c r="P111">
        <f t="shared" si="14"/>
        <v>3.5442910999850641E-2</v>
      </c>
      <c r="Q111">
        <f t="shared" si="16"/>
        <v>2.1068200693364195E-2</v>
      </c>
      <c r="R111">
        <f t="shared" si="15"/>
        <v>1.4371682451584529E-2</v>
      </c>
      <c r="T111" s="17">
        <v>7.0024499999999996</v>
      </c>
      <c r="U111" s="3">
        <v>290</v>
      </c>
      <c r="V111" s="17">
        <v>839.30600000000004</v>
      </c>
      <c r="W111" s="16">
        <v>839.61</v>
      </c>
      <c r="X111" s="13">
        <f t="shared" si="21"/>
        <v>3.6220401140939489E-2</v>
      </c>
    </row>
    <row r="112" spans="2:24" x14ac:dyDescent="0.25">
      <c r="D112" s="72">
        <f t="shared" si="25"/>
        <v>2.7149907464528069E-5</v>
      </c>
      <c r="E112" s="10">
        <v>2.7149999999999999</v>
      </c>
      <c r="H112">
        <f>-83.6 + 273.15</f>
        <v>189.54999999999998</v>
      </c>
      <c r="I112">
        <v>2.79</v>
      </c>
      <c r="K112" s="8">
        <v>295</v>
      </c>
      <c r="L112" s="8">
        <v>5.9814800000000004</v>
      </c>
      <c r="M112">
        <v>5.9835700000000003</v>
      </c>
      <c r="N112">
        <v>5.982309635</v>
      </c>
      <c r="O112" s="16">
        <f t="shared" ref="O112:O143" si="26">-L112+M112</f>
        <v>2.0899999999999253E-3</v>
      </c>
      <c r="P112">
        <f t="shared" ref="P112:P143" si="27">100*O112/L112</f>
        <v>3.494118512475048E-2</v>
      </c>
      <c r="Q112">
        <f t="shared" si="16"/>
        <v>2.1068200693364195E-2</v>
      </c>
      <c r="R112">
        <f t="shared" ref="R112:R143" si="28">100*(N112-L112)/L112</f>
        <v>1.3870062258833301E-2</v>
      </c>
      <c r="T112" s="17">
        <v>8.0023400000000002</v>
      </c>
      <c r="U112" s="3">
        <v>290</v>
      </c>
      <c r="V112" s="17">
        <v>854.30499999999995</v>
      </c>
      <c r="W112" s="16">
        <v>854.44399999999996</v>
      </c>
      <c r="X112" s="13">
        <f t="shared" si="21"/>
        <v>1.6270535698609982E-2</v>
      </c>
    </row>
    <row r="113" spans="4:25" x14ac:dyDescent="0.25">
      <c r="D113" s="72">
        <f t="shared" si="25"/>
        <v>2.7116451016635859E-5</v>
      </c>
      <c r="E113" s="10">
        <v>2.7120000000000002</v>
      </c>
      <c r="H113">
        <f>-81.5 + 273.15</f>
        <v>191.64999999999998</v>
      </c>
      <c r="I113">
        <v>2.7949999999999999</v>
      </c>
      <c r="K113" s="8">
        <v>297</v>
      </c>
      <c r="L113" s="8">
        <v>6.2650699999999997</v>
      </c>
      <c r="M113">
        <v>6.2681500000000003</v>
      </c>
      <c r="N113">
        <v>6.266110909</v>
      </c>
      <c r="O113" s="16">
        <f t="shared" si="26"/>
        <v>3.0800000000006378E-3</v>
      </c>
      <c r="P113">
        <f t="shared" si="27"/>
        <v>4.9161461883117631E-2</v>
      </c>
      <c r="Q113">
        <f t="shared" si="16"/>
        <v>3.2541572110885951E-2</v>
      </c>
      <c r="R113">
        <f t="shared" si="28"/>
        <v>1.6614483158213903E-2</v>
      </c>
      <c r="T113" s="17">
        <v>9.0049499999999991</v>
      </c>
      <c r="U113" s="9">
        <v>290</v>
      </c>
      <c r="V113" s="19">
        <v>867.02200000000005</v>
      </c>
      <c r="W113" s="27">
        <v>867.11500000000001</v>
      </c>
      <c r="X113" s="66">
        <f t="shared" si="21"/>
        <v>1.0726371418483139E-2</v>
      </c>
    </row>
    <row r="114" spans="4:25" x14ac:dyDescent="0.25">
      <c r="D114" s="72">
        <f t="shared" si="25"/>
        <v>2.7335403726708076E-5</v>
      </c>
      <c r="E114" s="10">
        <v>2.734</v>
      </c>
      <c r="H114">
        <f>-79.6 + 273.15</f>
        <v>193.54999999999998</v>
      </c>
      <c r="I114">
        <v>2.7989999999999999</v>
      </c>
      <c r="K114" s="8">
        <v>297</v>
      </c>
      <c r="L114" s="8">
        <v>6.2653600000000003</v>
      </c>
      <c r="M114">
        <v>6.2681500000000003</v>
      </c>
      <c r="N114">
        <v>6.266110909</v>
      </c>
      <c r="O114" s="16">
        <f t="shared" si="26"/>
        <v>2.7900000000000702E-3</v>
      </c>
      <c r="P114">
        <f t="shared" si="27"/>
        <v>4.4530561691587874E-2</v>
      </c>
      <c r="Q114">
        <f t="shared" si="16"/>
        <v>3.2541572110885951E-2</v>
      </c>
      <c r="R114">
        <f t="shared" si="28"/>
        <v>1.1985089444177897E-2</v>
      </c>
      <c r="T114" s="17">
        <v>5.0016499999999997</v>
      </c>
      <c r="U114" s="3">
        <v>297</v>
      </c>
      <c r="V114" s="17">
        <v>133.28800000000001</v>
      </c>
      <c r="W114" s="16">
        <v>133.261</v>
      </c>
      <c r="X114" s="13">
        <f t="shared" si="21"/>
        <v>-2.0256887341707604E-2</v>
      </c>
      <c r="Y114" t="s">
        <v>228</v>
      </c>
    </row>
    <row r="115" spans="4:25" x14ac:dyDescent="0.25">
      <c r="D115" s="72">
        <f t="shared" si="25"/>
        <v>2.7318435754189945E-5</v>
      </c>
      <c r="E115" s="10">
        <v>2.7320000000000002</v>
      </c>
      <c r="K115" s="8">
        <v>299</v>
      </c>
      <c r="L115" s="8">
        <v>6.5598000000000001</v>
      </c>
      <c r="M115">
        <v>6.5638500000000004</v>
      </c>
      <c r="N115">
        <v>6.5611059010000004</v>
      </c>
      <c r="O115" s="16">
        <f t="shared" si="26"/>
        <v>4.0500000000003311E-3</v>
      </c>
      <c r="P115">
        <f t="shared" si="27"/>
        <v>6.1739687185589975E-2</v>
      </c>
      <c r="Q115">
        <f t="shared" ref="Q115:Q143" si="29">-100*(N115-M115)/N115</f>
        <v>4.182372669189531E-2</v>
      </c>
      <c r="R115">
        <f t="shared" si="28"/>
        <v>1.9907634379101126E-2</v>
      </c>
      <c r="T115" s="17">
        <v>5.5005800000000002</v>
      </c>
      <c r="U115" s="3">
        <v>297</v>
      </c>
      <c r="V115" s="17">
        <v>159.61799999999999</v>
      </c>
      <c r="W115" s="16">
        <v>159.553</v>
      </c>
      <c r="X115" s="13">
        <f t="shared" si="21"/>
        <v>-4.0722224310539998E-2</v>
      </c>
      <c r="Y115" t="s">
        <v>200</v>
      </c>
    </row>
    <row r="116" spans="4:25" x14ac:dyDescent="0.25">
      <c r="D116" s="72">
        <f t="shared" si="25"/>
        <v>2.7506250000000001E-5</v>
      </c>
      <c r="E116" s="10">
        <v>2.7509999999999999</v>
      </c>
      <c r="K116" s="8">
        <v>299</v>
      </c>
      <c r="L116" s="8">
        <v>6.5603400000000001</v>
      </c>
      <c r="M116">
        <v>6.5638500000000004</v>
      </c>
      <c r="N116">
        <v>6.5611059010000004</v>
      </c>
      <c r="O116" s="16">
        <f t="shared" si="26"/>
        <v>3.5100000000003462E-3</v>
      </c>
      <c r="P116">
        <f t="shared" si="27"/>
        <v>5.350332452281964E-2</v>
      </c>
      <c r="Q116">
        <f t="shared" si="29"/>
        <v>4.182372669189531E-2</v>
      </c>
      <c r="R116">
        <f t="shared" si="28"/>
        <v>1.167471503001812E-2</v>
      </c>
      <c r="T116" s="17">
        <v>5.8011900000000001</v>
      </c>
      <c r="U116" s="3">
        <v>297</v>
      </c>
      <c r="V116" s="17">
        <v>180.018</v>
      </c>
      <c r="W116" s="16">
        <v>179.90899999999999</v>
      </c>
      <c r="X116" s="13">
        <f t="shared" si="21"/>
        <v>-6.0549500605499934E-2</v>
      </c>
    </row>
    <row r="117" spans="4:25" x14ac:dyDescent="0.25">
      <c r="D117" s="72">
        <f t="shared" si="25"/>
        <v>2.7471910112359552E-5</v>
      </c>
      <c r="E117" s="10">
        <v>2.7469999999999999</v>
      </c>
      <c r="K117" s="8">
        <v>300</v>
      </c>
      <c r="L117" s="8">
        <v>6.7117599999999999</v>
      </c>
      <c r="M117">
        <v>6.7158499999999997</v>
      </c>
      <c r="N117">
        <v>6.7130657329999996</v>
      </c>
      <c r="O117" s="16">
        <f t="shared" si="26"/>
        <v>4.089999999999705E-3</v>
      </c>
      <c r="P117">
        <f t="shared" si="27"/>
        <v>6.0937816608455979E-2</v>
      </c>
      <c r="Q117">
        <f t="shared" si="29"/>
        <v>4.1475342425341434E-2</v>
      </c>
      <c r="R117">
        <f t="shared" si="28"/>
        <v>1.9454405401857309E-2</v>
      </c>
      <c r="T117" s="17">
        <v>6.0025300000000001</v>
      </c>
      <c r="U117" s="3">
        <v>297</v>
      </c>
      <c r="V117" s="17">
        <v>197.238</v>
      </c>
      <c r="W117" s="16">
        <v>197.1</v>
      </c>
      <c r="X117" s="13">
        <f t="shared" si="21"/>
        <v>-6.996623368722317E-2</v>
      </c>
    </row>
    <row r="118" spans="4:25" x14ac:dyDescent="0.25">
      <c r="D118" s="72">
        <f t="shared" si="25"/>
        <v>2.7696664568911265E-5</v>
      </c>
      <c r="E118" s="10">
        <v>2.77</v>
      </c>
      <c r="K118" s="8">
        <v>300</v>
      </c>
      <c r="L118" s="8">
        <v>6.7123400000000002</v>
      </c>
      <c r="M118">
        <v>6.7158499999999997</v>
      </c>
      <c r="N118">
        <v>6.7130657329999996</v>
      </c>
      <c r="O118" s="16">
        <f t="shared" si="26"/>
        <v>3.509999999999458E-3</v>
      </c>
      <c r="P118">
        <f t="shared" si="27"/>
        <v>5.2291749226044237E-2</v>
      </c>
      <c r="Q118">
        <f t="shared" si="29"/>
        <v>4.1475342425341434E-2</v>
      </c>
      <c r="R118">
        <f t="shared" si="28"/>
        <v>1.0811922518815362E-2</v>
      </c>
      <c r="T118" s="17">
        <v>6.1017799999999998</v>
      </c>
      <c r="U118" s="3">
        <v>297</v>
      </c>
      <c r="V118" s="17">
        <v>207.53100000000001</v>
      </c>
      <c r="W118" s="16">
        <v>207.37899999999999</v>
      </c>
      <c r="X118" s="13">
        <f t="shared" si="21"/>
        <v>-7.3242069859450018E-2</v>
      </c>
    </row>
    <row r="119" spans="4:25" x14ac:dyDescent="0.25">
      <c r="D119" s="72">
        <f t="shared" si="25"/>
        <v>2.7679245283018869E-5</v>
      </c>
      <c r="E119" s="10">
        <v>2.7679999999999998</v>
      </c>
      <c r="K119" s="8">
        <v>300</v>
      </c>
      <c r="L119" s="8">
        <v>6.7122599999999997</v>
      </c>
      <c r="M119">
        <v>6.7158499999999997</v>
      </c>
      <c r="N119">
        <v>6.7130657329999996</v>
      </c>
      <c r="O119" s="16">
        <f t="shared" si="26"/>
        <v>3.5899999999999821E-3</v>
      </c>
      <c r="P119">
        <f t="shared" si="27"/>
        <v>5.3484221409778258E-2</v>
      </c>
      <c r="Q119">
        <f t="shared" si="29"/>
        <v>4.1475342425341434E-2</v>
      </c>
      <c r="R119">
        <f t="shared" si="28"/>
        <v>1.2003900325672355E-2</v>
      </c>
      <c r="T119" s="17">
        <v>6.19719</v>
      </c>
      <c r="U119" s="3">
        <v>297</v>
      </c>
      <c r="V119" s="17">
        <v>219.262</v>
      </c>
      <c r="W119" s="16">
        <v>219.12700000000001</v>
      </c>
      <c r="X119" s="13">
        <f t="shared" si="21"/>
        <v>-6.1570176318737811E-2</v>
      </c>
    </row>
    <row r="120" spans="4:25" x14ac:dyDescent="0.25">
      <c r="D120" s="72">
        <f t="shared" si="25"/>
        <v>2.7819216182048041E-5</v>
      </c>
      <c r="E120" s="10">
        <v>2.782</v>
      </c>
      <c r="K120" s="8">
        <v>300</v>
      </c>
      <c r="L120" s="8">
        <v>6.71225</v>
      </c>
      <c r="M120">
        <v>6.7158499999999997</v>
      </c>
      <c r="N120">
        <v>6.7130657329999996</v>
      </c>
      <c r="O120" s="16">
        <f t="shared" si="26"/>
        <v>3.5999999999996035E-3</v>
      </c>
      <c r="P120">
        <f t="shared" si="27"/>
        <v>5.3633282431369562E-2</v>
      </c>
      <c r="Q120">
        <f t="shared" si="29"/>
        <v>4.1475342425341434E-2</v>
      </c>
      <c r="R120">
        <f t="shared" si="28"/>
        <v>1.2152899549325436E-2</v>
      </c>
      <c r="T120" s="17">
        <v>6.2017199999999999</v>
      </c>
      <c r="U120" s="3">
        <v>297</v>
      </c>
      <c r="V120" s="17">
        <v>219.89</v>
      </c>
      <c r="W120" s="16">
        <v>219.74799999999999</v>
      </c>
      <c r="X120" s="13">
        <f t="shared" si="21"/>
        <v>-6.4577743417161271E-2</v>
      </c>
    </row>
    <row r="121" spans="4:25" x14ac:dyDescent="0.25">
      <c r="D121" s="72">
        <f t="shared" si="25"/>
        <v>2.7942857142857143E-5</v>
      </c>
      <c r="E121" s="10">
        <v>2.794</v>
      </c>
      <c r="K121" s="8">
        <v>300</v>
      </c>
      <c r="L121" s="8">
        <v>6.7121199999999996</v>
      </c>
      <c r="M121">
        <v>6.7158499999999997</v>
      </c>
      <c r="N121">
        <v>6.7130657329999996</v>
      </c>
      <c r="O121" s="16">
        <f t="shared" si="26"/>
        <v>3.7300000000000111E-3</v>
      </c>
      <c r="P121">
        <f t="shared" si="27"/>
        <v>5.55711161302243E-2</v>
      </c>
      <c r="Q121">
        <f t="shared" si="29"/>
        <v>4.1475342425341434E-2</v>
      </c>
      <c r="R121">
        <f t="shared" si="28"/>
        <v>1.4089929858226673E-2</v>
      </c>
      <c r="T121" s="17">
        <v>6.2587000000000002</v>
      </c>
      <c r="U121" s="3">
        <v>297</v>
      </c>
      <c r="V121" s="17">
        <v>228.34399999999999</v>
      </c>
      <c r="W121" s="16">
        <v>228.233</v>
      </c>
      <c r="X121" s="13">
        <f t="shared" si="21"/>
        <v>-4.8610867813470029E-2</v>
      </c>
    </row>
    <row r="122" spans="4:25" x14ac:dyDescent="0.25">
      <c r="D122" s="72">
        <f t="shared" si="25"/>
        <v>2.7978385251112525E-5</v>
      </c>
      <c r="E122" s="10">
        <v>2.798</v>
      </c>
      <c r="K122" s="8">
        <v>301</v>
      </c>
      <c r="L122" s="8">
        <v>6.867</v>
      </c>
      <c r="M122">
        <v>6.8705800000000004</v>
      </c>
      <c r="N122">
        <v>6.8681926029999998</v>
      </c>
      <c r="O122" s="16">
        <f t="shared" si="26"/>
        <v>3.5800000000003607E-3</v>
      </c>
      <c r="P122">
        <f t="shared" si="27"/>
        <v>5.2133391582938123E-2</v>
      </c>
      <c r="Q122">
        <f t="shared" si="29"/>
        <v>3.4760192935733382E-2</v>
      </c>
      <c r="R122">
        <f t="shared" si="28"/>
        <v>1.7367161788259679E-2</v>
      </c>
      <c r="T122" s="17">
        <v>6.30105</v>
      </c>
      <c r="U122" s="3">
        <v>297</v>
      </c>
      <c r="V122" s="17">
        <v>729.43100000000004</v>
      </c>
      <c r="W122" s="16">
        <v>729.95699999999999</v>
      </c>
      <c r="X122" s="13">
        <f t="shared" si="21"/>
        <v>7.2111001588903351E-2</v>
      </c>
    </row>
    <row r="123" spans="4:25" x14ac:dyDescent="0.25">
      <c r="D123" s="72">
        <f t="shared" si="25"/>
        <v>2.8049713193116636E-5</v>
      </c>
      <c r="E123" s="10">
        <v>2.8119999999999998</v>
      </c>
      <c r="K123" s="8">
        <v>301</v>
      </c>
      <c r="L123" s="8">
        <v>6.8673700000000002</v>
      </c>
      <c r="M123">
        <v>6.8705800000000004</v>
      </c>
      <c r="N123">
        <v>6.8681926029999998</v>
      </c>
      <c r="O123" s="16">
        <f t="shared" si="26"/>
        <v>3.2100000000001572E-3</v>
      </c>
      <c r="P123">
        <f t="shared" si="27"/>
        <v>4.6742785083666048E-2</v>
      </c>
      <c r="Q123">
        <f t="shared" si="29"/>
        <v>3.4760192935733382E-2</v>
      </c>
      <c r="R123">
        <f t="shared" si="28"/>
        <v>1.1978428423102129E-2</v>
      </c>
      <c r="T123" s="17">
        <v>6.5003900000000003</v>
      </c>
      <c r="U123" s="3">
        <v>297</v>
      </c>
      <c r="V123" s="17">
        <v>740.39200000000005</v>
      </c>
      <c r="W123" s="16">
        <v>741.5</v>
      </c>
      <c r="X123" s="13">
        <f t="shared" si="21"/>
        <v>0.14965045543441138</v>
      </c>
    </row>
    <row r="124" spans="4:25" x14ac:dyDescent="0.25">
      <c r="D124" s="72">
        <f t="shared" si="25"/>
        <v>2.8121405750798724E-5</v>
      </c>
      <c r="E124" s="10">
        <v>2.8050000000000002</v>
      </c>
      <c r="K124" s="8">
        <v>302</v>
      </c>
      <c r="L124" s="8">
        <v>7.0254700000000003</v>
      </c>
      <c r="M124">
        <v>7.0282</v>
      </c>
      <c r="N124">
        <v>7.0266931450000003</v>
      </c>
      <c r="O124" s="16">
        <f t="shared" si="26"/>
        <v>2.7299999999996771E-3</v>
      </c>
      <c r="P124">
        <f t="shared" si="27"/>
        <v>3.88586101712722E-2</v>
      </c>
      <c r="Q124">
        <f t="shared" si="29"/>
        <v>2.1444724693463129E-2</v>
      </c>
      <c r="R124">
        <f t="shared" si="28"/>
        <v>1.7410151918661399E-2</v>
      </c>
      <c r="T124" s="17">
        <v>7.0000299999999998</v>
      </c>
      <c r="U124" s="3">
        <v>297</v>
      </c>
      <c r="V124" s="17">
        <v>761.22699999999998</v>
      </c>
      <c r="W124" s="16">
        <v>762.61199999999997</v>
      </c>
      <c r="X124" s="13">
        <f t="shared" si="21"/>
        <v>0.1819430997586779</v>
      </c>
    </row>
    <row r="125" spans="4:25" x14ac:dyDescent="0.25">
      <c r="K125" s="8">
        <v>302</v>
      </c>
      <c r="L125" s="8">
        <v>7.0258500000000002</v>
      </c>
      <c r="M125">
        <v>7.0282</v>
      </c>
      <c r="N125">
        <v>7.0266931450000003</v>
      </c>
      <c r="O125" s="16">
        <f t="shared" si="26"/>
        <v>2.3499999999998522E-3</v>
      </c>
      <c r="P125">
        <f t="shared" si="27"/>
        <v>3.344791021726698E-2</v>
      </c>
      <c r="Q125">
        <f t="shared" si="29"/>
        <v>2.1444724693463129E-2</v>
      </c>
      <c r="R125">
        <f t="shared" si="28"/>
        <v>1.2000612025593431E-2</v>
      </c>
      <c r="T125" s="17">
        <v>7.0238100000000001</v>
      </c>
      <c r="U125" s="3">
        <v>297</v>
      </c>
      <c r="V125" s="17">
        <v>762.05</v>
      </c>
      <c r="W125" s="16">
        <v>763.44799999999998</v>
      </c>
      <c r="X125" s="13">
        <f t="shared" si="21"/>
        <v>0.18345252936159367</v>
      </c>
    </row>
    <row r="126" spans="4:25" x14ac:dyDescent="0.25">
      <c r="K126" s="8">
        <v>302</v>
      </c>
      <c r="L126" s="8">
        <v>7.0258000000000003</v>
      </c>
      <c r="M126">
        <v>7.0282</v>
      </c>
      <c r="N126">
        <v>7.0266931450000003</v>
      </c>
      <c r="O126" s="16">
        <f t="shared" si="26"/>
        <v>2.3999999999997357E-3</v>
      </c>
      <c r="P126">
        <f t="shared" si="27"/>
        <v>3.4159810982375464E-2</v>
      </c>
      <c r="Q126">
        <f t="shared" si="29"/>
        <v>2.1444724693463129E-2</v>
      </c>
      <c r="R126">
        <f t="shared" si="28"/>
        <v>1.2712360158274354E-2</v>
      </c>
      <c r="T126" s="17">
        <v>7.5056500000000002</v>
      </c>
      <c r="U126" s="3">
        <v>297</v>
      </c>
      <c r="V126" s="17">
        <v>777.11099999999999</v>
      </c>
      <c r="W126" s="16">
        <v>778.39499999999998</v>
      </c>
      <c r="X126" s="13">
        <f t="shared" si="21"/>
        <v>0.16522736134220103</v>
      </c>
    </row>
    <row r="127" spans="4:25" x14ac:dyDescent="0.25">
      <c r="K127" s="8">
        <v>302.5</v>
      </c>
      <c r="L127" s="8">
        <v>7.1058599999999998</v>
      </c>
      <c r="M127">
        <v>7.1082799999999997</v>
      </c>
      <c r="N127">
        <v>7.1073007410000004</v>
      </c>
      <c r="O127" s="16">
        <f t="shared" si="26"/>
        <v>2.4199999999998667E-3</v>
      </c>
      <c r="P127">
        <f t="shared" si="27"/>
        <v>3.4056398521781557E-2</v>
      </c>
      <c r="Q127">
        <f t="shared" si="29"/>
        <v>1.3778212512525624E-2</v>
      </c>
      <c r="R127">
        <f t="shared" si="28"/>
        <v>2.0275392422600198E-2</v>
      </c>
      <c r="T127" s="17">
        <v>8.0033700000000003</v>
      </c>
      <c r="U127" s="3">
        <v>297</v>
      </c>
      <c r="V127" s="17">
        <v>789.90099999999995</v>
      </c>
      <c r="W127" s="16">
        <v>791.024</v>
      </c>
      <c r="X127" s="13">
        <f t="shared" si="21"/>
        <v>0.14216971493896671</v>
      </c>
    </row>
    <row r="128" spans="4:25" x14ac:dyDescent="0.25">
      <c r="K128" s="8">
        <v>302.5</v>
      </c>
      <c r="L128" s="8">
        <v>7.1063099999999997</v>
      </c>
      <c r="M128">
        <v>7.1082799999999997</v>
      </c>
      <c r="N128">
        <v>7.1073007410000004</v>
      </c>
      <c r="O128" s="16">
        <f t="shared" si="26"/>
        <v>1.9700000000000273E-3</v>
      </c>
      <c r="P128">
        <f t="shared" si="27"/>
        <v>2.7721841574600985E-2</v>
      </c>
      <c r="Q128">
        <f t="shared" si="29"/>
        <v>1.3778212512525624E-2</v>
      </c>
      <c r="R128">
        <f t="shared" si="28"/>
        <v>1.3941708143899421E-2</v>
      </c>
      <c r="T128" s="17">
        <v>9.0080799999999996</v>
      </c>
      <c r="U128" s="9">
        <v>297</v>
      </c>
      <c r="V128" s="19">
        <v>810.66399999999999</v>
      </c>
      <c r="W128" s="27">
        <v>811.48</v>
      </c>
      <c r="X128" s="66">
        <f t="shared" si="21"/>
        <v>0.10065822584943095</v>
      </c>
    </row>
    <row r="129" spans="11:25" x14ac:dyDescent="0.25">
      <c r="K129" s="8">
        <v>302.5</v>
      </c>
      <c r="L129" s="8">
        <v>7.1058199999999996</v>
      </c>
      <c r="M129">
        <v>7.1082799999999997</v>
      </c>
      <c r="N129">
        <v>7.1073007410000004</v>
      </c>
      <c r="O129" s="16">
        <f t="shared" si="26"/>
        <v>2.4600000000001288E-3</v>
      </c>
      <c r="P129">
        <f t="shared" si="27"/>
        <v>3.4619509078475517E-2</v>
      </c>
      <c r="Q129">
        <f t="shared" si="29"/>
        <v>1.3778212512525624E-2</v>
      </c>
      <c r="R129">
        <f t="shared" si="28"/>
        <v>2.0838425403413546E-2</v>
      </c>
      <c r="T129" s="17">
        <v>0.50007999999999997</v>
      </c>
      <c r="U129" s="3">
        <v>300</v>
      </c>
      <c r="V129" s="17">
        <v>9.0473999999999997</v>
      </c>
      <c r="W129" s="16">
        <v>9.0470400000000009</v>
      </c>
      <c r="X129" s="13">
        <f t="shared" si="21"/>
        <v>-3.9790437031501395E-3</v>
      </c>
      <c r="Y129" t="s">
        <v>191</v>
      </c>
    </row>
    <row r="130" spans="11:25" x14ac:dyDescent="0.25">
      <c r="K130" s="8">
        <v>303</v>
      </c>
      <c r="L130" s="8">
        <v>7.1873399999999998</v>
      </c>
      <c r="M130">
        <v>7.1894099999999996</v>
      </c>
      <c r="N130">
        <v>7.1888881769999999</v>
      </c>
      <c r="O130" s="16">
        <f t="shared" si="26"/>
        <v>2.0699999999997942E-3</v>
      </c>
      <c r="P130">
        <f t="shared" si="27"/>
        <v>2.8800641127312669E-2</v>
      </c>
      <c r="Q130">
        <f t="shared" si="29"/>
        <v>7.2587441500232318E-3</v>
      </c>
      <c r="R130">
        <f t="shared" si="28"/>
        <v>2.1540333419597445E-2</v>
      </c>
      <c r="T130" s="17">
        <v>0.50160000000000005</v>
      </c>
      <c r="U130" s="3">
        <v>300</v>
      </c>
      <c r="V130" s="17">
        <v>9.0754999999999999</v>
      </c>
      <c r="W130" s="16">
        <v>9.0752500000000005</v>
      </c>
      <c r="X130" s="13">
        <f t="shared" si="21"/>
        <v>-2.7546691642269558E-3</v>
      </c>
    </row>
    <row r="131" spans="11:25" x14ac:dyDescent="0.25">
      <c r="K131" s="8">
        <v>303</v>
      </c>
      <c r="L131" s="8">
        <v>7.1879299999999997</v>
      </c>
      <c r="M131">
        <v>7.1894099999999996</v>
      </c>
      <c r="N131">
        <v>7.1888881769999999</v>
      </c>
      <c r="O131" s="16">
        <f t="shared" si="26"/>
        <v>1.4799999999999258E-3</v>
      </c>
      <c r="P131">
        <f t="shared" si="27"/>
        <v>2.0590072524355772E-2</v>
      </c>
      <c r="Q131">
        <f t="shared" si="29"/>
        <v>7.2587441500232318E-3</v>
      </c>
      <c r="R131">
        <f t="shared" si="28"/>
        <v>1.3330360757550874E-2</v>
      </c>
      <c r="T131" s="17">
        <v>1.0000199999999999</v>
      </c>
      <c r="U131" s="3">
        <v>300</v>
      </c>
      <c r="V131" s="17">
        <v>18.580400000000001</v>
      </c>
      <c r="W131" s="16">
        <v>18.579799999999999</v>
      </c>
      <c r="X131" s="13">
        <f t="shared" si="21"/>
        <v>-3.2292092743006306E-3</v>
      </c>
    </row>
    <row r="132" spans="11:25" x14ac:dyDescent="0.25">
      <c r="K132" s="8">
        <v>303</v>
      </c>
      <c r="L132" s="8">
        <v>7.1878099999999998</v>
      </c>
      <c r="M132">
        <v>7.1894099999999996</v>
      </c>
      <c r="N132">
        <v>7.1888881769999999</v>
      </c>
      <c r="O132" s="16">
        <f t="shared" si="26"/>
        <v>1.5999999999998238E-3</v>
      </c>
      <c r="P132">
        <f t="shared" si="27"/>
        <v>2.2259909485640602E-2</v>
      </c>
      <c r="Q132">
        <f t="shared" si="29"/>
        <v>7.2587441500232318E-3</v>
      </c>
      <c r="R132">
        <f t="shared" si="28"/>
        <v>1.500007651844059E-2</v>
      </c>
      <c r="T132" s="17">
        <v>1.00082</v>
      </c>
      <c r="U132" s="3">
        <v>300</v>
      </c>
      <c r="V132" s="17">
        <v>18.596399999999999</v>
      </c>
      <c r="W132" s="16">
        <v>18.595500000000001</v>
      </c>
      <c r="X132" s="13">
        <f t="shared" si="21"/>
        <v>-4.8396463831596572E-3</v>
      </c>
    </row>
    <row r="133" spans="11:25" x14ac:dyDescent="0.25">
      <c r="K133" s="8">
        <v>303.39999999999998</v>
      </c>
      <c r="L133" s="8">
        <v>7.2535999999999996</v>
      </c>
      <c r="M133">
        <v>7.2551800000000002</v>
      </c>
      <c r="N133">
        <v>7.2549251100000003</v>
      </c>
      <c r="O133" s="16">
        <f t="shared" si="26"/>
        <v>1.5800000000005809E-3</v>
      </c>
      <c r="P133">
        <f t="shared" si="27"/>
        <v>2.1782287415911837E-2</v>
      </c>
      <c r="Q133">
        <f t="shared" si="29"/>
        <v>3.5133374381571885E-3</v>
      </c>
      <c r="R133">
        <f t="shared" si="28"/>
        <v>1.826830815044508E-2</v>
      </c>
      <c r="T133" s="17">
        <v>1.50058</v>
      </c>
      <c r="U133" s="3">
        <v>300</v>
      </c>
      <c r="V133" s="17">
        <v>28.686800000000002</v>
      </c>
      <c r="W133" s="16">
        <v>28.6859</v>
      </c>
      <c r="X133" s="13">
        <f t="shared" ref="X133:X196" si="30">-100*(V133-W133)/V133</f>
        <v>-3.1373314555874308E-3</v>
      </c>
    </row>
    <row r="134" spans="11:25" x14ac:dyDescent="0.25">
      <c r="K134" s="8">
        <v>303.39999999999998</v>
      </c>
      <c r="L134" s="8">
        <v>7.2538799999999997</v>
      </c>
      <c r="M134">
        <v>7.2551800000000002</v>
      </c>
      <c r="N134">
        <v>7.2549251100000003</v>
      </c>
      <c r="O134" s="16">
        <f t="shared" si="26"/>
        <v>1.300000000000523E-3</v>
      </c>
      <c r="P134">
        <f t="shared" si="27"/>
        <v>1.7921443420631757E-2</v>
      </c>
      <c r="Q134">
        <f t="shared" si="29"/>
        <v>3.5133374381571885E-3</v>
      </c>
      <c r="R134">
        <f t="shared" si="28"/>
        <v>1.4407599794877038E-2</v>
      </c>
      <c r="T134" s="17">
        <v>2.0002900000000001</v>
      </c>
      <c r="U134" s="3">
        <v>300</v>
      </c>
      <c r="V134" s="17">
        <v>39.4268</v>
      </c>
      <c r="W134" s="16">
        <v>39.426600000000001</v>
      </c>
      <c r="X134" s="13">
        <f t="shared" si="30"/>
        <v>-5.0726916716429908E-4</v>
      </c>
    </row>
    <row r="135" spans="11:25" x14ac:dyDescent="0.25">
      <c r="K135" s="8">
        <v>303.39999999999998</v>
      </c>
      <c r="L135" s="8">
        <v>7.2539999999999996</v>
      </c>
      <c r="M135">
        <v>7.2551800000000002</v>
      </c>
      <c r="N135">
        <v>7.2549251100000003</v>
      </c>
      <c r="O135" s="16">
        <f t="shared" si="26"/>
        <v>1.180000000000625E-3</v>
      </c>
      <c r="P135">
        <f t="shared" si="27"/>
        <v>1.6266887234637786E-2</v>
      </c>
      <c r="Q135">
        <f t="shared" si="29"/>
        <v>3.5133374381571885E-3</v>
      </c>
      <c r="R135">
        <f t="shared" si="28"/>
        <v>1.2753101736982747E-2</v>
      </c>
      <c r="T135" s="17">
        <v>2.5003299999999999</v>
      </c>
      <c r="U135" s="3">
        <v>300</v>
      </c>
      <c r="V135" s="17">
        <v>50.944000000000003</v>
      </c>
      <c r="W135" s="16">
        <v>50.9435</v>
      </c>
      <c r="X135" s="13">
        <f t="shared" si="30"/>
        <v>-9.8146984925091742E-4</v>
      </c>
    </row>
    <row r="136" spans="11:25" x14ac:dyDescent="0.25">
      <c r="K136" s="8">
        <v>303.60000000000002</v>
      </c>
      <c r="L136" s="8">
        <v>7.2868399999999998</v>
      </c>
      <c r="M136">
        <v>7.2883899999999997</v>
      </c>
      <c r="N136">
        <v>7.2882252349999996</v>
      </c>
      <c r="O136" s="16">
        <f t="shared" si="26"/>
        <v>1.5499999999999403E-3</v>
      </c>
      <c r="P136">
        <f t="shared" si="27"/>
        <v>2.1271223191396276E-2</v>
      </c>
      <c r="Q136">
        <f t="shared" si="29"/>
        <v>2.2607012638525665E-3</v>
      </c>
      <c r="R136">
        <f t="shared" si="28"/>
        <v>1.901009216614985E-2</v>
      </c>
      <c r="T136" s="17">
        <v>2.5009399999999999</v>
      </c>
      <c r="U136" s="3">
        <v>300</v>
      </c>
      <c r="V136" s="17">
        <v>50.959299999999999</v>
      </c>
      <c r="W136" s="16">
        <v>50.957999999999998</v>
      </c>
      <c r="X136" s="13">
        <f t="shared" si="30"/>
        <v>-2.5510554501347606E-3</v>
      </c>
    </row>
    <row r="137" spans="11:25" x14ac:dyDescent="0.25">
      <c r="K137" s="8">
        <v>303.60000000000002</v>
      </c>
      <c r="L137" s="8">
        <v>7.2870799999999996</v>
      </c>
      <c r="M137">
        <v>7.2883899999999997</v>
      </c>
      <c r="N137">
        <v>7.2882252349999996</v>
      </c>
      <c r="O137" s="16">
        <f t="shared" si="26"/>
        <v>1.3100000000001444E-3</v>
      </c>
      <c r="P137">
        <f t="shared" si="27"/>
        <v>1.7977022346401365E-2</v>
      </c>
      <c r="Q137">
        <f t="shared" si="29"/>
        <v>2.2607012638525665E-3</v>
      </c>
      <c r="R137">
        <f t="shared" si="28"/>
        <v>1.5715965791511521E-2</v>
      </c>
      <c r="T137" s="17">
        <v>3.00014</v>
      </c>
      <c r="U137" s="3">
        <v>300</v>
      </c>
      <c r="V137" s="17">
        <v>63.380299999999998</v>
      </c>
      <c r="W137" s="16">
        <v>63.378900000000002</v>
      </c>
      <c r="X137" s="13">
        <f t="shared" si="30"/>
        <v>-2.2088882507604684E-3</v>
      </c>
    </row>
    <row r="138" spans="11:25" x14ac:dyDescent="0.25">
      <c r="K138" s="8">
        <v>303.8</v>
      </c>
      <c r="L138" s="8">
        <v>7.32029</v>
      </c>
      <c r="M138">
        <v>7.3218399999999999</v>
      </c>
      <c r="N138">
        <v>7.3217352760000001</v>
      </c>
      <c r="O138" s="16">
        <f t="shared" si="26"/>
        <v>1.5499999999999403E-3</v>
      </c>
      <c r="P138">
        <f t="shared" si="27"/>
        <v>2.1174024526349918E-2</v>
      </c>
      <c r="Q138">
        <f t="shared" si="29"/>
        <v>1.4303166674587368E-3</v>
      </c>
      <c r="R138">
        <f t="shared" si="28"/>
        <v>1.974342546538602E-2</v>
      </c>
      <c r="T138" s="17">
        <v>3.50413</v>
      </c>
      <c r="U138" s="3">
        <v>300</v>
      </c>
      <c r="V138" s="17">
        <v>77.068200000000004</v>
      </c>
      <c r="W138" s="16">
        <v>77.068299999999994</v>
      </c>
      <c r="X138" s="13">
        <f t="shared" si="30"/>
        <v>1.2975520381831781E-4</v>
      </c>
    </row>
    <row r="139" spans="11:25" x14ac:dyDescent="0.25">
      <c r="K139" s="8">
        <v>303.8</v>
      </c>
      <c r="L139" s="8">
        <v>7.3204399999999996</v>
      </c>
      <c r="M139">
        <v>7.3218399999999999</v>
      </c>
      <c r="N139">
        <v>7.3217352760000001</v>
      </c>
      <c r="O139" s="16">
        <f t="shared" si="26"/>
        <v>1.4000000000002899E-3</v>
      </c>
      <c r="P139">
        <f t="shared" si="27"/>
        <v>1.9124533497990422E-2</v>
      </c>
      <c r="Q139">
        <f t="shared" si="29"/>
        <v>1.4303166674587368E-3</v>
      </c>
      <c r="R139">
        <f t="shared" si="28"/>
        <v>1.7693963750819022E-2</v>
      </c>
      <c r="T139" s="17">
        <v>4.0032300000000003</v>
      </c>
      <c r="U139" s="3">
        <v>300</v>
      </c>
      <c r="V139" s="17">
        <v>92.069299999999998</v>
      </c>
      <c r="W139" s="16">
        <v>92.065100000000001</v>
      </c>
      <c r="X139" s="13">
        <f t="shared" si="30"/>
        <v>-4.5617811800429866E-3</v>
      </c>
    </row>
    <row r="140" spans="11:25" x14ac:dyDescent="0.25">
      <c r="K140" s="8">
        <v>303.89999999999998</v>
      </c>
      <c r="L140" s="8">
        <v>7.3372900000000003</v>
      </c>
      <c r="M140">
        <v>7.3386500000000003</v>
      </c>
      <c r="N140">
        <v>7.3385782940000004</v>
      </c>
      <c r="O140" s="16">
        <f t="shared" si="26"/>
        <v>1.3600000000000279E-3</v>
      </c>
      <c r="P140">
        <f t="shared" si="27"/>
        <v>1.8535453825595388E-2</v>
      </c>
      <c r="Q140">
        <f t="shared" si="29"/>
        <v>9.7711024025696927E-4</v>
      </c>
      <c r="R140">
        <f t="shared" si="28"/>
        <v>1.7558172022641583E-2</v>
      </c>
      <c r="T140" s="17">
        <v>4.0047899999999998</v>
      </c>
      <c r="U140" s="3">
        <v>300</v>
      </c>
      <c r="V140" s="17">
        <v>92.116900000000001</v>
      </c>
      <c r="W140" s="16">
        <v>92.114699999999999</v>
      </c>
      <c r="X140" s="13">
        <f t="shared" si="30"/>
        <v>-2.3882696877575971E-3</v>
      </c>
    </row>
    <row r="141" spans="11:25" x14ac:dyDescent="0.25">
      <c r="K141" s="8">
        <v>304</v>
      </c>
      <c r="L141" s="8">
        <v>7.3540299999999998</v>
      </c>
      <c r="M141">
        <v>7.3555400000000004</v>
      </c>
      <c r="N141">
        <v>7.3554890970000004</v>
      </c>
      <c r="O141" s="16">
        <f t="shared" si="26"/>
        <v>1.5100000000005664E-3</v>
      </c>
      <c r="P141">
        <f t="shared" si="27"/>
        <v>2.0532959479368E-2</v>
      </c>
      <c r="Q141">
        <f t="shared" si="29"/>
        <v>6.9204099589723089E-4</v>
      </c>
      <c r="R141">
        <f t="shared" si="28"/>
        <v>1.9840781177131117E-2</v>
      </c>
      <c r="T141" s="17">
        <v>4.5038200000000002</v>
      </c>
      <c r="U141" s="3">
        <v>300</v>
      </c>
      <c r="V141" s="17">
        <v>109.006</v>
      </c>
      <c r="W141" s="16">
        <v>109.001</v>
      </c>
      <c r="X141" s="13">
        <f t="shared" si="30"/>
        <v>-4.5869034731991385E-3</v>
      </c>
    </row>
    <row r="142" spans="11:25" x14ac:dyDescent="0.25">
      <c r="K142" s="8">
        <v>304</v>
      </c>
      <c r="L142" s="8">
        <v>7.3541499999999997</v>
      </c>
      <c r="M142">
        <v>7.3555400000000004</v>
      </c>
      <c r="N142">
        <v>7.3554890970000004</v>
      </c>
      <c r="O142" s="16">
        <f t="shared" si="26"/>
        <v>1.3900000000006685E-3</v>
      </c>
      <c r="P142">
        <f t="shared" si="27"/>
        <v>1.8900892693250321E-2</v>
      </c>
      <c r="Q142">
        <f t="shared" si="29"/>
        <v>6.9204099589723089E-4</v>
      </c>
      <c r="R142">
        <f t="shared" si="28"/>
        <v>1.8208725685506518E-2</v>
      </c>
      <c r="T142" s="17">
        <v>5.0002700000000004</v>
      </c>
      <c r="U142" s="3">
        <v>300</v>
      </c>
      <c r="V142" s="17">
        <v>128.41499999999999</v>
      </c>
      <c r="W142" s="16">
        <v>128.39500000000001</v>
      </c>
      <c r="X142" s="13">
        <f t="shared" si="30"/>
        <v>-1.5574504536060282E-2</v>
      </c>
    </row>
    <row r="143" spans="11:25" x14ac:dyDescent="0.25">
      <c r="K143" s="8">
        <v>304.10000000000002</v>
      </c>
      <c r="L143" s="8">
        <v>7.3709899999999999</v>
      </c>
      <c r="M143">
        <v>7.3724999999999996</v>
      </c>
      <c r="N143">
        <v>7.372484236</v>
      </c>
      <c r="O143" s="16">
        <f t="shared" si="26"/>
        <v>1.5099999999996783E-3</v>
      </c>
      <c r="P143">
        <f t="shared" si="27"/>
        <v>2.0485714944663856E-2</v>
      </c>
      <c r="Q143">
        <f t="shared" si="29"/>
        <v>2.1382209164462037E-4</v>
      </c>
      <c r="R143">
        <f t="shared" si="28"/>
        <v>2.0271849507326602E-2</v>
      </c>
      <c r="T143" s="17">
        <v>5.0004200000000001</v>
      </c>
      <c r="U143" s="3">
        <v>300</v>
      </c>
      <c r="V143" s="17">
        <v>128.42699999999999</v>
      </c>
      <c r="W143" s="16">
        <v>128.40100000000001</v>
      </c>
      <c r="X143" s="13">
        <f t="shared" si="30"/>
        <v>-2.02449640651748E-2</v>
      </c>
    </row>
    <row r="144" spans="11:25" x14ac:dyDescent="0.25">
      <c r="T144" s="17">
        <v>5.0076799999999997</v>
      </c>
      <c r="U144" s="3">
        <v>300</v>
      </c>
      <c r="V144" s="17">
        <v>128.72900000000001</v>
      </c>
      <c r="W144" s="16">
        <v>128.71</v>
      </c>
      <c r="X144" s="13">
        <f t="shared" si="30"/>
        <v>-1.4759688958980071E-2</v>
      </c>
    </row>
    <row r="145" spans="20:24" x14ac:dyDescent="0.25">
      <c r="T145" s="17">
        <v>5.5013500000000004</v>
      </c>
      <c r="U145" s="3">
        <v>300</v>
      </c>
      <c r="V145" s="17">
        <v>151.976</v>
      </c>
      <c r="W145" s="16">
        <v>151.92699999999999</v>
      </c>
      <c r="X145" s="13">
        <f t="shared" si="30"/>
        <v>-3.2241932936783832E-2</v>
      </c>
    </row>
    <row r="146" spans="20:24" x14ac:dyDescent="0.25">
      <c r="T146" s="17">
        <v>6.0023999999999997</v>
      </c>
      <c r="U146" s="3">
        <v>300</v>
      </c>
      <c r="V146" s="17">
        <v>182.51400000000001</v>
      </c>
      <c r="W146" s="16">
        <v>182.39400000000001</v>
      </c>
      <c r="X146" s="13">
        <f t="shared" si="30"/>
        <v>-6.574838094612169E-2</v>
      </c>
    </row>
    <row r="147" spans="20:24" x14ac:dyDescent="0.25">
      <c r="T147" s="17">
        <v>6.2997199999999998</v>
      </c>
      <c r="U147" s="3">
        <v>300</v>
      </c>
      <c r="V147" s="17">
        <v>207.12</v>
      </c>
      <c r="W147" s="16">
        <v>206.952</v>
      </c>
      <c r="X147" s="13">
        <f t="shared" si="30"/>
        <v>-8.111239860950481E-2</v>
      </c>
    </row>
    <row r="148" spans="20:24" x14ac:dyDescent="0.25">
      <c r="T148" s="17">
        <v>6.5008699999999999</v>
      </c>
      <c r="U148" s="3">
        <v>300</v>
      </c>
      <c r="V148" s="17">
        <v>229.74100000000001</v>
      </c>
      <c r="W148" s="16">
        <v>229.607</v>
      </c>
      <c r="X148" s="13">
        <f t="shared" si="30"/>
        <v>-5.8326550332772356E-2</v>
      </c>
    </row>
    <row r="149" spans="20:24" x14ac:dyDescent="0.25">
      <c r="T149" s="17">
        <v>6.5009699999999997</v>
      </c>
      <c r="U149" s="3">
        <v>300</v>
      </c>
      <c r="V149" s="17">
        <v>229.756</v>
      </c>
      <c r="W149" s="16">
        <v>229.62</v>
      </c>
      <c r="X149" s="13">
        <f t="shared" si="30"/>
        <v>-5.9193231079926391E-2</v>
      </c>
    </row>
    <row r="150" spans="20:24" x14ac:dyDescent="0.25">
      <c r="T150" s="17">
        <v>6.5018200000000004</v>
      </c>
      <c r="U150" s="3">
        <v>300</v>
      </c>
      <c r="V150" s="17">
        <v>229.874</v>
      </c>
      <c r="W150" s="16">
        <v>229.73400000000001</v>
      </c>
      <c r="X150" s="13">
        <f t="shared" si="30"/>
        <v>-6.0902929430899692E-2</v>
      </c>
    </row>
    <row r="151" spans="20:24" x14ac:dyDescent="0.25">
      <c r="T151" s="17">
        <v>6.5031100000000004</v>
      </c>
      <c r="U151" s="3">
        <v>300</v>
      </c>
      <c r="V151" s="17">
        <v>230.04400000000001</v>
      </c>
      <c r="W151" s="16">
        <v>229.90700000000001</v>
      </c>
      <c r="X151" s="13">
        <f t="shared" si="30"/>
        <v>-5.9553824485750743E-2</v>
      </c>
    </row>
    <row r="152" spans="20:24" x14ac:dyDescent="0.25">
      <c r="T152" s="17">
        <v>6.5567700000000002</v>
      </c>
      <c r="U152" s="3">
        <v>300</v>
      </c>
      <c r="V152" s="17">
        <v>237.68299999999999</v>
      </c>
      <c r="W152" s="16">
        <v>237.578</v>
      </c>
      <c r="X152" s="13">
        <f t="shared" si="30"/>
        <v>-4.4176487169881637E-2</v>
      </c>
    </row>
    <row r="153" spans="20:24" x14ac:dyDescent="0.25">
      <c r="T153" s="17">
        <v>6.6011100000000003</v>
      </c>
      <c r="U153" s="3">
        <v>300</v>
      </c>
      <c r="V153" s="17">
        <v>244.77199999999999</v>
      </c>
      <c r="W153" s="16">
        <v>244.77</v>
      </c>
      <c r="X153" s="13">
        <f t="shared" si="30"/>
        <v>-8.170869216990211E-4</v>
      </c>
    </row>
    <row r="154" spans="20:24" x14ac:dyDescent="0.25">
      <c r="T154" s="17">
        <v>6.6019500000000004</v>
      </c>
      <c r="U154" s="3">
        <v>300</v>
      </c>
      <c r="V154" s="17">
        <v>244.958</v>
      </c>
      <c r="W154" s="16">
        <v>244.91499999999999</v>
      </c>
      <c r="X154" s="13">
        <f t="shared" si="30"/>
        <v>-1.7554029670395075E-2</v>
      </c>
    </row>
    <row r="155" spans="20:24" x14ac:dyDescent="0.25">
      <c r="T155" s="17">
        <v>6.6504399999999997</v>
      </c>
      <c r="U155" s="3">
        <v>300</v>
      </c>
      <c r="V155" s="17">
        <v>253.982</v>
      </c>
      <c r="W155" s="16">
        <v>254.078</v>
      </c>
      <c r="X155" s="13">
        <f t="shared" si="30"/>
        <v>3.7797954185731127E-2</v>
      </c>
    </row>
    <row r="156" spans="20:24" x14ac:dyDescent="0.25">
      <c r="T156" s="17">
        <v>6.6510899999999999</v>
      </c>
      <c r="U156" s="3">
        <v>300</v>
      </c>
      <c r="V156" s="17">
        <v>254.10900000000001</v>
      </c>
      <c r="W156" s="16">
        <v>254.21299999999999</v>
      </c>
      <c r="X156" s="13">
        <f t="shared" si="30"/>
        <v>4.0927318591622096E-2</v>
      </c>
    </row>
    <row r="157" spans="20:24" x14ac:dyDescent="0.25">
      <c r="T157" s="17">
        <v>6.6538599999999999</v>
      </c>
      <c r="U157" s="3">
        <v>300</v>
      </c>
      <c r="V157" s="17">
        <v>254.672</v>
      </c>
      <c r="W157" s="16">
        <v>254.791</v>
      </c>
      <c r="X157" s="13">
        <f t="shared" si="30"/>
        <v>4.6726770119997395E-2</v>
      </c>
    </row>
    <row r="158" spans="20:24" x14ac:dyDescent="0.25">
      <c r="T158" s="17">
        <v>6.6548499999999997</v>
      </c>
      <c r="U158" s="3">
        <v>300</v>
      </c>
      <c r="V158" s="17">
        <v>254.887</v>
      </c>
      <c r="W158" s="16">
        <v>254.999</v>
      </c>
      <c r="X158" s="13">
        <f t="shared" si="30"/>
        <v>4.3941040539531157E-2</v>
      </c>
    </row>
    <row r="159" spans="20:24" x14ac:dyDescent="0.25">
      <c r="T159" s="17">
        <v>6.6829400000000003</v>
      </c>
      <c r="U159" s="3">
        <v>300</v>
      </c>
      <c r="V159" s="17">
        <v>261.07400000000001</v>
      </c>
      <c r="W159" s="16">
        <v>261.32600000000002</v>
      </c>
      <c r="X159" s="13">
        <f t="shared" si="30"/>
        <v>9.6524357078839537E-2</v>
      </c>
    </row>
    <row r="160" spans="20:24" x14ac:dyDescent="0.25">
      <c r="T160" s="17">
        <v>6.70113</v>
      </c>
      <c r="U160" s="3">
        <v>300</v>
      </c>
      <c r="V160" s="17">
        <v>265.57799999999997</v>
      </c>
      <c r="W160" s="16">
        <v>265.95</v>
      </c>
      <c r="X160" s="13">
        <f t="shared" si="30"/>
        <v>0.14007184330027869</v>
      </c>
    </row>
    <row r="161" spans="20:25" x14ac:dyDescent="0.25">
      <c r="T161" s="17">
        <v>6.7062900000000001</v>
      </c>
      <c r="U161" s="3">
        <v>300</v>
      </c>
      <c r="V161" s="17">
        <v>266.92700000000002</v>
      </c>
      <c r="W161" s="16">
        <v>267.358</v>
      </c>
      <c r="X161" s="13">
        <f t="shared" si="30"/>
        <v>0.16146736748248891</v>
      </c>
    </row>
    <row r="162" spans="20:25" x14ac:dyDescent="0.25">
      <c r="T162" s="17">
        <v>6.7080099999999998</v>
      </c>
      <c r="U162" s="3">
        <v>300</v>
      </c>
      <c r="V162" s="17">
        <v>267.41699999999997</v>
      </c>
      <c r="W162" s="16">
        <v>267.83800000000002</v>
      </c>
      <c r="X162" s="13">
        <f t="shared" si="30"/>
        <v>0.15743202563787984</v>
      </c>
    </row>
    <row r="163" spans="20:25" x14ac:dyDescent="0.25">
      <c r="T163" s="17">
        <v>6.8034299999999996</v>
      </c>
      <c r="U163" s="3">
        <v>300</v>
      </c>
      <c r="V163" s="17">
        <v>689.67</v>
      </c>
      <c r="W163" s="16">
        <v>685.11300000000006</v>
      </c>
      <c r="X163" s="13">
        <f t="shared" si="30"/>
        <v>-0.66075079385791802</v>
      </c>
    </row>
    <row r="164" spans="20:25" x14ac:dyDescent="0.25">
      <c r="T164" s="17">
        <v>6.89846</v>
      </c>
      <c r="U164" s="3">
        <v>300</v>
      </c>
      <c r="V164" s="17">
        <v>698.29300000000001</v>
      </c>
      <c r="W164" s="16">
        <v>695.81899999999996</v>
      </c>
      <c r="X164" s="13">
        <f t="shared" si="30"/>
        <v>-0.35429253909176323</v>
      </c>
    </row>
    <row r="165" spans="20:25" x14ac:dyDescent="0.25">
      <c r="T165" s="17">
        <v>6.9938399999999996</v>
      </c>
      <c r="U165" s="3">
        <v>300</v>
      </c>
      <c r="V165" s="17">
        <v>705.81</v>
      </c>
      <c r="W165" s="16">
        <v>704.50400000000002</v>
      </c>
      <c r="X165" s="13">
        <f t="shared" si="30"/>
        <v>-0.18503563281902019</v>
      </c>
    </row>
    <row r="166" spans="20:25" x14ac:dyDescent="0.25">
      <c r="T166" s="17">
        <v>7.2032299999999996</v>
      </c>
      <c r="U166" s="3">
        <v>300</v>
      </c>
      <c r="V166" s="17">
        <v>719.16</v>
      </c>
      <c r="W166" s="16">
        <v>719.41899999999998</v>
      </c>
      <c r="X166" s="13">
        <f t="shared" si="30"/>
        <v>3.6014238834197472E-2</v>
      </c>
    </row>
    <row r="167" spans="20:25" x14ac:dyDescent="0.25">
      <c r="T167" s="17">
        <v>7.6018600000000003</v>
      </c>
      <c r="U167" s="3">
        <v>300</v>
      </c>
      <c r="V167" s="17">
        <v>738.46400000000006</v>
      </c>
      <c r="W167" s="16">
        <v>739.75300000000004</v>
      </c>
      <c r="X167" s="13">
        <f t="shared" si="30"/>
        <v>0.17455150149499327</v>
      </c>
    </row>
    <row r="168" spans="20:25" x14ac:dyDescent="0.25">
      <c r="T168" s="17">
        <v>7.6029</v>
      </c>
      <c r="U168" s="3">
        <v>300</v>
      </c>
      <c r="V168" s="17">
        <v>738.48</v>
      </c>
      <c r="W168" s="16">
        <v>739.798</v>
      </c>
      <c r="X168" s="13">
        <f t="shared" si="30"/>
        <v>0.17847470479904448</v>
      </c>
    </row>
    <row r="169" spans="20:25" x14ac:dyDescent="0.25">
      <c r="T169" s="17">
        <v>7.9984400000000004</v>
      </c>
      <c r="U169" s="3">
        <v>300</v>
      </c>
      <c r="V169" s="17">
        <v>753.26300000000003</v>
      </c>
      <c r="W169" s="16">
        <v>754.80100000000004</v>
      </c>
      <c r="X169" s="13">
        <f t="shared" si="30"/>
        <v>0.20417835470479909</v>
      </c>
    </row>
    <row r="170" spans="20:25" x14ac:dyDescent="0.25">
      <c r="T170" s="17">
        <v>9.0059500000000003</v>
      </c>
      <c r="U170" s="9">
        <v>300</v>
      </c>
      <c r="V170" s="19">
        <v>781.25099999999998</v>
      </c>
      <c r="W170" s="27">
        <v>782.57500000000005</v>
      </c>
      <c r="X170" s="66">
        <f t="shared" si="30"/>
        <v>0.16947178307612651</v>
      </c>
    </row>
    <row r="171" spans="20:25" x14ac:dyDescent="0.25">
      <c r="T171" s="17">
        <v>4.9984900000000003</v>
      </c>
      <c r="U171" s="3">
        <v>303</v>
      </c>
      <c r="V171" s="17">
        <v>124.16200000000001</v>
      </c>
      <c r="W171" s="16">
        <v>124.142</v>
      </c>
      <c r="X171" s="13">
        <f t="shared" si="30"/>
        <v>-1.6107987951233253E-2</v>
      </c>
      <c r="Y171" t="s">
        <v>229</v>
      </c>
    </row>
    <row r="172" spans="20:25" x14ac:dyDescent="0.25">
      <c r="T172" s="17">
        <v>5.4996499999999999</v>
      </c>
      <c r="U172" s="3">
        <v>303</v>
      </c>
      <c r="V172" s="17">
        <v>145.60599999999999</v>
      </c>
      <c r="W172" s="16">
        <v>145.56200000000001</v>
      </c>
      <c r="X172" s="13">
        <f t="shared" si="30"/>
        <v>-3.0218534950470943E-2</v>
      </c>
      <c r="Y172" t="s">
        <v>195</v>
      </c>
    </row>
    <row r="173" spans="20:25" x14ac:dyDescent="0.25">
      <c r="T173" s="17">
        <v>6.0003799999999998</v>
      </c>
      <c r="U173" s="3">
        <v>303</v>
      </c>
      <c r="V173" s="17">
        <v>171.95400000000001</v>
      </c>
      <c r="W173" s="16">
        <v>171.84</v>
      </c>
      <c r="X173" s="13">
        <f t="shared" si="30"/>
        <v>-6.6296800307061379E-2</v>
      </c>
    </row>
    <row r="174" spans="20:25" x14ac:dyDescent="0.25">
      <c r="T174" s="17">
        <v>6.5007900000000003</v>
      </c>
      <c r="U174" s="3">
        <v>303</v>
      </c>
      <c r="V174" s="17">
        <v>207.41200000000001</v>
      </c>
      <c r="W174" s="16">
        <v>207.19200000000001</v>
      </c>
      <c r="X174" s="13">
        <f t="shared" si="30"/>
        <v>-0.10606907989894454</v>
      </c>
    </row>
    <row r="175" spans="20:25" x14ac:dyDescent="0.25">
      <c r="T175" s="17">
        <v>6.6989099999999997</v>
      </c>
      <c r="U175" s="3">
        <v>303</v>
      </c>
      <c r="V175" s="17">
        <v>226.453</v>
      </c>
      <c r="W175" s="16">
        <v>226.20500000000001</v>
      </c>
      <c r="X175" s="13">
        <f t="shared" si="30"/>
        <v>-0.10951499869729721</v>
      </c>
    </row>
    <row r="176" spans="20:25" x14ac:dyDescent="0.25">
      <c r="T176" s="17">
        <v>6.9020799999999998</v>
      </c>
      <c r="U176" s="3">
        <v>303</v>
      </c>
      <c r="V176" s="17">
        <v>252.357</v>
      </c>
      <c r="W176" s="16">
        <v>252.24700000000001</v>
      </c>
      <c r="X176" s="13">
        <f t="shared" si="30"/>
        <v>-4.3589042507235866E-2</v>
      </c>
    </row>
    <row r="177" spans="20:24" x14ac:dyDescent="0.25">
      <c r="T177" s="17">
        <v>7.0013699999999996</v>
      </c>
      <c r="U177" s="3">
        <v>303</v>
      </c>
      <c r="V177" s="17">
        <v>269.68799999999999</v>
      </c>
      <c r="W177" s="16">
        <v>269.88600000000002</v>
      </c>
      <c r="X177" s="13">
        <f t="shared" si="30"/>
        <v>7.3418172110007091E-2</v>
      </c>
    </row>
    <row r="178" spans="20:24" x14ac:dyDescent="0.25">
      <c r="T178" s="17">
        <v>7.0517200000000004</v>
      </c>
      <c r="U178" s="3">
        <v>303</v>
      </c>
      <c r="V178" s="17">
        <v>280.79700000000003</v>
      </c>
      <c r="W178" s="16">
        <v>281.327</v>
      </c>
      <c r="X178" s="13">
        <f t="shared" si="30"/>
        <v>0.18874845528975476</v>
      </c>
    </row>
    <row r="179" spans="20:24" x14ac:dyDescent="0.25">
      <c r="T179" s="17">
        <v>7.09884</v>
      </c>
      <c r="U179" s="3">
        <v>303</v>
      </c>
      <c r="V179" s="17">
        <v>293.69400000000002</v>
      </c>
      <c r="W179" s="16">
        <v>294.81299999999999</v>
      </c>
      <c r="X179" s="13">
        <f t="shared" si="30"/>
        <v>0.38100880508283153</v>
      </c>
    </row>
    <row r="180" spans="20:24" x14ac:dyDescent="0.25">
      <c r="T180" s="17">
        <v>7.1426999999999996</v>
      </c>
      <c r="U180" s="3">
        <v>303</v>
      </c>
      <c r="V180" s="17">
        <v>309.851</v>
      </c>
      <c r="W180" s="16">
        <v>312.00900000000001</v>
      </c>
      <c r="X180" s="13">
        <f t="shared" si="30"/>
        <v>0.696463784205962</v>
      </c>
    </row>
    <row r="181" spans="20:24" x14ac:dyDescent="0.25">
      <c r="T181" s="17">
        <v>7.1519399999999997</v>
      </c>
      <c r="U181" s="3">
        <v>303</v>
      </c>
      <c r="V181" s="17">
        <v>314.14100000000002</v>
      </c>
      <c r="W181" s="16">
        <v>316.68200000000002</v>
      </c>
      <c r="X181" s="13">
        <f t="shared" si="30"/>
        <v>0.80887244899583199</v>
      </c>
    </row>
    <row r="182" spans="20:24" x14ac:dyDescent="0.25">
      <c r="T182" s="17">
        <v>7.1685299999999996</v>
      </c>
      <c r="U182" s="3">
        <v>303</v>
      </c>
      <c r="V182" s="17">
        <v>323.30900000000003</v>
      </c>
      <c r="W182" s="16">
        <v>326.75700000000001</v>
      </c>
      <c r="X182" s="13">
        <f t="shared" si="30"/>
        <v>1.0664720128421969</v>
      </c>
    </row>
    <row r="183" spans="20:24" x14ac:dyDescent="0.25">
      <c r="T183" s="17">
        <v>7.1717599999999999</v>
      </c>
      <c r="U183" s="3">
        <v>303</v>
      </c>
      <c r="V183" s="17">
        <v>325.44600000000003</v>
      </c>
      <c r="W183" s="16">
        <v>329.07799999999997</v>
      </c>
      <c r="X183" s="13">
        <f t="shared" si="30"/>
        <v>1.1160069566072246</v>
      </c>
    </row>
    <row r="184" spans="20:24" x14ac:dyDescent="0.25">
      <c r="T184" s="17">
        <v>7.1790500000000002</v>
      </c>
      <c r="U184" s="3">
        <v>303</v>
      </c>
      <c r="V184" s="17">
        <v>331.01400000000001</v>
      </c>
      <c r="W184" s="16">
        <v>334.96300000000002</v>
      </c>
      <c r="X184" s="13">
        <f t="shared" si="30"/>
        <v>1.1930009002640409</v>
      </c>
    </row>
    <row r="185" spans="20:24" x14ac:dyDescent="0.25">
      <c r="T185" s="17">
        <v>7.18248</v>
      </c>
      <c r="U185" s="3">
        <v>303</v>
      </c>
      <c r="V185" s="17">
        <v>333.93799999999999</v>
      </c>
      <c r="W185" s="16">
        <v>338.14</v>
      </c>
      <c r="X185" s="13">
        <f t="shared" si="30"/>
        <v>1.2583174122142429</v>
      </c>
    </row>
    <row r="186" spans="20:24" x14ac:dyDescent="0.25">
      <c r="T186" s="17">
        <v>7.1886000000000001</v>
      </c>
      <c r="U186" s="3">
        <v>303</v>
      </c>
      <c r="V186" s="17">
        <v>600.51900000000001</v>
      </c>
      <c r="W186" s="16">
        <v>344.78199999999998</v>
      </c>
      <c r="X186" s="13">
        <f t="shared" si="30"/>
        <v>-42.585996446407194</v>
      </c>
    </row>
    <row r="187" spans="20:24" x14ac:dyDescent="0.25">
      <c r="T187" s="17">
        <v>7.1889500000000002</v>
      </c>
      <c r="U187" s="3">
        <v>303</v>
      </c>
      <c r="V187" s="17">
        <v>600.78099999999995</v>
      </c>
      <c r="W187" s="16">
        <v>345.21199999999999</v>
      </c>
      <c r="X187" s="13">
        <f t="shared" si="30"/>
        <v>-42.539461134756252</v>
      </c>
    </row>
    <row r="188" spans="20:24" x14ac:dyDescent="0.25">
      <c r="T188" s="17">
        <v>7.1907300000000003</v>
      </c>
      <c r="U188" s="3">
        <v>303</v>
      </c>
      <c r="V188" s="17">
        <v>601.86800000000005</v>
      </c>
      <c r="W188" s="16">
        <v>580.75599999999997</v>
      </c>
      <c r="X188" s="13">
        <f t="shared" si="30"/>
        <v>-3.5077458844796663</v>
      </c>
    </row>
    <row r="189" spans="20:24" x14ac:dyDescent="0.25">
      <c r="T189" s="17">
        <v>7.20465</v>
      </c>
      <c r="U189" s="3">
        <v>303</v>
      </c>
      <c r="V189" s="17">
        <v>609.16800000000001</v>
      </c>
      <c r="W189" s="16">
        <v>589.47</v>
      </c>
      <c r="X189" s="13">
        <f t="shared" si="30"/>
        <v>-3.2335907335907299</v>
      </c>
    </row>
    <row r="190" spans="20:24" x14ac:dyDescent="0.25">
      <c r="T190" s="17">
        <v>7.2130299999999998</v>
      </c>
      <c r="U190" s="3">
        <v>303</v>
      </c>
      <c r="V190" s="17">
        <v>612.80899999999997</v>
      </c>
      <c r="W190" s="16">
        <v>593.76199999999994</v>
      </c>
      <c r="X190" s="13">
        <f t="shared" si="30"/>
        <v>-3.1081462576430874</v>
      </c>
    </row>
    <row r="191" spans="20:24" x14ac:dyDescent="0.25">
      <c r="T191" s="17">
        <v>7.2541500000000001</v>
      </c>
      <c r="U191" s="3">
        <v>303</v>
      </c>
      <c r="V191" s="17">
        <v>626.37900000000002</v>
      </c>
      <c r="W191" s="16">
        <v>609.84799999999996</v>
      </c>
      <c r="X191" s="13">
        <f t="shared" si="30"/>
        <v>-2.6391370081053265</v>
      </c>
    </row>
    <row r="192" spans="20:24" x14ac:dyDescent="0.25">
      <c r="T192" s="17">
        <v>7.30091</v>
      </c>
      <c r="U192" s="3">
        <v>303</v>
      </c>
      <c r="V192" s="17">
        <v>637.38599999999997</v>
      </c>
      <c r="W192" s="16">
        <v>623.19899999999996</v>
      </c>
      <c r="X192" s="13">
        <f t="shared" si="30"/>
        <v>-2.2258097918686657</v>
      </c>
    </row>
    <row r="193" spans="20:24" x14ac:dyDescent="0.25">
      <c r="T193" s="17">
        <v>7.3055300000000001</v>
      </c>
      <c r="U193" s="3">
        <v>303</v>
      </c>
      <c r="V193" s="17">
        <v>638.33799999999997</v>
      </c>
      <c r="W193" s="16">
        <v>624.35199999999998</v>
      </c>
      <c r="X193" s="13">
        <f t="shared" si="30"/>
        <v>-2.1910022589913165</v>
      </c>
    </row>
    <row r="194" spans="20:24" x14ac:dyDescent="0.25">
      <c r="T194" s="17">
        <v>7.3101000000000003</v>
      </c>
      <c r="U194" s="3">
        <v>303</v>
      </c>
      <c r="V194" s="17">
        <v>639.26</v>
      </c>
      <c r="W194" s="16">
        <v>625.46900000000005</v>
      </c>
      <c r="X194" s="13">
        <f t="shared" si="30"/>
        <v>-2.1573381722616682</v>
      </c>
    </row>
    <row r="195" spans="20:24" x14ac:dyDescent="0.25">
      <c r="T195" s="17">
        <v>7.3979299999999997</v>
      </c>
      <c r="U195" s="3">
        <v>303</v>
      </c>
      <c r="V195" s="17">
        <v>653.79399999999998</v>
      </c>
      <c r="W195" s="16">
        <v>643.58399999999995</v>
      </c>
      <c r="X195" s="13">
        <f t="shared" si="30"/>
        <v>-1.5616539766348478</v>
      </c>
    </row>
    <row r="196" spans="20:24" x14ac:dyDescent="0.25">
      <c r="T196" s="17">
        <v>7.5026700000000002</v>
      </c>
      <c r="U196" s="3">
        <v>303</v>
      </c>
      <c r="V196" s="17">
        <v>666.76900000000001</v>
      </c>
      <c r="W196" s="16">
        <v>659.79600000000005</v>
      </c>
      <c r="X196" s="13">
        <f t="shared" si="30"/>
        <v>-1.0457894713161464</v>
      </c>
    </row>
    <row r="197" spans="20:24" x14ac:dyDescent="0.25">
      <c r="T197" s="17">
        <v>7.6061800000000002</v>
      </c>
      <c r="U197" s="3">
        <v>303</v>
      </c>
      <c r="V197" s="17">
        <v>677.01499999999999</v>
      </c>
      <c r="W197" s="16">
        <v>672.37699999999995</v>
      </c>
      <c r="X197" s="13">
        <f t="shared" ref="X197:X260" si="31">-100*(V197-W197)/V197</f>
        <v>-0.68506606205180587</v>
      </c>
    </row>
    <row r="198" spans="20:24" x14ac:dyDescent="0.25">
      <c r="T198" s="17">
        <v>7.7992699999999999</v>
      </c>
      <c r="U198" s="3">
        <v>303</v>
      </c>
      <c r="V198" s="17">
        <v>692.23900000000003</v>
      </c>
      <c r="W198" s="16">
        <v>690.37</v>
      </c>
      <c r="X198" s="13">
        <f t="shared" si="31"/>
        <v>-0.26999345601736224</v>
      </c>
    </row>
    <row r="199" spans="20:24" x14ac:dyDescent="0.25">
      <c r="T199" s="17">
        <v>8.0009899999999998</v>
      </c>
      <c r="U199" s="3">
        <v>303</v>
      </c>
      <c r="V199" s="17">
        <v>704.875</v>
      </c>
      <c r="W199" s="16">
        <v>704.61500000000001</v>
      </c>
      <c r="X199" s="13">
        <f t="shared" si="31"/>
        <v>-3.6885972690192004E-2</v>
      </c>
    </row>
    <row r="200" spans="20:24" x14ac:dyDescent="0.25">
      <c r="T200" s="17">
        <v>8.0007900000000003</v>
      </c>
      <c r="U200" s="3">
        <v>303</v>
      </c>
      <c r="V200" s="17">
        <v>704.87900000000002</v>
      </c>
      <c r="W200" s="16">
        <v>704.60199999999998</v>
      </c>
      <c r="X200" s="13">
        <f t="shared" si="31"/>
        <v>-3.92975248234156E-2</v>
      </c>
    </row>
    <row r="201" spans="20:24" x14ac:dyDescent="0.25">
      <c r="T201" s="17">
        <v>8.2040799999999994</v>
      </c>
      <c r="U201" s="3">
        <v>303</v>
      </c>
      <c r="V201" s="17">
        <v>715.51800000000003</v>
      </c>
      <c r="W201" s="16">
        <v>716.15899999999999</v>
      </c>
      <c r="X201" s="13">
        <f t="shared" si="31"/>
        <v>8.9585447186508613E-2</v>
      </c>
    </row>
    <row r="202" spans="20:24" x14ac:dyDescent="0.25">
      <c r="T202" s="17">
        <v>8.4004399999999997</v>
      </c>
      <c r="U202" s="3">
        <v>303</v>
      </c>
      <c r="V202" s="17">
        <v>724.42399999999998</v>
      </c>
      <c r="W202" s="16">
        <v>725.57500000000005</v>
      </c>
      <c r="X202" s="13">
        <f t="shared" si="31"/>
        <v>0.15888485196515678</v>
      </c>
    </row>
    <row r="203" spans="20:24" x14ac:dyDescent="0.25">
      <c r="T203" s="17">
        <v>8.4039000000000001</v>
      </c>
      <c r="U203" s="3">
        <v>303</v>
      </c>
      <c r="V203" s="17">
        <v>724.58799999999997</v>
      </c>
      <c r="W203" s="16">
        <v>725.72900000000004</v>
      </c>
      <c r="X203" s="13">
        <f t="shared" si="31"/>
        <v>0.15746879606066846</v>
      </c>
    </row>
    <row r="204" spans="20:24" x14ac:dyDescent="0.25">
      <c r="T204" s="17">
        <v>8.6020299999999992</v>
      </c>
      <c r="U204" s="3">
        <v>303</v>
      </c>
      <c r="V204" s="17">
        <v>732.56200000000001</v>
      </c>
      <c r="W204" s="16">
        <v>733.98699999999997</v>
      </c>
      <c r="X204" s="13">
        <f t="shared" si="31"/>
        <v>0.19452278441960605</v>
      </c>
    </row>
    <row r="205" spans="20:24" x14ac:dyDescent="0.25">
      <c r="T205" s="17">
        <v>8.7981499999999997</v>
      </c>
      <c r="U205" s="3">
        <v>303</v>
      </c>
      <c r="V205" s="17">
        <v>739.65800000000002</v>
      </c>
      <c r="W205" s="16">
        <v>741.26199999999994</v>
      </c>
      <c r="X205" s="13">
        <f t="shared" si="31"/>
        <v>0.2168569798474333</v>
      </c>
    </row>
    <row r="206" spans="20:24" x14ac:dyDescent="0.25">
      <c r="T206" s="17">
        <v>8.8032199999999996</v>
      </c>
      <c r="U206" s="3">
        <v>303</v>
      </c>
      <c r="V206" s="17">
        <v>739.85500000000002</v>
      </c>
      <c r="W206" s="16">
        <v>741.44100000000003</v>
      </c>
      <c r="X206" s="13">
        <f t="shared" si="31"/>
        <v>0.21436632853735024</v>
      </c>
    </row>
    <row r="207" spans="20:24" x14ac:dyDescent="0.25">
      <c r="T207" s="17">
        <v>9.0027899999999992</v>
      </c>
      <c r="U207" s="9">
        <v>303</v>
      </c>
      <c r="V207" s="19">
        <v>746.46199999999999</v>
      </c>
      <c r="W207" s="27">
        <v>748.11699999999996</v>
      </c>
      <c r="X207" s="66">
        <f t="shared" si="31"/>
        <v>0.2217125587102857</v>
      </c>
    </row>
    <row r="208" spans="20:24" x14ac:dyDescent="0.25">
      <c r="T208" s="17">
        <v>6.5009300000000003</v>
      </c>
      <c r="U208" s="3">
        <v>304.15499999999997</v>
      </c>
      <c r="V208" s="17">
        <v>201.36199999999999</v>
      </c>
      <c r="W208" s="16">
        <v>201.14500000000001</v>
      </c>
      <c r="X208" s="13">
        <f t="shared" si="31"/>
        <v>-0.10776611277201485</v>
      </c>
    </row>
    <row r="209" spans="20:25" x14ac:dyDescent="0.25">
      <c r="T209" s="17">
        <v>6.8002599999999997</v>
      </c>
      <c r="U209" s="3">
        <v>304.15499999999997</v>
      </c>
      <c r="V209" s="17">
        <v>228.113</v>
      </c>
      <c r="W209" s="16">
        <v>227.83099999999999</v>
      </c>
      <c r="X209" s="13">
        <f t="shared" si="31"/>
        <v>-0.12362294126157242</v>
      </c>
    </row>
    <row r="210" spans="20:25" x14ac:dyDescent="0.25">
      <c r="T210" s="17">
        <v>7.0016100000000003</v>
      </c>
      <c r="U210" s="3">
        <v>304.15499999999997</v>
      </c>
      <c r="V210" s="17">
        <v>252.47</v>
      </c>
      <c r="W210" s="16">
        <v>252.273</v>
      </c>
      <c r="X210" s="13">
        <f t="shared" si="31"/>
        <v>-7.8029072761121213E-2</v>
      </c>
    </row>
    <row r="211" spans="20:25" x14ac:dyDescent="0.25">
      <c r="T211" s="17">
        <v>7.09971</v>
      </c>
      <c r="U211" s="3">
        <v>304.15499999999997</v>
      </c>
      <c r="V211" s="17">
        <v>267.96100000000001</v>
      </c>
      <c r="W211" s="16">
        <v>267.96600000000001</v>
      </c>
      <c r="X211" s="13">
        <f t="shared" si="31"/>
        <v>1.8659431782966373E-3</v>
      </c>
    </row>
    <row r="212" spans="20:25" x14ac:dyDescent="0.25">
      <c r="T212" s="17">
        <v>7.2497199999999999</v>
      </c>
      <c r="U212" s="3">
        <v>304.15499999999997</v>
      </c>
      <c r="V212" s="17">
        <v>302.214</v>
      </c>
      <c r="W212" s="16">
        <v>303.33999999999997</v>
      </c>
      <c r="X212" s="13">
        <f t="shared" si="31"/>
        <v>0.37258366587913744</v>
      </c>
    </row>
    <row r="213" spans="20:25" x14ac:dyDescent="0.25">
      <c r="T213" s="17">
        <v>7.3362100000000003</v>
      </c>
      <c r="U213" s="3">
        <v>304.15499999999997</v>
      </c>
      <c r="V213" s="17">
        <v>340.42</v>
      </c>
      <c r="W213" s="16">
        <v>343.53399999999999</v>
      </c>
      <c r="X213" s="13">
        <f t="shared" si="31"/>
        <v>0.9147523647259197</v>
      </c>
    </row>
    <row r="214" spans="20:25" x14ac:dyDescent="0.25">
      <c r="T214" s="17">
        <v>7.3716299999999997</v>
      </c>
      <c r="U214" s="3">
        <v>304.15499999999997</v>
      </c>
      <c r="V214" s="17">
        <v>381.839</v>
      </c>
      <c r="W214" s="16">
        <v>383.37599999999998</v>
      </c>
      <c r="X214" s="13">
        <f t="shared" si="31"/>
        <v>0.40252567181455473</v>
      </c>
    </row>
    <row r="215" spans="20:25" x14ac:dyDescent="0.25">
      <c r="T215" s="17">
        <v>7.3786100000000001</v>
      </c>
      <c r="U215" s="3">
        <v>304.15499999999997</v>
      </c>
      <c r="V215" s="17">
        <v>411.52199999999999</v>
      </c>
      <c r="W215" s="16">
        <v>403.16</v>
      </c>
      <c r="X215" s="13">
        <f t="shared" si="31"/>
        <v>-2.0319691292324511</v>
      </c>
    </row>
    <row r="216" spans="20:25" x14ac:dyDescent="0.25">
      <c r="T216" s="17">
        <v>7.3802399999999997</v>
      </c>
      <c r="U216" s="3">
        <v>304.15499999999997</v>
      </c>
      <c r="V216" s="17">
        <v>471.1</v>
      </c>
      <c r="W216" s="16">
        <v>411.54899999999998</v>
      </c>
      <c r="X216" s="13">
        <f t="shared" si="31"/>
        <v>-12.640840585862883</v>
      </c>
    </row>
    <row r="217" spans="20:25" x14ac:dyDescent="0.25">
      <c r="T217" s="17">
        <v>7.3806200000000004</v>
      </c>
      <c r="U217" s="3">
        <v>304.15499999999997</v>
      </c>
      <c r="V217" s="17">
        <v>504.68</v>
      </c>
      <c r="W217" s="16">
        <v>414.12200000000001</v>
      </c>
      <c r="X217" s="13">
        <f t="shared" si="31"/>
        <v>-17.943647459776489</v>
      </c>
    </row>
    <row r="218" spans="20:25" x14ac:dyDescent="0.25">
      <c r="T218" s="17">
        <v>7.3851300000000002</v>
      </c>
      <c r="U218" s="3">
        <v>304.15499999999997</v>
      </c>
      <c r="V218" s="17">
        <v>538.95000000000005</v>
      </c>
      <c r="W218" s="16">
        <v>519.45899999999995</v>
      </c>
      <c r="X218" s="13">
        <f t="shared" si="31"/>
        <v>-3.6164764820484456</v>
      </c>
    </row>
    <row r="219" spans="20:25" x14ac:dyDescent="0.25">
      <c r="T219" s="17">
        <v>7.4176099999999998</v>
      </c>
      <c r="U219" s="3">
        <v>304.15499999999997</v>
      </c>
      <c r="V219" s="17">
        <v>580.85900000000004</v>
      </c>
      <c r="W219" s="16">
        <v>565.24800000000005</v>
      </c>
      <c r="X219" s="13">
        <f t="shared" si="31"/>
        <v>-2.6875713383110167</v>
      </c>
    </row>
    <row r="220" spans="20:25" x14ac:dyDescent="0.25">
      <c r="T220" s="17">
        <v>7.5031999999999996</v>
      </c>
      <c r="U220" s="9">
        <v>304.15499999999997</v>
      </c>
      <c r="V220" s="19">
        <v>615.19600000000003</v>
      </c>
      <c r="W220" s="27">
        <v>600.91499999999996</v>
      </c>
      <c r="X220" s="66">
        <f t="shared" si="31"/>
        <v>-2.3213740011313568</v>
      </c>
    </row>
    <row r="221" spans="20:25" x14ac:dyDescent="0.25">
      <c r="T221" s="17">
        <v>6.4944699999999997</v>
      </c>
      <c r="U221" s="3">
        <v>305</v>
      </c>
      <c r="V221" s="17">
        <v>196.98099999999999</v>
      </c>
      <c r="W221" s="16">
        <v>196.80199999999999</v>
      </c>
      <c r="X221" s="13">
        <f t="shared" si="31"/>
        <v>-9.0871708438886006E-2</v>
      </c>
      <c r="Y221" t="s">
        <v>230</v>
      </c>
    </row>
    <row r="222" spans="20:25" x14ac:dyDescent="0.25">
      <c r="T222" s="17">
        <v>6.8025599999999997</v>
      </c>
      <c r="U222" s="3">
        <v>305</v>
      </c>
      <c r="V222" s="17">
        <v>222.25399999999999</v>
      </c>
      <c r="W222" s="16">
        <v>222.001</v>
      </c>
      <c r="X222" s="13">
        <f t="shared" si="31"/>
        <v>-0.11383372177777944</v>
      </c>
      <c r="Y222" t="s">
        <v>196</v>
      </c>
    </row>
    <row r="223" spans="20:25" x14ac:dyDescent="0.25">
      <c r="T223" s="17">
        <v>6.99838</v>
      </c>
      <c r="U223" s="3">
        <v>305</v>
      </c>
      <c r="V223" s="17">
        <v>242.965</v>
      </c>
      <c r="W223" s="16">
        <v>242.73</v>
      </c>
      <c r="X223" s="13">
        <f t="shared" si="31"/>
        <v>-9.6721750046308577E-2</v>
      </c>
    </row>
    <row r="224" spans="20:25" x14ac:dyDescent="0.25">
      <c r="T224" s="17">
        <v>7.1959600000000004</v>
      </c>
      <c r="U224" s="3">
        <v>305</v>
      </c>
      <c r="V224" s="17">
        <v>271.11700000000002</v>
      </c>
      <c r="W224" s="16">
        <v>271.178</v>
      </c>
      <c r="X224" s="13">
        <f t="shared" si="31"/>
        <v>2.2499511281099532E-2</v>
      </c>
    </row>
    <row r="225" spans="20:24" x14ac:dyDescent="0.25">
      <c r="T225" s="17">
        <v>7.33643</v>
      </c>
      <c r="U225" s="3">
        <v>305</v>
      </c>
      <c r="V225" s="17">
        <v>301.05599999999998</v>
      </c>
      <c r="W225" s="16">
        <v>302.02699999999999</v>
      </c>
      <c r="X225" s="13">
        <f t="shared" si="31"/>
        <v>0.32253135629251822</v>
      </c>
    </row>
    <row r="226" spans="20:24" x14ac:dyDescent="0.25">
      <c r="T226" s="17">
        <v>7.4418699999999998</v>
      </c>
      <c r="U226" s="3">
        <v>305</v>
      </c>
      <c r="V226" s="17">
        <v>340.34</v>
      </c>
      <c r="W226" s="16">
        <v>343.03300000000002</v>
      </c>
      <c r="X226" s="13">
        <f t="shared" si="31"/>
        <v>0.79126755597345033</v>
      </c>
    </row>
    <row r="227" spans="20:24" x14ac:dyDescent="0.25">
      <c r="T227" s="17">
        <v>7.4917499999999997</v>
      </c>
      <c r="U227" s="3">
        <v>305</v>
      </c>
      <c r="V227" s="17">
        <v>380.54899999999998</v>
      </c>
      <c r="W227" s="16">
        <v>382.721</v>
      </c>
      <c r="X227" s="13">
        <f t="shared" si="31"/>
        <v>0.57075435752032611</v>
      </c>
    </row>
    <row r="228" spans="20:24" x14ac:dyDescent="0.25">
      <c r="T228" s="17">
        <v>7.5137900000000002</v>
      </c>
      <c r="U228" s="3">
        <v>305</v>
      </c>
      <c r="V228" s="17">
        <v>425.01499999999999</v>
      </c>
      <c r="W228" s="16">
        <v>420.91399999999999</v>
      </c>
      <c r="X228" s="13">
        <f t="shared" si="31"/>
        <v>-0.96490712092514364</v>
      </c>
    </row>
    <row r="229" spans="20:24" x14ac:dyDescent="0.25">
      <c r="T229" s="17">
        <v>7.5218299999999996</v>
      </c>
      <c r="U229" s="3">
        <v>305</v>
      </c>
      <c r="V229" s="17">
        <v>457.12099999999998</v>
      </c>
      <c r="W229" s="16">
        <v>448.10500000000002</v>
      </c>
      <c r="X229" s="13">
        <f t="shared" si="31"/>
        <v>-1.9723443027119654</v>
      </c>
    </row>
    <row r="230" spans="20:24" x14ac:dyDescent="0.25">
      <c r="T230" s="17">
        <v>7.5224000000000002</v>
      </c>
      <c r="U230" s="3">
        <v>305</v>
      </c>
      <c r="V230" s="17">
        <v>458.76900000000001</v>
      </c>
      <c r="W230" s="16">
        <v>450.50299999999999</v>
      </c>
      <c r="X230" s="13">
        <f t="shared" si="31"/>
        <v>-1.8017782369776554</v>
      </c>
    </row>
    <row r="231" spans="20:24" x14ac:dyDescent="0.25">
      <c r="T231" s="17">
        <v>7.53233</v>
      </c>
      <c r="U231" s="3">
        <v>305</v>
      </c>
      <c r="V231" s="17">
        <v>500.80799999999999</v>
      </c>
      <c r="W231" s="16">
        <v>493.12200000000001</v>
      </c>
      <c r="X231" s="13">
        <f t="shared" si="31"/>
        <v>-1.5347198926534678</v>
      </c>
    </row>
    <row r="232" spans="20:24" x14ac:dyDescent="0.25">
      <c r="T232" s="17">
        <v>7.5505100000000001</v>
      </c>
      <c r="U232" s="3">
        <v>305</v>
      </c>
      <c r="V232" s="17">
        <v>538.84799999999996</v>
      </c>
      <c r="W232" s="16">
        <v>530.65</v>
      </c>
      <c r="X232" s="13">
        <f t="shared" si="31"/>
        <v>-1.5213937882297011</v>
      </c>
    </row>
    <row r="233" spans="20:24" x14ac:dyDescent="0.25">
      <c r="T233" s="17">
        <v>7.6048900000000001</v>
      </c>
      <c r="U233" s="3">
        <v>305</v>
      </c>
      <c r="V233" s="17">
        <v>580.68200000000002</v>
      </c>
      <c r="W233" s="16">
        <v>568.79300000000001</v>
      </c>
      <c r="X233" s="13">
        <f t="shared" si="31"/>
        <v>-2.0474201025690499</v>
      </c>
    </row>
    <row r="234" spans="20:24" x14ac:dyDescent="0.25">
      <c r="T234" s="17">
        <v>7.7997199999999998</v>
      </c>
      <c r="U234" s="3">
        <v>305</v>
      </c>
      <c r="V234" s="17">
        <v>631.51599999999996</v>
      </c>
      <c r="W234" s="16">
        <v>621.22900000000004</v>
      </c>
      <c r="X234" s="13">
        <f t="shared" si="31"/>
        <v>-1.6289373507559461</v>
      </c>
    </row>
    <row r="235" spans="20:24" x14ac:dyDescent="0.25">
      <c r="T235" s="17">
        <v>7.9000300000000001</v>
      </c>
      <c r="U235" s="3">
        <v>305</v>
      </c>
      <c r="V235" s="17">
        <v>645.77</v>
      </c>
      <c r="W235" s="16">
        <v>637.6</v>
      </c>
      <c r="X235" s="13">
        <f t="shared" si="31"/>
        <v>-1.2651563250073492</v>
      </c>
    </row>
    <row r="236" spans="20:24" x14ac:dyDescent="0.25">
      <c r="T236" s="17">
        <v>8.0020799999999994</v>
      </c>
      <c r="U236" s="3">
        <v>305</v>
      </c>
      <c r="V236" s="17">
        <v>657.28300000000002</v>
      </c>
      <c r="W236" s="16">
        <v>651.12900000000002</v>
      </c>
      <c r="X236" s="13">
        <f t="shared" si="31"/>
        <v>-0.93627858928345875</v>
      </c>
    </row>
    <row r="237" spans="20:24" x14ac:dyDescent="0.25">
      <c r="T237" s="17">
        <v>8.1999300000000002</v>
      </c>
      <c r="U237" s="3">
        <v>305</v>
      </c>
      <c r="V237" s="17">
        <v>674.79399999999998</v>
      </c>
      <c r="W237" s="16">
        <v>671.61199999999997</v>
      </c>
      <c r="X237" s="13">
        <f t="shared" si="31"/>
        <v>-0.47155131788368249</v>
      </c>
    </row>
    <row r="238" spans="20:24" x14ac:dyDescent="0.25">
      <c r="T238" s="17">
        <v>8.40123</v>
      </c>
      <c r="U238" s="3">
        <v>305</v>
      </c>
      <c r="V238" s="17">
        <v>688.72500000000002</v>
      </c>
      <c r="W238" s="16">
        <v>687.49199999999996</v>
      </c>
      <c r="X238" s="13">
        <f t="shared" si="31"/>
        <v>-0.17902646194055113</v>
      </c>
    </row>
    <row r="239" spans="20:24" x14ac:dyDescent="0.25">
      <c r="T239" s="17">
        <v>8.6050500000000003</v>
      </c>
      <c r="U239" s="3">
        <v>305</v>
      </c>
      <c r="V239" s="17">
        <v>700.399</v>
      </c>
      <c r="W239" s="16">
        <v>700.39200000000005</v>
      </c>
      <c r="X239" s="13">
        <f t="shared" si="31"/>
        <v>-9.9943032470751082E-4</v>
      </c>
    </row>
    <row r="240" spans="20:24" x14ac:dyDescent="0.25">
      <c r="T240" s="17">
        <v>8.8064599999999995</v>
      </c>
      <c r="U240" s="3">
        <v>305</v>
      </c>
      <c r="V240" s="17">
        <v>710.31600000000003</v>
      </c>
      <c r="W240" s="16">
        <v>711.04700000000003</v>
      </c>
      <c r="X240" s="13">
        <f t="shared" si="31"/>
        <v>0.10291194341673206</v>
      </c>
    </row>
    <row r="241" spans="20:25" x14ac:dyDescent="0.25">
      <c r="T241" s="17">
        <v>8.8078500000000002</v>
      </c>
      <c r="U241" s="3">
        <v>305</v>
      </c>
      <c r="V241" s="17">
        <v>710.33100000000002</v>
      </c>
      <c r="W241" s="16">
        <v>711.11500000000001</v>
      </c>
      <c r="X241" s="13">
        <f t="shared" si="31"/>
        <v>0.11037108052443041</v>
      </c>
    </row>
    <row r="242" spans="20:25" x14ac:dyDescent="0.25">
      <c r="T242" s="17">
        <v>9.0031499999999998</v>
      </c>
      <c r="U242" s="9">
        <v>305</v>
      </c>
      <c r="V242" s="19">
        <v>718.84900000000005</v>
      </c>
      <c r="W242" s="27">
        <v>720.03399999999999</v>
      </c>
      <c r="X242" s="66">
        <f t="shared" si="31"/>
        <v>0.16484685935432133</v>
      </c>
    </row>
    <row r="243" spans="20:25" x14ac:dyDescent="0.25">
      <c r="T243" s="17">
        <v>5.0031600000000003</v>
      </c>
      <c r="U243" s="3">
        <v>307</v>
      </c>
      <c r="V243" s="17">
        <v>119.47199999999999</v>
      </c>
      <c r="W243" s="16">
        <v>119.458</v>
      </c>
      <c r="X243" s="13">
        <f t="shared" si="31"/>
        <v>-1.1718226864868583E-2</v>
      </c>
      <c r="Y243" t="s">
        <v>192</v>
      </c>
    </row>
    <row r="244" spans="20:25" x14ac:dyDescent="0.25">
      <c r="T244" s="17">
        <v>6.0016600000000002</v>
      </c>
      <c r="U244" s="3">
        <v>307</v>
      </c>
      <c r="V244" s="17">
        <v>161.45599999999999</v>
      </c>
      <c r="W244" s="16">
        <v>161.37899999999999</v>
      </c>
      <c r="X244" s="13">
        <f t="shared" si="31"/>
        <v>-4.769101179268543E-2</v>
      </c>
    </row>
    <row r="245" spans="20:25" x14ac:dyDescent="0.25">
      <c r="T245" s="17">
        <v>6.4999799999999999</v>
      </c>
      <c r="U245" s="3">
        <v>307</v>
      </c>
      <c r="V245" s="17">
        <v>189.39699999999999</v>
      </c>
      <c r="W245" s="16">
        <v>189.23599999999999</v>
      </c>
      <c r="X245" s="13">
        <f t="shared" si="31"/>
        <v>-8.5006626292919829E-2</v>
      </c>
    </row>
    <row r="246" spans="20:25" x14ac:dyDescent="0.25">
      <c r="T246" s="17">
        <v>6.8007499999999999</v>
      </c>
      <c r="U246" s="3">
        <v>307</v>
      </c>
      <c r="V246" s="17">
        <v>210.45599999999999</v>
      </c>
      <c r="W246" s="16">
        <v>210.21299999999999</v>
      </c>
      <c r="X246" s="13">
        <f t="shared" si="31"/>
        <v>-0.11546356483065107</v>
      </c>
    </row>
    <row r="247" spans="20:25" x14ac:dyDescent="0.25">
      <c r="T247" s="17">
        <v>6.9994800000000001</v>
      </c>
      <c r="U247" s="3">
        <v>307</v>
      </c>
      <c r="V247" s="17">
        <v>227.18199999999999</v>
      </c>
      <c r="W247" s="16">
        <v>226.88399999999999</v>
      </c>
      <c r="X247" s="13">
        <f t="shared" si="31"/>
        <v>-0.13117236400771268</v>
      </c>
    </row>
    <row r="248" spans="20:25" x14ac:dyDescent="0.25">
      <c r="T248" s="17">
        <v>7.1947099999999997</v>
      </c>
      <c r="U248" s="3">
        <v>307</v>
      </c>
      <c r="V248" s="17">
        <v>247.02500000000001</v>
      </c>
      <c r="W248" s="16">
        <v>246.72200000000001</v>
      </c>
      <c r="X248" s="13">
        <f t="shared" si="31"/>
        <v>-0.12265964983301175</v>
      </c>
    </row>
    <row r="249" spans="20:25" x14ac:dyDescent="0.25">
      <c r="T249" s="17">
        <v>7.3990799999999997</v>
      </c>
      <c r="U249" s="3">
        <v>307</v>
      </c>
      <c r="V249" s="17">
        <v>213.92599999999999</v>
      </c>
      <c r="W249" s="16">
        <v>273.79899999999998</v>
      </c>
      <c r="X249" s="13">
        <f t="shared" si="31"/>
        <v>27.987715378214894</v>
      </c>
    </row>
    <row r="250" spans="20:25" x14ac:dyDescent="0.25">
      <c r="T250" s="17">
        <v>7.5442499999999999</v>
      </c>
      <c r="U250" s="3">
        <v>307</v>
      </c>
      <c r="V250" s="17">
        <v>300.22899999999998</v>
      </c>
      <c r="W250" s="16">
        <v>300.58100000000002</v>
      </c>
      <c r="X250" s="13">
        <f t="shared" si="31"/>
        <v>0.11724383720427817</v>
      </c>
    </row>
    <row r="251" spans="20:25" x14ac:dyDescent="0.25">
      <c r="T251" s="17">
        <v>7.68919</v>
      </c>
      <c r="U251" s="3">
        <v>307</v>
      </c>
      <c r="V251" s="17">
        <v>340.55900000000003</v>
      </c>
      <c r="W251" s="16">
        <v>341.66399999999999</v>
      </c>
      <c r="X251" s="13">
        <f t="shared" si="31"/>
        <v>0.32446653883760562</v>
      </c>
    </row>
    <row r="252" spans="20:25" x14ac:dyDescent="0.25">
      <c r="T252" s="17">
        <v>7.6900300000000001</v>
      </c>
      <c r="U252" s="3">
        <v>307</v>
      </c>
      <c r="V252" s="17">
        <v>340.74099999999999</v>
      </c>
      <c r="W252" s="16">
        <v>341.97800000000001</v>
      </c>
      <c r="X252" s="13">
        <f t="shared" si="31"/>
        <v>0.36303233247540601</v>
      </c>
    </row>
    <row r="253" spans="20:25" x14ac:dyDescent="0.25">
      <c r="T253" s="17">
        <v>7.7690999999999999</v>
      </c>
      <c r="U253" s="3">
        <v>307</v>
      </c>
      <c r="V253" s="17">
        <v>378.32900000000001</v>
      </c>
      <c r="W253" s="16">
        <v>378.63200000000001</v>
      </c>
      <c r="X253" s="13">
        <f t="shared" si="31"/>
        <v>8.008902304607822E-2</v>
      </c>
    </row>
    <row r="254" spans="20:25" x14ac:dyDescent="0.25">
      <c r="T254" s="17">
        <v>7.8220999999999998</v>
      </c>
      <c r="U254" s="3">
        <v>307</v>
      </c>
      <c r="V254" s="17">
        <v>419.96300000000002</v>
      </c>
      <c r="W254" s="16">
        <v>416.53100000000001</v>
      </c>
      <c r="X254" s="13">
        <f t="shared" si="31"/>
        <v>-0.81721484987963611</v>
      </c>
    </row>
    <row r="255" spans="20:25" x14ac:dyDescent="0.25">
      <c r="T255" s="17">
        <v>7.8601400000000003</v>
      </c>
      <c r="U255" s="3">
        <v>307</v>
      </c>
      <c r="V255" s="17">
        <v>459.791</v>
      </c>
      <c r="W255" s="16">
        <v>455.69900000000001</v>
      </c>
      <c r="X255" s="13">
        <f t="shared" si="31"/>
        <v>-0.88996957313213709</v>
      </c>
    </row>
    <row r="256" spans="20:25" x14ac:dyDescent="0.25">
      <c r="T256" s="17">
        <v>7.8987800000000004</v>
      </c>
      <c r="U256" s="3">
        <v>307</v>
      </c>
      <c r="V256" s="17">
        <v>499.46699999999998</v>
      </c>
      <c r="W256" s="16">
        <v>497.678</v>
      </c>
      <c r="X256" s="13">
        <f t="shared" si="31"/>
        <v>-0.35818182182205976</v>
      </c>
    </row>
    <row r="257" spans="20:25" x14ac:dyDescent="0.25">
      <c r="T257" s="17">
        <v>7.9548100000000002</v>
      </c>
      <c r="U257" s="3">
        <v>307</v>
      </c>
      <c r="V257" s="17">
        <v>539.678</v>
      </c>
      <c r="W257" s="16">
        <v>535.80700000000002</v>
      </c>
      <c r="X257" s="13">
        <f t="shared" si="31"/>
        <v>-0.71727956299867346</v>
      </c>
    </row>
    <row r="258" spans="20:25" x14ac:dyDescent="0.25">
      <c r="T258" s="17">
        <v>8.0516400000000008</v>
      </c>
      <c r="U258" s="3">
        <v>307</v>
      </c>
      <c r="V258" s="17">
        <v>578.46799999999996</v>
      </c>
      <c r="W258" s="16">
        <v>571.29100000000005</v>
      </c>
      <c r="X258" s="13">
        <f t="shared" si="31"/>
        <v>-1.240690928452379</v>
      </c>
    </row>
    <row r="259" spans="20:25" x14ac:dyDescent="0.25">
      <c r="T259" s="17">
        <v>8.1962299999999999</v>
      </c>
      <c r="U259" s="3">
        <v>307</v>
      </c>
      <c r="V259" s="17">
        <v>610.83699999999999</v>
      </c>
      <c r="W259" s="16">
        <v>603.02700000000004</v>
      </c>
      <c r="X259" s="13">
        <f t="shared" si="31"/>
        <v>-1.2785734983309698</v>
      </c>
    </row>
    <row r="260" spans="20:25" x14ac:dyDescent="0.25">
      <c r="T260" s="17">
        <v>8.40578</v>
      </c>
      <c r="U260" s="3">
        <v>307</v>
      </c>
      <c r="V260" s="17">
        <v>639.48099999999999</v>
      </c>
      <c r="W260" s="16">
        <v>633.67499999999995</v>
      </c>
      <c r="X260" s="13">
        <f t="shared" si="31"/>
        <v>-0.90792376943177988</v>
      </c>
    </row>
    <row r="261" spans="20:25" x14ac:dyDescent="0.25">
      <c r="T261" s="17">
        <v>8.5034399999999994</v>
      </c>
      <c r="U261" s="3">
        <v>307</v>
      </c>
      <c r="V261" s="17">
        <v>649.47</v>
      </c>
      <c r="W261" s="16">
        <v>644.76</v>
      </c>
      <c r="X261" s="13">
        <f t="shared" ref="X261:X324" si="32">-100*(V261-W261)/V261</f>
        <v>-0.72520670700725764</v>
      </c>
    </row>
    <row r="262" spans="20:25" x14ac:dyDescent="0.25">
      <c r="T262" s="17">
        <v>8.6007099999999994</v>
      </c>
      <c r="U262" s="3">
        <v>307</v>
      </c>
      <c r="V262" s="17">
        <v>658.07100000000003</v>
      </c>
      <c r="W262" s="16">
        <v>654.44200000000001</v>
      </c>
      <c r="X262" s="13">
        <f t="shared" si="32"/>
        <v>-0.55146025276908095</v>
      </c>
    </row>
    <row r="263" spans="20:25" x14ac:dyDescent="0.25">
      <c r="T263" s="17">
        <v>8.6053499999999996</v>
      </c>
      <c r="U263" s="3">
        <v>307</v>
      </c>
      <c r="V263" s="17">
        <v>658.51800000000003</v>
      </c>
      <c r="W263" s="16">
        <v>654.875</v>
      </c>
      <c r="X263" s="13">
        <f t="shared" si="32"/>
        <v>-0.55321190916573715</v>
      </c>
    </row>
    <row r="264" spans="20:25" x14ac:dyDescent="0.25">
      <c r="T264" s="17">
        <v>8.8019700000000007</v>
      </c>
      <c r="U264" s="3">
        <v>307</v>
      </c>
      <c r="V264" s="17">
        <v>673.10699999999997</v>
      </c>
      <c r="W264" s="16">
        <v>671.26</v>
      </c>
      <c r="X264" s="13">
        <f t="shared" si="32"/>
        <v>-0.27439916684865556</v>
      </c>
    </row>
    <row r="265" spans="20:25" x14ac:dyDescent="0.25">
      <c r="T265" s="17">
        <v>9.00075</v>
      </c>
      <c r="U265" s="9">
        <v>307</v>
      </c>
      <c r="V265" s="19">
        <v>685.36</v>
      </c>
      <c r="W265" s="27">
        <v>684.79200000000003</v>
      </c>
      <c r="X265" s="66">
        <f t="shared" si="32"/>
        <v>-8.2876152678881695E-2</v>
      </c>
    </row>
    <row r="266" spans="20:25" x14ac:dyDescent="0.25">
      <c r="T266" s="17">
        <v>6.0005100000000002</v>
      </c>
      <c r="U266" s="3">
        <v>310</v>
      </c>
      <c r="V266" s="17">
        <v>155.02000000000001</v>
      </c>
      <c r="W266" s="16">
        <v>154.96700000000001</v>
      </c>
      <c r="X266" s="13">
        <f t="shared" si="32"/>
        <v>-3.418913688556139E-2</v>
      </c>
      <c r="Y266" t="s">
        <v>231</v>
      </c>
    </row>
    <row r="267" spans="20:25" x14ac:dyDescent="0.25">
      <c r="T267" s="17">
        <v>6.4935099999999997</v>
      </c>
      <c r="U267" s="3">
        <v>310</v>
      </c>
      <c r="V267" s="17">
        <v>179.35599999999999</v>
      </c>
      <c r="W267" s="16">
        <v>179.238</v>
      </c>
      <c r="X267" s="13">
        <f t="shared" si="32"/>
        <v>-6.5790940921962471E-2</v>
      </c>
      <c r="Y267" t="s">
        <v>197</v>
      </c>
    </row>
    <row r="268" spans="20:25" x14ac:dyDescent="0.25">
      <c r="T268" s="17">
        <v>6.9966400000000002</v>
      </c>
      <c r="U268" s="3">
        <v>310</v>
      </c>
      <c r="V268" s="17">
        <v>210.44399999999999</v>
      </c>
      <c r="W268" s="16">
        <v>210.202</v>
      </c>
      <c r="X268" s="13">
        <f t="shared" si="32"/>
        <v>-0.1149949630305403</v>
      </c>
    </row>
    <row r="269" spans="20:25" x14ac:dyDescent="0.25">
      <c r="T269" s="17">
        <v>7.00047</v>
      </c>
      <c r="U269" s="3">
        <v>310</v>
      </c>
      <c r="V269" s="17">
        <v>210.721</v>
      </c>
      <c r="W269" s="16">
        <v>210.47200000000001</v>
      </c>
      <c r="X269" s="13">
        <f t="shared" si="32"/>
        <v>-0.11816572624465299</v>
      </c>
    </row>
    <row r="270" spans="20:25" x14ac:dyDescent="0.25">
      <c r="T270" s="17">
        <v>7.2009299999999996</v>
      </c>
      <c r="U270" s="3">
        <v>310</v>
      </c>
      <c r="V270" s="17">
        <v>225.923</v>
      </c>
      <c r="W270" s="16">
        <v>225.60900000000001</v>
      </c>
      <c r="X270" s="13">
        <f t="shared" si="32"/>
        <v>-0.13898540653231098</v>
      </c>
    </row>
    <row r="271" spans="20:25" x14ac:dyDescent="0.25">
      <c r="T271" s="17">
        <v>7.2012</v>
      </c>
      <c r="U271" s="3">
        <v>310</v>
      </c>
      <c r="V271" s="17">
        <v>225.94399999999999</v>
      </c>
      <c r="W271" s="16">
        <v>225.631</v>
      </c>
      <c r="X271" s="13">
        <f t="shared" si="32"/>
        <v>-0.13852990121445499</v>
      </c>
    </row>
    <row r="272" spans="20:25" x14ac:dyDescent="0.25">
      <c r="T272" s="17">
        <v>7.4008500000000002</v>
      </c>
      <c r="U272" s="3">
        <v>310</v>
      </c>
      <c r="V272" s="17">
        <v>243.52500000000001</v>
      </c>
      <c r="W272" s="16">
        <v>243.15199999999999</v>
      </c>
      <c r="X272" s="13">
        <f t="shared" si="32"/>
        <v>-0.15316702597270049</v>
      </c>
    </row>
    <row r="273" spans="20:24" x14ac:dyDescent="0.25">
      <c r="T273" s="17">
        <v>7.6009500000000001</v>
      </c>
      <c r="U273" s="3">
        <v>310</v>
      </c>
      <c r="V273" s="17">
        <v>264.673</v>
      </c>
      <c r="W273" s="16">
        <v>264.291</v>
      </c>
      <c r="X273" s="13">
        <f t="shared" si="32"/>
        <v>-0.14432903998519117</v>
      </c>
    </row>
    <row r="274" spans="20:24" x14ac:dyDescent="0.25">
      <c r="T274" s="17">
        <v>7.70092</v>
      </c>
      <c r="U274" s="3">
        <v>310</v>
      </c>
      <c r="V274" s="17">
        <v>277.154</v>
      </c>
      <c r="W274" s="16">
        <v>276.791</v>
      </c>
      <c r="X274" s="13">
        <f t="shared" si="32"/>
        <v>-0.1309741154737076</v>
      </c>
    </row>
    <row r="275" spans="20:24" x14ac:dyDescent="0.25">
      <c r="T275" s="17">
        <v>7.8007400000000002</v>
      </c>
      <c r="U275" s="3">
        <v>310</v>
      </c>
      <c r="V275" s="17">
        <v>291.37099999999998</v>
      </c>
      <c r="W275" s="16">
        <v>291.08</v>
      </c>
      <c r="X275" s="13">
        <f t="shared" si="32"/>
        <v>-9.9872670924696288E-2</v>
      </c>
    </row>
    <row r="276" spans="20:24" x14ac:dyDescent="0.25">
      <c r="T276" s="17">
        <v>7.90252</v>
      </c>
      <c r="U276" s="3">
        <v>310</v>
      </c>
      <c r="V276" s="17">
        <v>308.36399999999998</v>
      </c>
      <c r="W276" s="16">
        <v>308.13900000000001</v>
      </c>
      <c r="X276" s="13">
        <f t="shared" si="32"/>
        <v>-7.296571584230517E-2</v>
      </c>
    </row>
    <row r="277" spans="20:24" x14ac:dyDescent="0.25">
      <c r="T277" s="17">
        <v>8.0007000000000001</v>
      </c>
      <c r="U277" s="3">
        <v>310</v>
      </c>
      <c r="V277" s="17">
        <v>328.08499999999998</v>
      </c>
      <c r="W277" s="16">
        <v>327.84100000000001</v>
      </c>
      <c r="X277" s="13">
        <f t="shared" si="32"/>
        <v>-7.437097093740079E-2</v>
      </c>
    </row>
    <row r="278" spans="20:24" x14ac:dyDescent="0.25">
      <c r="T278" s="17">
        <v>8.0027500000000007</v>
      </c>
      <c r="U278" s="3">
        <v>310</v>
      </c>
      <c r="V278" s="17">
        <v>328.53199999999998</v>
      </c>
      <c r="W278" s="16">
        <v>328.29399999999998</v>
      </c>
      <c r="X278" s="13">
        <f t="shared" si="32"/>
        <v>-7.2443475825794607E-2</v>
      </c>
    </row>
    <row r="279" spans="20:24" x14ac:dyDescent="0.25">
      <c r="T279" s="17">
        <v>8.0033499999999993</v>
      </c>
      <c r="U279" s="3">
        <v>310</v>
      </c>
      <c r="V279" s="17">
        <v>328.685</v>
      </c>
      <c r="W279" s="16">
        <v>328.42700000000002</v>
      </c>
      <c r="X279" s="13">
        <f t="shared" si="32"/>
        <v>-7.8494607298775831E-2</v>
      </c>
    </row>
    <row r="280" spans="20:24" x14ac:dyDescent="0.25">
      <c r="T280" s="17">
        <v>8.1008999999999993</v>
      </c>
      <c r="U280" s="3">
        <v>310</v>
      </c>
      <c r="V280" s="17">
        <v>353.21100000000001</v>
      </c>
      <c r="W280" s="16">
        <v>352.46699999999998</v>
      </c>
      <c r="X280" s="13">
        <f t="shared" si="32"/>
        <v>-0.21063896651011099</v>
      </c>
    </row>
    <row r="281" spans="20:24" x14ac:dyDescent="0.25">
      <c r="T281" s="17">
        <v>8.2007899999999996</v>
      </c>
      <c r="U281" s="3">
        <v>310</v>
      </c>
      <c r="V281" s="17">
        <v>385.69400000000002</v>
      </c>
      <c r="W281" s="16">
        <v>383.28899999999999</v>
      </c>
      <c r="X281" s="13">
        <f t="shared" si="32"/>
        <v>-0.62355131269867548</v>
      </c>
    </row>
    <row r="282" spans="20:24" x14ac:dyDescent="0.25">
      <c r="T282" s="17">
        <v>8.3000299999999996</v>
      </c>
      <c r="U282" s="3">
        <v>310</v>
      </c>
      <c r="V282" s="17">
        <v>427.346</v>
      </c>
      <c r="W282" s="16">
        <v>422.57100000000003</v>
      </c>
      <c r="X282" s="13">
        <f t="shared" si="32"/>
        <v>-1.1173615758659206</v>
      </c>
    </row>
    <row r="283" spans="20:24" x14ac:dyDescent="0.25">
      <c r="T283" s="17">
        <v>8.4004999999999992</v>
      </c>
      <c r="U283" s="3">
        <v>310</v>
      </c>
      <c r="V283" s="17">
        <v>474.75599999999997</v>
      </c>
      <c r="W283" s="16">
        <v>471.83199999999999</v>
      </c>
      <c r="X283" s="13">
        <f t="shared" si="32"/>
        <v>-0.61589532307121519</v>
      </c>
    </row>
    <row r="284" spans="20:24" x14ac:dyDescent="0.25">
      <c r="T284" s="17">
        <v>8.4062400000000004</v>
      </c>
      <c r="U284" s="3">
        <v>310</v>
      </c>
      <c r="V284" s="17">
        <v>477.23899999999998</v>
      </c>
      <c r="W284" s="16">
        <v>474.71899999999999</v>
      </c>
      <c r="X284" s="13">
        <f t="shared" si="32"/>
        <v>-0.52803731463689718</v>
      </c>
    </row>
    <row r="285" spans="20:24" x14ac:dyDescent="0.25">
      <c r="T285" s="17">
        <v>8.5017200000000006</v>
      </c>
      <c r="U285" s="3">
        <v>310</v>
      </c>
      <c r="V285" s="17">
        <v>516.35400000000004</v>
      </c>
      <c r="W285" s="16">
        <v>516.05799999999999</v>
      </c>
      <c r="X285" s="13">
        <f t="shared" si="32"/>
        <v>-5.7325013459767732E-2</v>
      </c>
    </row>
    <row r="286" spans="20:24" x14ac:dyDescent="0.25">
      <c r="T286" s="17">
        <v>8.6011699999999998</v>
      </c>
      <c r="U286" s="3">
        <v>310</v>
      </c>
      <c r="V286" s="17">
        <v>547.10400000000004</v>
      </c>
      <c r="W286" s="16">
        <v>545.96299999999997</v>
      </c>
      <c r="X286" s="13">
        <f t="shared" si="32"/>
        <v>-0.20855267005908865</v>
      </c>
    </row>
    <row r="287" spans="20:24" x14ac:dyDescent="0.25">
      <c r="T287" s="17">
        <v>8.7017900000000008</v>
      </c>
      <c r="U287" s="3">
        <v>310</v>
      </c>
      <c r="V287" s="17">
        <v>570.37400000000002</v>
      </c>
      <c r="W287" s="16">
        <v>567.98599999999999</v>
      </c>
      <c r="X287" s="13">
        <f t="shared" si="32"/>
        <v>-0.41867266039476442</v>
      </c>
    </row>
    <row r="288" spans="20:24" x14ac:dyDescent="0.25">
      <c r="T288" s="17">
        <v>8.8018000000000001</v>
      </c>
      <c r="U288" s="3">
        <v>310</v>
      </c>
      <c r="V288" s="17">
        <v>588.40700000000004</v>
      </c>
      <c r="W288" s="16">
        <v>585.24900000000002</v>
      </c>
      <c r="X288" s="13">
        <f t="shared" si="32"/>
        <v>-0.53670333629613776</v>
      </c>
    </row>
    <row r="289" spans="20:25" x14ac:dyDescent="0.25">
      <c r="T289" s="17">
        <v>8.8026499999999999</v>
      </c>
      <c r="U289" s="3">
        <v>310</v>
      </c>
      <c r="V289" s="17">
        <v>588.54999999999995</v>
      </c>
      <c r="W289" s="16">
        <v>585.38199999999995</v>
      </c>
      <c r="X289" s="13">
        <f t="shared" si="32"/>
        <v>-0.53827202446691136</v>
      </c>
    </row>
    <row r="290" spans="20:25" x14ac:dyDescent="0.25">
      <c r="T290" s="17">
        <v>8.9030799999999992</v>
      </c>
      <c r="U290" s="9">
        <v>310</v>
      </c>
      <c r="V290" s="19">
        <v>603.28899999999999</v>
      </c>
      <c r="W290" s="27">
        <v>599.80499999999995</v>
      </c>
      <c r="X290" s="66">
        <f t="shared" si="32"/>
        <v>-0.5775009986921753</v>
      </c>
    </row>
    <row r="291" spans="20:25" x14ac:dyDescent="0.25">
      <c r="T291" s="17">
        <v>6.98123</v>
      </c>
      <c r="U291" s="3">
        <v>313</v>
      </c>
      <c r="V291" s="17">
        <v>197.476</v>
      </c>
      <c r="W291" s="16">
        <v>197.30699999999999</v>
      </c>
      <c r="X291" s="13">
        <f t="shared" si="32"/>
        <v>-8.5580019850519121E-2</v>
      </c>
      <c r="Y291" t="s">
        <v>232</v>
      </c>
    </row>
    <row r="292" spans="20:25" x14ac:dyDescent="0.25">
      <c r="T292" s="17">
        <v>6.9988999999999999</v>
      </c>
      <c r="U292" s="3">
        <v>313</v>
      </c>
      <c r="V292" s="17">
        <v>198.52699999999999</v>
      </c>
      <c r="W292" s="16">
        <v>198.34700000000001</v>
      </c>
      <c r="X292" s="13">
        <f t="shared" si="32"/>
        <v>-9.0667768112135075E-2</v>
      </c>
      <c r="Y292" t="s">
        <v>199</v>
      </c>
    </row>
    <row r="293" spans="20:25" x14ac:dyDescent="0.25">
      <c r="T293" s="17">
        <v>7.2000400000000004</v>
      </c>
      <c r="U293" s="3">
        <v>313</v>
      </c>
      <c r="V293" s="17">
        <v>211.05799999999999</v>
      </c>
      <c r="W293" s="16">
        <v>210.82599999999999</v>
      </c>
      <c r="X293" s="13">
        <f t="shared" si="32"/>
        <v>-0.10992239100152533</v>
      </c>
    </row>
    <row r="294" spans="20:25" x14ac:dyDescent="0.25">
      <c r="T294" s="17">
        <v>7.20024</v>
      </c>
      <c r="U294" s="3">
        <v>313</v>
      </c>
      <c r="V294" s="17">
        <v>211.07400000000001</v>
      </c>
      <c r="W294" s="16">
        <v>210.839</v>
      </c>
      <c r="X294" s="13">
        <f t="shared" si="32"/>
        <v>-0.11133536105821353</v>
      </c>
    </row>
    <row r="295" spans="20:25" x14ac:dyDescent="0.25">
      <c r="T295" s="17">
        <v>7.4008700000000003</v>
      </c>
      <c r="U295" s="3">
        <v>313</v>
      </c>
      <c r="V295" s="17">
        <v>224.96100000000001</v>
      </c>
      <c r="W295" s="16">
        <v>224.66399999999999</v>
      </c>
      <c r="X295" s="13">
        <f t="shared" si="32"/>
        <v>-0.1320228839665655</v>
      </c>
    </row>
    <row r="296" spans="20:25" x14ac:dyDescent="0.25">
      <c r="T296" s="17">
        <v>7.59762</v>
      </c>
      <c r="U296" s="3">
        <v>313</v>
      </c>
      <c r="V296" s="17">
        <v>240.31200000000001</v>
      </c>
      <c r="W296" s="16">
        <v>239.93700000000001</v>
      </c>
      <c r="X296" s="13">
        <f t="shared" si="32"/>
        <v>-0.15604713871966444</v>
      </c>
    </row>
    <row r="297" spans="20:25" x14ac:dyDescent="0.25">
      <c r="T297" s="17">
        <v>7.8003</v>
      </c>
      <c r="U297" s="3">
        <v>313</v>
      </c>
      <c r="V297" s="17">
        <v>258.47300000000001</v>
      </c>
      <c r="W297" s="16">
        <v>258.02600000000001</v>
      </c>
      <c r="X297" s="13">
        <f t="shared" si="32"/>
        <v>-0.172938759560961</v>
      </c>
    </row>
    <row r="298" spans="20:25" x14ac:dyDescent="0.25">
      <c r="T298" s="17">
        <v>7.9001599999999996</v>
      </c>
      <c r="U298" s="3">
        <v>313</v>
      </c>
      <c r="V298" s="17">
        <v>268.55599999999998</v>
      </c>
      <c r="W298" s="16">
        <v>268.07900000000001</v>
      </c>
      <c r="X298" s="13">
        <f t="shared" si="32"/>
        <v>-0.17761658648474637</v>
      </c>
    </row>
    <row r="299" spans="20:25" x14ac:dyDescent="0.25">
      <c r="T299" s="17">
        <v>8.0030000000000001</v>
      </c>
      <c r="U299" s="3">
        <v>313</v>
      </c>
      <c r="V299" s="17">
        <v>219.93700000000001</v>
      </c>
      <c r="W299" s="16">
        <v>279.42099999999999</v>
      </c>
      <c r="X299" s="13">
        <f t="shared" si="32"/>
        <v>27.04592678812568</v>
      </c>
    </row>
    <row r="300" spans="20:25" x14ac:dyDescent="0.25">
      <c r="T300" s="17">
        <v>8.1042000000000005</v>
      </c>
      <c r="U300" s="3">
        <v>313</v>
      </c>
      <c r="V300" s="17">
        <v>292.31700000000001</v>
      </c>
      <c r="W300" s="16">
        <v>291.75900000000001</v>
      </c>
      <c r="X300" s="13">
        <f t="shared" si="32"/>
        <v>-0.19088865854534381</v>
      </c>
    </row>
    <row r="301" spans="20:25" x14ac:dyDescent="0.25">
      <c r="T301" s="17">
        <v>8.2015700000000002</v>
      </c>
      <c r="U301" s="3">
        <v>313</v>
      </c>
      <c r="V301" s="17">
        <v>305.59300000000002</v>
      </c>
      <c r="W301" s="16">
        <v>304.95600000000002</v>
      </c>
      <c r="X301" s="13">
        <f t="shared" si="32"/>
        <v>-0.20844718301793574</v>
      </c>
    </row>
    <row r="302" spans="20:25" x14ac:dyDescent="0.25">
      <c r="T302" s="17">
        <v>8.3009299999999993</v>
      </c>
      <c r="U302" s="3">
        <v>313</v>
      </c>
      <c r="V302" s="17">
        <v>320.81799999999998</v>
      </c>
      <c r="W302" s="16">
        <v>320.02999999999997</v>
      </c>
      <c r="X302" s="13">
        <f t="shared" si="32"/>
        <v>-0.24562212843419351</v>
      </c>
    </row>
    <row r="303" spans="20:25" x14ac:dyDescent="0.25">
      <c r="T303" s="17">
        <v>8.4026999999999994</v>
      </c>
      <c r="U303" s="3">
        <v>313</v>
      </c>
      <c r="V303" s="17">
        <v>338.63</v>
      </c>
      <c r="W303" s="16">
        <v>337.46300000000002</v>
      </c>
      <c r="X303" s="13">
        <f t="shared" si="32"/>
        <v>-0.3446239258187323</v>
      </c>
    </row>
    <row r="304" spans="20:25" x14ac:dyDescent="0.25">
      <c r="T304" s="17">
        <v>8.5031099999999995</v>
      </c>
      <c r="U304" s="3">
        <v>313</v>
      </c>
      <c r="V304" s="17">
        <v>358.87200000000001</v>
      </c>
      <c r="W304" s="16">
        <v>356.96699999999998</v>
      </c>
      <c r="X304" s="13">
        <f t="shared" si="32"/>
        <v>-0.53082993379255816</v>
      </c>
    </row>
    <row r="305" spans="20:25" x14ac:dyDescent="0.25">
      <c r="T305" s="17">
        <v>8.6012199999999996</v>
      </c>
      <c r="U305" s="3">
        <v>313</v>
      </c>
      <c r="V305" s="17">
        <v>381.66</v>
      </c>
      <c r="W305" s="16">
        <v>378.55500000000001</v>
      </c>
      <c r="X305" s="13">
        <f t="shared" si="32"/>
        <v>-0.81355132840748778</v>
      </c>
    </row>
    <row r="306" spans="20:25" x14ac:dyDescent="0.25">
      <c r="T306" s="17">
        <v>8.7048799999999993</v>
      </c>
      <c r="U306" s="3">
        <v>313</v>
      </c>
      <c r="V306" s="17">
        <v>409.05900000000003</v>
      </c>
      <c r="W306" s="16">
        <v>404.44600000000003</v>
      </c>
      <c r="X306" s="13">
        <f t="shared" si="32"/>
        <v>-1.1277101836165442</v>
      </c>
    </row>
    <row r="307" spans="20:25" x14ac:dyDescent="0.25">
      <c r="T307" s="17">
        <v>8.8010900000000003</v>
      </c>
      <c r="U307" s="3">
        <v>313</v>
      </c>
      <c r="V307" s="17">
        <v>436.76600000000002</v>
      </c>
      <c r="W307" s="16">
        <v>431.55900000000003</v>
      </c>
      <c r="X307" s="13">
        <f t="shared" si="32"/>
        <v>-1.1921715518149292</v>
      </c>
    </row>
    <row r="308" spans="20:25" x14ac:dyDescent="0.25">
      <c r="T308" s="17">
        <v>8.8021799999999999</v>
      </c>
      <c r="U308" s="3">
        <v>313</v>
      </c>
      <c r="V308" s="17">
        <v>437.166</v>
      </c>
      <c r="W308" s="16">
        <v>431.88299999999998</v>
      </c>
      <c r="X308" s="13">
        <f t="shared" si="32"/>
        <v>-1.2084654341828998</v>
      </c>
    </row>
    <row r="309" spans="20:25" x14ac:dyDescent="0.25">
      <c r="T309" s="17">
        <v>8.9050600000000006</v>
      </c>
      <c r="U309" s="3">
        <v>313</v>
      </c>
      <c r="V309" s="17">
        <v>467.34899999999999</v>
      </c>
      <c r="W309" s="16">
        <v>463.72500000000002</v>
      </c>
      <c r="X309" s="13">
        <f t="shared" si="32"/>
        <v>-0.77543762798250704</v>
      </c>
    </row>
    <row r="310" spans="20:25" x14ac:dyDescent="0.25">
      <c r="T310" s="17">
        <v>9.0046300000000006</v>
      </c>
      <c r="U310" s="9">
        <v>313</v>
      </c>
      <c r="V310" s="19">
        <v>494.66699999999997</v>
      </c>
      <c r="W310" s="27">
        <v>494.04199999999997</v>
      </c>
      <c r="X310" s="66">
        <f t="shared" si="32"/>
        <v>-0.12634762375497052</v>
      </c>
    </row>
    <row r="311" spans="20:25" x14ac:dyDescent="0.25">
      <c r="T311" s="17">
        <v>0.50090000000000001</v>
      </c>
      <c r="U311" s="3">
        <v>320</v>
      </c>
      <c r="V311" s="17">
        <v>8.4539000000000009</v>
      </c>
      <c r="W311" s="16">
        <v>8.4536099999999994</v>
      </c>
      <c r="X311" s="13">
        <f t="shared" si="32"/>
        <v>-3.4303694153166673E-3</v>
      </c>
      <c r="Y311" t="s">
        <v>233</v>
      </c>
    </row>
    <row r="312" spans="20:25" x14ac:dyDescent="0.25">
      <c r="T312" s="17">
        <v>0.50305999999999995</v>
      </c>
      <c r="U312" s="3">
        <v>320</v>
      </c>
      <c r="V312" s="17">
        <v>8.4909999999999997</v>
      </c>
      <c r="W312" s="16">
        <v>8.4908199999999994</v>
      </c>
      <c r="X312" s="13">
        <f t="shared" si="32"/>
        <v>-2.1198916499857619E-3</v>
      </c>
      <c r="Y312" t="s">
        <v>198</v>
      </c>
    </row>
    <row r="313" spans="20:25" x14ac:dyDescent="0.25">
      <c r="T313" s="17">
        <v>1.0013799999999999</v>
      </c>
      <c r="U313" s="3">
        <v>320</v>
      </c>
      <c r="V313" s="17">
        <v>17.259599999999999</v>
      </c>
      <c r="W313" s="16">
        <v>17.2591</v>
      </c>
      <c r="X313" s="13">
        <f t="shared" si="32"/>
        <v>-2.8969385153701983E-3</v>
      </c>
    </row>
    <row r="314" spans="20:25" x14ac:dyDescent="0.25">
      <c r="T314" s="17">
        <v>1.5009699999999999</v>
      </c>
      <c r="U314" s="3">
        <v>320</v>
      </c>
      <c r="V314" s="17">
        <v>26.446999999999999</v>
      </c>
      <c r="W314" s="16">
        <v>26.445599999999999</v>
      </c>
      <c r="X314" s="13">
        <f t="shared" si="32"/>
        <v>-5.2936060800857941E-3</v>
      </c>
    </row>
    <row r="315" spans="20:25" x14ac:dyDescent="0.25">
      <c r="T315" s="17">
        <v>2.0005600000000001</v>
      </c>
      <c r="U315" s="3">
        <v>320</v>
      </c>
      <c r="V315" s="17">
        <v>36.074800000000003</v>
      </c>
      <c r="W315" s="16">
        <v>36.073900000000002</v>
      </c>
      <c r="X315" s="13">
        <f t="shared" si="32"/>
        <v>-2.4948163260820715E-3</v>
      </c>
    </row>
    <row r="316" spans="20:25" x14ac:dyDescent="0.25">
      <c r="T316" s="17">
        <v>2.5006599999999999</v>
      </c>
      <c r="U316" s="3">
        <v>320</v>
      </c>
      <c r="V316" s="17">
        <v>46.210900000000002</v>
      </c>
      <c r="W316" s="16">
        <v>46.209099999999999</v>
      </c>
      <c r="X316" s="13">
        <f t="shared" si="32"/>
        <v>-3.8951849022696165E-3</v>
      </c>
    </row>
    <row r="317" spans="20:25" x14ac:dyDescent="0.25">
      <c r="T317" s="17">
        <v>3.0009600000000001</v>
      </c>
      <c r="U317" s="3">
        <v>320</v>
      </c>
      <c r="V317" s="17">
        <v>56.915100000000002</v>
      </c>
      <c r="W317" s="16">
        <v>56.9114</v>
      </c>
      <c r="X317" s="13">
        <f t="shared" si="32"/>
        <v>-6.5009110060459084E-3</v>
      </c>
    </row>
    <row r="318" spans="20:25" x14ac:dyDescent="0.25">
      <c r="T318" s="17">
        <v>3.4996100000000001</v>
      </c>
      <c r="U318" s="3">
        <v>320</v>
      </c>
      <c r="V318" s="17">
        <v>68.222700000000003</v>
      </c>
      <c r="W318" s="16">
        <v>68.218500000000006</v>
      </c>
      <c r="X318" s="13">
        <f t="shared" si="32"/>
        <v>-6.1563086773131475E-3</v>
      </c>
    </row>
    <row r="319" spans="20:25" x14ac:dyDescent="0.25">
      <c r="T319" s="17">
        <v>3.5009600000000001</v>
      </c>
      <c r="U319" s="3">
        <v>320</v>
      </c>
      <c r="V319" s="17">
        <v>68.254999999999995</v>
      </c>
      <c r="W319" s="16">
        <v>68.25</v>
      </c>
      <c r="X319" s="13">
        <f t="shared" si="32"/>
        <v>-7.3254706614833383E-3</v>
      </c>
    </row>
    <row r="320" spans="20:25" x14ac:dyDescent="0.25">
      <c r="T320" s="17">
        <v>4.0010700000000003</v>
      </c>
      <c r="U320" s="3">
        <v>320</v>
      </c>
      <c r="V320" s="17">
        <v>80.337000000000003</v>
      </c>
      <c r="W320" s="16">
        <v>80.332400000000007</v>
      </c>
      <c r="X320" s="13">
        <f t="shared" si="32"/>
        <v>-5.725879731626006E-3</v>
      </c>
    </row>
    <row r="321" spans="20:24" x14ac:dyDescent="0.25">
      <c r="T321" s="17">
        <v>4.5001199999999999</v>
      </c>
      <c r="U321" s="3">
        <v>320</v>
      </c>
      <c r="V321" s="17">
        <v>93.258700000000005</v>
      </c>
      <c r="W321" s="16">
        <v>93.251400000000004</v>
      </c>
      <c r="X321" s="13">
        <f t="shared" si="32"/>
        <v>-7.8276879261674776E-3</v>
      </c>
    </row>
    <row r="322" spans="20:24" x14ac:dyDescent="0.25">
      <c r="T322" s="17">
        <v>5.0005199999999999</v>
      </c>
      <c r="U322" s="3">
        <v>320</v>
      </c>
      <c r="V322" s="17">
        <v>107.238</v>
      </c>
      <c r="W322" s="16">
        <v>107.22799999999999</v>
      </c>
      <c r="X322" s="13">
        <f t="shared" si="32"/>
        <v>-9.3250526865524489E-3</v>
      </c>
    </row>
    <row r="323" spans="20:24" x14ac:dyDescent="0.25">
      <c r="T323" s="17">
        <v>5.5005600000000001</v>
      </c>
      <c r="U323" s="3">
        <v>320</v>
      </c>
      <c r="V323" s="17">
        <v>122.435</v>
      </c>
      <c r="W323" s="16">
        <v>122.423</v>
      </c>
      <c r="X323" s="13">
        <f t="shared" si="32"/>
        <v>-9.8011189610817621E-3</v>
      </c>
    </row>
    <row r="324" spans="20:24" x14ac:dyDescent="0.25">
      <c r="T324" s="17">
        <v>6.0009600000000001</v>
      </c>
      <c r="U324" s="3">
        <v>320</v>
      </c>
      <c r="V324" s="17">
        <v>139.15700000000001</v>
      </c>
      <c r="W324" s="16">
        <v>139.13499999999999</v>
      </c>
      <c r="X324" s="13">
        <f t="shared" si="32"/>
        <v>-1.5809481377163766E-2</v>
      </c>
    </row>
    <row r="325" spans="20:24" x14ac:dyDescent="0.25">
      <c r="T325" s="17">
        <v>6.50054</v>
      </c>
      <c r="U325" s="3">
        <v>320</v>
      </c>
      <c r="V325" s="17">
        <v>157.74100000000001</v>
      </c>
      <c r="W325" s="16">
        <v>157.70099999999999</v>
      </c>
      <c r="X325" s="13">
        <f t="shared" ref="X325:X333" si="33">-100*(V325-W325)/V325</f>
        <v>-2.5358023595653926E-2</v>
      </c>
    </row>
    <row r="326" spans="20:24" x14ac:dyDescent="0.25">
      <c r="T326" s="17">
        <v>7.0005600000000001</v>
      </c>
      <c r="U326" s="3">
        <v>320</v>
      </c>
      <c r="V326" s="17">
        <v>178.78800000000001</v>
      </c>
      <c r="W326" s="16">
        <v>178.71</v>
      </c>
      <c r="X326" s="13">
        <f t="shared" si="33"/>
        <v>-4.3627089066381942E-2</v>
      </c>
    </row>
    <row r="327" spans="20:24" x14ac:dyDescent="0.25">
      <c r="T327" s="17">
        <v>7.0008699999999999</v>
      </c>
      <c r="U327" s="3">
        <v>320</v>
      </c>
      <c r="V327" s="17">
        <v>178.8</v>
      </c>
      <c r="W327" s="16">
        <v>178.72399999999999</v>
      </c>
      <c r="X327" s="13">
        <f t="shared" si="33"/>
        <v>-4.2505592841175513E-2</v>
      </c>
    </row>
    <row r="328" spans="20:24" x14ac:dyDescent="0.25">
      <c r="T328" s="17">
        <v>7.5029899999999996</v>
      </c>
      <c r="U328" s="3">
        <v>320</v>
      </c>
      <c r="V328" s="17">
        <v>203.232</v>
      </c>
      <c r="W328" s="16">
        <v>203.08600000000001</v>
      </c>
      <c r="X328" s="13">
        <f t="shared" si="33"/>
        <v>-7.1839080459763519E-2</v>
      </c>
    </row>
    <row r="329" spans="20:24" x14ac:dyDescent="0.25">
      <c r="T329" s="17">
        <v>8.0013000000000005</v>
      </c>
      <c r="U329" s="3">
        <v>320</v>
      </c>
      <c r="V329" s="17">
        <v>232.03800000000001</v>
      </c>
      <c r="W329" s="16">
        <v>231.77799999999999</v>
      </c>
      <c r="X329" s="13">
        <f t="shared" si="33"/>
        <v>-0.11205061239970147</v>
      </c>
    </row>
    <row r="330" spans="20:24" x14ac:dyDescent="0.25">
      <c r="T330" s="17">
        <v>8.0020100000000003</v>
      </c>
      <c r="U330" s="3">
        <v>320</v>
      </c>
      <c r="V330" s="17">
        <v>232.1</v>
      </c>
      <c r="W330" s="16">
        <v>231.82300000000001</v>
      </c>
      <c r="X330" s="13">
        <f t="shared" si="33"/>
        <v>-0.1193451098664312</v>
      </c>
    </row>
    <row r="331" spans="20:24" x14ac:dyDescent="0.25">
      <c r="T331" s="17">
        <v>8.4014299999999995</v>
      </c>
      <c r="U331" s="3">
        <v>320</v>
      </c>
      <c r="V331" s="17">
        <v>259.88099999999997</v>
      </c>
      <c r="W331" s="16">
        <v>259.45299999999997</v>
      </c>
      <c r="X331" s="13">
        <f t="shared" si="33"/>
        <v>-0.16469076231044105</v>
      </c>
    </row>
    <row r="332" spans="20:24" x14ac:dyDescent="0.25">
      <c r="T332" s="17">
        <v>8.6985299999999999</v>
      </c>
      <c r="U332" s="3">
        <v>320</v>
      </c>
      <c r="V332" s="17">
        <v>284.322</v>
      </c>
      <c r="W332" s="16">
        <v>283.702</v>
      </c>
      <c r="X332" s="13">
        <f t="shared" si="33"/>
        <v>-0.21806261914308583</v>
      </c>
    </row>
    <row r="333" spans="20:24" x14ac:dyDescent="0.25">
      <c r="T333" s="19">
        <v>9.0018999999999991</v>
      </c>
      <c r="U333" s="9">
        <v>320</v>
      </c>
      <c r="V333" s="19">
        <v>313.69200000000001</v>
      </c>
      <c r="W333" s="16">
        <v>312.702</v>
      </c>
      <c r="X333" s="13">
        <f t="shared" si="33"/>
        <v>-0.31559618989327398</v>
      </c>
    </row>
  </sheetData>
  <sortState ref="B92:G107">
    <sortCondition ref="B92"/>
  </sortState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5"/>
  <dimension ref="B2:K72"/>
  <sheetViews>
    <sheetView workbookViewId="0">
      <selection activeCell="F9" sqref="F9"/>
    </sheetView>
  </sheetViews>
  <sheetFormatPr defaultRowHeight="15" x14ac:dyDescent="0.25"/>
  <cols>
    <col min="3" max="3" width="14.28515625" customWidth="1"/>
    <col min="4" max="4" width="10.7109375" customWidth="1"/>
    <col min="8" max="8" width="11.140625" customWidth="1"/>
    <col min="9" max="9" width="13.85546875" customWidth="1"/>
    <col min="10" max="10" width="9.140625" customWidth="1"/>
    <col min="13" max="13" width="10.140625" customWidth="1"/>
    <col min="14" max="14" width="9.28515625" customWidth="1"/>
  </cols>
  <sheetData>
    <row r="2" spans="2:11" x14ac:dyDescent="0.25">
      <c r="B2" s="21"/>
      <c r="C2" s="21" t="s">
        <v>104</v>
      </c>
      <c r="D2" s="21"/>
      <c r="E2" t="s">
        <v>208</v>
      </c>
      <c r="G2" s="21" t="s">
        <v>113</v>
      </c>
      <c r="H2" s="21"/>
      <c r="I2" s="21"/>
      <c r="J2" s="21"/>
      <c r="K2" t="s">
        <v>209</v>
      </c>
    </row>
    <row r="3" spans="2:11" x14ac:dyDescent="0.25">
      <c r="B3" s="1" t="s">
        <v>1</v>
      </c>
      <c r="C3" s="1" t="s">
        <v>101</v>
      </c>
      <c r="D3" s="1" t="s">
        <v>102</v>
      </c>
      <c r="G3" s="1" t="s">
        <v>1</v>
      </c>
      <c r="H3" s="1" t="s">
        <v>102</v>
      </c>
      <c r="I3" s="1" t="s">
        <v>103</v>
      </c>
      <c r="J3" s="1" t="s">
        <v>63</v>
      </c>
    </row>
    <row r="4" spans="2:11" x14ac:dyDescent="0.25">
      <c r="B4" s="8">
        <v>76.47</v>
      </c>
      <c r="C4" s="8">
        <v>8.3699999999999992</v>
      </c>
      <c r="D4">
        <f>C4*4.184</f>
        <v>35.02008</v>
      </c>
      <c r="E4" s="8"/>
      <c r="G4" s="8">
        <v>76.47</v>
      </c>
      <c r="H4" s="8">
        <f>C4*4.184</f>
        <v>35.02008</v>
      </c>
      <c r="I4" s="17">
        <v>35.103299999999997</v>
      </c>
      <c r="J4">
        <f>100*(I4-H4)/H4</f>
        <v>0.23763509392324969</v>
      </c>
    </row>
    <row r="5" spans="2:11" x14ac:dyDescent="0.25">
      <c r="B5" s="8">
        <v>81.94</v>
      </c>
      <c r="C5" s="8">
        <v>8.7029999999999994</v>
      </c>
      <c r="D5">
        <f t="shared" ref="D5:D25" si="0">C5*4.184</f>
        <v>36.413351999999996</v>
      </c>
      <c r="E5" s="8"/>
      <c r="G5" s="8">
        <v>81.94</v>
      </c>
      <c r="H5" s="8">
        <f t="shared" ref="H5:H25" si="1">C5*4.184</f>
        <v>36.413351999999996</v>
      </c>
      <c r="I5" s="17">
        <v>36.3675</v>
      </c>
      <c r="J5">
        <f t="shared" ref="J5:J25" si="2">100*(I5-H5)/H5</f>
        <v>-0.12592084354111771</v>
      </c>
    </row>
    <row r="6" spans="2:11" x14ac:dyDescent="0.25">
      <c r="B6" s="8">
        <v>87.45</v>
      </c>
      <c r="C6" s="8">
        <v>8.984</v>
      </c>
      <c r="D6">
        <f t="shared" si="0"/>
        <v>37.589055999999999</v>
      </c>
      <c r="G6" s="8">
        <v>87.45</v>
      </c>
      <c r="H6" s="8">
        <f t="shared" si="1"/>
        <v>37.589055999999999</v>
      </c>
      <c r="I6" s="17">
        <v>37.513800000000003</v>
      </c>
      <c r="J6">
        <f t="shared" si="2"/>
        <v>-0.20020720924727664</v>
      </c>
    </row>
    <row r="7" spans="2:11" x14ac:dyDescent="0.25">
      <c r="B7" s="8">
        <v>92.71</v>
      </c>
      <c r="C7" s="8">
        <v>9.1890000000000001</v>
      </c>
      <c r="D7">
        <f t="shared" si="0"/>
        <v>38.446776</v>
      </c>
      <c r="G7" s="8">
        <v>92.71</v>
      </c>
      <c r="H7" s="8">
        <f t="shared" si="1"/>
        <v>38.446776</v>
      </c>
      <c r="I7" s="17">
        <v>38.519500000000001</v>
      </c>
      <c r="J7">
        <f t="shared" si="2"/>
        <v>0.1891550022295781</v>
      </c>
    </row>
    <row r="8" spans="2:11" x14ac:dyDescent="0.25">
      <c r="B8" s="8">
        <v>97.93</v>
      </c>
      <c r="C8" s="8">
        <v>9.4209999999999994</v>
      </c>
      <c r="D8">
        <f t="shared" si="0"/>
        <v>39.417463999999995</v>
      </c>
      <c r="G8" s="8">
        <v>97.93</v>
      </c>
      <c r="H8" s="8">
        <f t="shared" si="1"/>
        <v>39.417463999999995</v>
      </c>
      <c r="I8" s="17">
        <v>39.454700000000003</v>
      </c>
      <c r="J8">
        <f t="shared" si="2"/>
        <v>9.446574239278091E-2</v>
      </c>
    </row>
    <row r="9" spans="2:11" x14ac:dyDescent="0.25">
      <c r="B9" s="8">
        <v>103.26</v>
      </c>
      <c r="C9" s="8">
        <v>9.6709999999999994</v>
      </c>
      <c r="D9">
        <f t="shared" si="0"/>
        <v>40.463464000000002</v>
      </c>
      <c r="G9" s="8">
        <v>103.26</v>
      </c>
      <c r="H9" s="8">
        <f t="shared" si="1"/>
        <v>40.463464000000002</v>
      </c>
      <c r="I9" s="17">
        <v>40.363199999999999</v>
      </c>
      <c r="J9">
        <f t="shared" si="2"/>
        <v>-0.24778896833944516</v>
      </c>
    </row>
    <row r="10" spans="2:11" x14ac:dyDescent="0.25">
      <c r="B10" s="8">
        <v>108.56</v>
      </c>
      <c r="C10" s="8">
        <v>9.8930000000000007</v>
      </c>
      <c r="D10">
        <f t="shared" si="0"/>
        <v>41.392312000000004</v>
      </c>
      <c r="G10" s="8">
        <v>108.56</v>
      </c>
      <c r="H10" s="8">
        <f t="shared" si="1"/>
        <v>41.392312000000004</v>
      </c>
      <c r="I10" s="17">
        <v>41.233899999999998</v>
      </c>
      <c r="J10">
        <f t="shared" si="2"/>
        <v>-0.38270875035925883</v>
      </c>
    </row>
    <row r="11" spans="2:11" x14ac:dyDescent="0.25">
      <c r="B11" s="8">
        <v>113.91</v>
      </c>
      <c r="C11" s="8">
        <v>10.07</v>
      </c>
      <c r="D11">
        <f t="shared" si="0"/>
        <v>42.13288</v>
      </c>
      <c r="G11" s="8">
        <v>113.91</v>
      </c>
      <c r="H11" s="8">
        <f t="shared" si="1"/>
        <v>42.13288</v>
      </c>
      <c r="I11" s="17">
        <v>42.091000000000001</v>
      </c>
      <c r="J11">
        <f t="shared" si="2"/>
        <v>-9.9399803668771353E-2</v>
      </c>
    </row>
    <row r="12" spans="2:11" x14ac:dyDescent="0.25">
      <c r="B12" s="8">
        <v>119.24</v>
      </c>
      <c r="C12" s="8">
        <v>10.27</v>
      </c>
      <c r="D12">
        <f t="shared" si="0"/>
        <v>42.969679999999997</v>
      </c>
      <c r="G12" s="8">
        <v>119.24</v>
      </c>
      <c r="H12" s="8">
        <f t="shared" si="1"/>
        <v>42.969679999999997</v>
      </c>
      <c r="I12" s="17">
        <v>42.9315</v>
      </c>
      <c r="J12">
        <f t="shared" si="2"/>
        <v>-8.8853349617676922E-2</v>
      </c>
    </row>
    <row r="13" spans="2:11" x14ac:dyDescent="0.25">
      <c r="B13" s="8">
        <v>124.58</v>
      </c>
      <c r="C13" s="8">
        <v>10.44</v>
      </c>
      <c r="D13">
        <f t="shared" si="0"/>
        <v>43.680959999999999</v>
      </c>
      <c r="G13" s="8">
        <v>124.58</v>
      </c>
      <c r="H13" s="8">
        <f t="shared" si="1"/>
        <v>43.680959999999999</v>
      </c>
      <c r="I13" s="17">
        <v>43.766599999999997</v>
      </c>
      <c r="J13">
        <f t="shared" si="2"/>
        <v>0.19605796209606643</v>
      </c>
    </row>
    <row r="14" spans="2:11" x14ac:dyDescent="0.25">
      <c r="B14" s="8">
        <v>130.18</v>
      </c>
      <c r="C14" s="8">
        <v>10.69</v>
      </c>
      <c r="D14">
        <f t="shared" si="0"/>
        <v>44.726959999999998</v>
      </c>
      <c r="G14" s="8">
        <v>130.18</v>
      </c>
      <c r="H14" s="8">
        <f t="shared" si="1"/>
        <v>44.726959999999998</v>
      </c>
      <c r="I14" s="17">
        <v>44.6402</v>
      </c>
      <c r="J14">
        <f t="shared" si="2"/>
        <v>-0.19397696601780709</v>
      </c>
    </row>
    <row r="15" spans="2:11" x14ac:dyDescent="0.25">
      <c r="B15" s="8">
        <v>135.74</v>
      </c>
      <c r="C15" s="8">
        <v>10.88</v>
      </c>
      <c r="D15">
        <f t="shared" si="0"/>
        <v>45.521920000000009</v>
      </c>
      <c r="G15" s="8">
        <v>135.74</v>
      </c>
      <c r="H15" s="8">
        <f t="shared" si="1"/>
        <v>45.521920000000009</v>
      </c>
      <c r="I15" s="17">
        <v>45.509300000000003</v>
      </c>
      <c r="J15">
        <f t="shared" si="2"/>
        <v>-2.7722907996862615E-2</v>
      </c>
    </row>
    <row r="16" spans="2:11" x14ac:dyDescent="0.25">
      <c r="B16" s="8">
        <v>141.13999999999999</v>
      </c>
      <c r="C16" s="8">
        <v>11.08</v>
      </c>
      <c r="D16">
        <f t="shared" si="0"/>
        <v>46.358720000000005</v>
      </c>
      <c r="G16" s="8">
        <v>141.13999999999999</v>
      </c>
      <c r="H16" s="8">
        <f t="shared" si="1"/>
        <v>46.358720000000005</v>
      </c>
      <c r="I16" s="17">
        <v>46.357999999999997</v>
      </c>
      <c r="J16">
        <f t="shared" si="2"/>
        <v>-1.5531058666163982E-3</v>
      </c>
    </row>
    <row r="17" spans="2:10" x14ac:dyDescent="0.25">
      <c r="B17" s="8">
        <v>146.47999999999999</v>
      </c>
      <c r="C17" s="8">
        <v>11.27</v>
      </c>
      <c r="D17">
        <f t="shared" si="0"/>
        <v>47.153680000000001</v>
      </c>
      <c r="G17" s="8">
        <v>146.47999999999999</v>
      </c>
      <c r="H17" s="8">
        <f t="shared" si="1"/>
        <v>47.153680000000001</v>
      </c>
      <c r="I17" s="17">
        <v>47.203499999999998</v>
      </c>
      <c r="J17">
        <f t="shared" si="2"/>
        <v>0.10565453215951939</v>
      </c>
    </row>
    <row r="18" spans="2:10" x14ac:dyDescent="0.25">
      <c r="B18" s="8">
        <v>151.66999999999999</v>
      </c>
      <c r="C18" s="8">
        <v>11.45</v>
      </c>
      <c r="D18">
        <f t="shared" si="0"/>
        <v>47.906799999999997</v>
      </c>
      <c r="G18" s="8">
        <v>151.66999999999999</v>
      </c>
      <c r="H18" s="8">
        <f t="shared" si="1"/>
        <v>47.906799999999997</v>
      </c>
      <c r="I18" s="17">
        <v>48.032699999999998</v>
      </c>
      <c r="J18">
        <f t="shared" si="2"/>
        <v>0.2628019404343464</v>
      </c>
    </row>
    <row r="19" spans="2:10" x14ac:dyDescent="0.25">
      <c r="B19" s="8">
        <v>156.72</v>
      </c>
      <c r="C19" s="8">
        <v>11.64</v>
      </c>
      <c r="D19">
        <f t="shared" si="0"/>
        <v>48.701760000000007</v>
      </c>
      <c r="G19" s="8">
        <v>156.72</v>
      </c>
      <c r="H19" s="8">
        <f t="shared" si="1"/>
        <v>48.701760000000007</v>
      </c>
      <c r="I19" s="17">
        <v>48.847299999999997</v>
      </c>
      <c r="J19">
        <f t="shared" si="2"/>
        <v>0.29883930272743686</v>
      </c>
    </row>
    <row r="20" spans="2:10" x14ac:dyDescent="0.25">
      <c r="B20" s="8">
        <v>162</v>
      </c>
      <c r="C20" s="8">
        <v>11.84</v>
      </c>
      <c r="D20">
        <f t="shared" si="0"/>
        <v>49.538560000000004</v>
      </c>
      <c r="G20" s="8">
        <v>162</v>
      </c>
      <c r="H20" s="8">
        <f t="shared" si="1"/>
        <v>49.538560000000004</v>
      </c>
      <c r="I20" s="17">
        <v>49.707700000000003</v>
      </c>
      <c r="J20">
        <f t="shared" si="2"/>
        <v>0.34143099839801305</v>
      </c>
    </row>
    <row r="21" spans="2:10" x14ac:dyDescent="0.25">
      <c r="B21" s="8">
        <v>167.62</v>
      </c>
      <c r="C21" s="8">
        <v>12.07</v>
      </c>
      <c r="D21">
        <f t="shared" si="0"/>
        <v>50.500880000000002</v>
      </c>
      <c r="G21" s="8">
        <v>167.62</v>
      </c>
      <c r="H21" s="8">
        <f t="shared" si="1"/>
        <v>50.500880000000002</v>
      </c>
      <c r="I21" s="17">
        <v>50.633800000000001</v>
      </c>
      <c r="J21">
        <f t="shared" si="2"/>
        <v>0.2632033342785286</v>
      </c>
    </row>
    <row r="22" spans="2:10" x14ac:dyDescent="0.25">
      <c r="B22" s="8">
        <v>173.36</v>
      </c>
      <c r="C22" s="8">
        <v>12.32</v>
      </c>
      <c r="D22">
        <f t="shared" si="0"/>
        <v>51.546880000000002</v>
      </c>
      <c r="G22" s="8">
        <v>173.36</v>
      </c>
      <c r="H22" s="8">
        <f t="shared" si="1"/>
        <v>51.546880000000002</v>
      </c>
      <c r="I22" s="17">
        <v>51.590699999999998</v>
      </c>
      <c r="J22">
        <f t="shared" si="2"/>
        <v>8.5009994785322868E-2</v>
      </c>
    </row>
    <row r="23" spans="2:10" x14ac:dyDescent="0.25">
      <c r="B23" s="8">
        <v>179.12</v>
      </c>
      <c r="C23" s="8">
        <v>12.57</v>
      </c>
      <c r="D23">
        <f t="shared" si="0"/>
        <v>52.592880000000001</v>
      </c>
      <c r="G23" s="8">
        <v>179.12</v>
      </c>
      <c r="H23" s="8">
        <f t="shared" si="1"/>
        <v>52.592880000000001</v>
      </c>
      <c r="I23" s="17">
        <v>52.562199999999997</v>
      </c>
      <c r="J23">
        <f t="shared" si="2"/>
        <v>-5.833489247974976E-2</v>
      </c>
    </row>
    <row r="24" spans="2:10" x14ac:dyDescent="0.25">
      <c r="B24" s="8">
        <v>184.58</v>
      </c>
      <c r="C24" s="8">
        <v>12.82</v>
      </c>
      <c r="D24">
        <f t="shared" si="0"/>
        <v>53.63888</v>
      </c>
      <c r="G24" s="8">
        <v>184.58</v>
      </c>
      <c r="H24" s="8">
        <f t="shared" si="1"/>
        <v>53.63888</v>
      </c>
      <c r="I24" s="17">
        <v>53.493299999999998</v>
      </c>
      <c r="J24">
        <f t="shared" si="2"/>
        <v>-0.27140760582622619</v>
      </c>
    </row>
    <row r="25" spans="2:10" x14ac:dyDescent="0.25">
      <c r="B25" s="8">
        <v>189.78</v>
      </c>
      <c r="C25" s="8">
        <v>13.05</v>
      </c>
      <c r="D25">
        <f t="shared" si="0"/>
        <v>54.601200000000006</v>
      </c>
      <c r="G25" s="8">
        <v>189.78</v>
      </c>
      <c r="H25" s="8">
        <f t="shared" si="1"/>
        <v>54.601200000000006</v>
      </c>
      <c r="I25" s="17">
        <v>54.389200000000002</v>
      </c>
      <c r="J25">
        <f t="shared" si="2"/>
        <v>-0.38826985487499044</v>
      </c>
    </row>
    <row r="26" spans="2:10" x14ac:dyDescent="0.25">
      <c r="B26" s="8"/>
      <c r="C26" s="8"/>
      <c r="G26" s="8"/>
      <c r="H26" s="8"/>
      <c r="I26" s="17"/>
    </row>
    <row r="27" spans="2:10" x14ac:dyDescent="0.25">
      <c r="B27" s="21"/>
      <c r="C27" s="21" t="s">
        <v>112</v>
      </c>
      <c r="D27" s="21"/>
      <c r="G27" s="21" t="s">
        <v>117</v>
      </c>
      <c r="H27" s="21"/>
      <c r="I27" s="21"/>
      <c r="J27" s="21"/>
    </row>
    <row r="28" spans="2:10" x14ac:dyDescent="0.25">
      <c r="B28" s="1" t="s">
        <v>1</v>
      </c>
      <c r="C28" s="1" t="s">
        <v>42</v>
      </c>
      <c r="D28" s="1" t="s">
        <v>114</v>
      </c>
      <c r="G28" s="1" t="s">
        <v>1</v>
      </c>
      <c r="H28" s="1" t="s">
        <v>114</v>
      </c>
      <c r="I28" s="1" t="s">
        <v>115</v>
      </c>
      <c r="J28" s="1" t="s">
        <v>63</v>
      </c>
    </row>
    <row r="29" spans="2:10" x14ac:dyDescent="0.25">
      <c r="B29" s="8">
        <v>306.46899999999999</v>
      </c>
      <c r="C29" s="8">
        <v>7.6703000000000001</v>
      </c>
      <c r="D29" s="16">
        <v>64.86</v>
      </c>
      <c r="G29" s="8">
        <v>254.81100000000001</v>
      </c>
      <c r="H29">
        <v>41.27</v>
      </c>
      <c r="I29" s="16">
        <v>41.265099999999997</v>
      </c>
      <c r="J29">
        <f t="shared" ref="J29:J72" si="3">100*(I29-H29)/H29</f>
        <v>-1.1873031257587457E-2</v>
      </c>
    </row>
    <row r="30" spans="2:10" x14ac:dyDescent="0.25">
      <c r="B30" s="8">
        <v>309.46699999999998</v>
      </c>
      <c r="C30" s="8">
        <v>8.0684000000000005</v>
      </c>
      <c r="D30">
        <v>57.63</v>
      </c>
      <c r="G30" s="8">
        <v>271.34899999999999</v>
      </c>
      <c r="H30">
        <v>40.67</v>
      </c>
      <c r="I30" s="16">
        <v>40.859400000000001</v>
      </c>
      <c r="J30">
        <f t="shared" si="3"/>
        <v>0.46569953282517607</v>
      </c>
    </row>
    <row r="31" spans="2:10" x14ac:dyDescent="0.25">
      <c r="B31" s="8">
        <v>312.55500000000001</v>
      </c>
      <c r="C31" s="8">
        <v>8.4763000000000002</v>
      </c>
      <c r="D31">
        <v>54.1</v>
      </c>
      <c r="G31" s="8">
        <v>276.75700000000001</v>
      </c>
      <c r="H31" s="38">
        <v>39.33</v>
      </c>
      <c r="I31" s="16">
        <v>36.364699999999999</v>
      </c>
      <c r="J31">
        <f t="shared" si="3"/>
        <v>-7.5395372489193981</v>
      </c>
    </row>
    <row r="32" spans="2:10" x14ac:dyDescent="0.25">
      <c r="B32" s="8">
        <v>315.68900000000002</v>
      </c>
      <c r="C32" s="8">
        <v>8.8876000000000008</v>
      </c>
      <c r="D32">
        <v>51.54</v>
      </c>
      <c r="G32" s="8">
        <v>280.84699999999998</v>
      </c>
      <c r="H32" s="38">
        <v>38.54</v>
      </c>
      <c r="I32" s="16">
        <v>35.861400000000003</v>
      </c>
      <c r="J32">
        <f t="shared" si="3"/>
        <v>-6.9501816294758578</v>
      </c>
    </row>
    <row r="33" spans="2:10" x14ac:dyDescent="0.25">
      <c r="B33" s="8">
        <v>318.85300000000001</v>
      </c>
      <c r="C33" s="8">
        <v>9.3009000000000004</v>
      </c>
      <c r="D33">
        <v>49.75</v>
      </c>
      <c r="G33" s="8">
        <v>284.92099999999999</v>
      </c>
      <c r="H33" s="38">
        <v>38.229999999999997</v>
      </c>
      <c r="I33" s="16">
        <v>35.46</v>
      </c>
      <c r="J33">
        <f t="shared" si="3"/>
        <v>-7.2456186241171761</v>
      </c>
    </row>
    <row r="34" spans="2:10" x14ac:dyDescent="0.25">
      <c r="B34" s="8">
        <v>322.03899999999999</v>
      </c>
      <c r="C34" s="8">
        <v>9.7146000000000008</v>
      </c>
      <c r="D34">
        <v>48.16</v>
      </c>
      <c r="G34" s="8">
        <v>285.48599999999999</v>
      </c>
      <c r="H34">
        <v>41.34</v>
      </c>
      <c r="I34" s="16">
        <v>41.362499999999997</v>
      </c>
      <c r="J34">
        <f t="shared" si="3"/>
        <v>5.4426705370086467E-2</v>
      </c>
    </row>
    <row r="35" spans="2:10" x14ac:dyDescent="0.25">
      <c r="B35" s="8">
        <v>309.08699999999999</v>
      </c>
      <c r="C35" s="8">
        <v>8.3960000000000008</v>
      </c>
      <c r="D35">
        <v>54.07</v>
      </c>
      <c r="G35" s="8">
        <v>288.98599999999999</v>
      </c>
      <c r="H35" s="38">
        <v>38.06</v>
      </c>
      <c r="I35" s="16">
        <v>35.136000000000003</v>
      </c>
      <c r="J35">
        <f t="shared" si="3"/>
        <v>-7.6826064109301093</v>
      </c>
    </row>
    <row r="36" spans="2:10" x14ac:dyDescent="0.25">
      <c r="B36" s="8">
        <v>312.05500000000001</v>
      </c>
      <c r="C36" s="8">
        <v>9.0101999999999993</v>
      </c>
      <c r="D36">
        <v>51.35</v>
      </c>
      <c r="G36" s="8">
        <v>293.04399999999998</v>
      </c>
      <c r="H36" s="38">
        <v>37.799999999999997</v>
      </c>
      <c r="I36" s="16">
        <v>34.872900000000001</v>
      </c>
      <c r="J36">
        <f t="shared" si="3"/>
        <v>-7.743650793650783</v>
      </c>
    </row>
    <row r="37" spans="2:10" x14ac:dyDescent="0.25">
      <c r="B37" s="8">
        <v>304.75400000000002</v>
      </c>
      <c r="C37" s="8">
        <v>7.5072000000000001</v>
      </c>
      <c r="D37">
        <v>66.09</v>
      </c>
      <c r="G37" s="8">
        <v>295.447</v>
      </c>
      <c r="H37">
        <v>43.14</v>
      </c>
      <c r="I37" s="16">
        <v>43.195999999999998</v>
      </c>
      <c r="J37">
        <f t="shared" si="3"/>
        <v>0.12980992118682749</v>
      </c>
    </row>
    <row r="38" spans="2:10" x14ac:dyDescent="0.25">
      <c r="B38" s="8">
        <v>305.90800000000002</v>
      </c>
      <c r="C38" s="8">
        <v>7.7431999999999999</v>
      </c>
      <c r="D38">
        <v>59.59</v>
      </c>
      <c r="G38" s="8">
        <v>297.00400000000002</v>
      </c>
      <c r="H38" s="38">
        <v>46.27</v>
      </c>
      <c r="I38" s="16">
        <v>43.606400000000001</v>
      </c>
      <c r="J38">
        <f t="shared" si="3"/>
        <v>-5.7566457748000914</v>
      </c>
    </row>
    <row r="39" spans="2:10" x14ac:dyDescent="0.25">
      <c r="B39" s="8">
        <v>307.08800000000002</v>
      </c>
      <c r="C39" s="8">
        <v>7.9850000000000003</v>
      </c>
      <c r="D39" s="37" t="s">
        <v>116</v>
      </c>
      <c r="G39" s="8">
        <v>297.45100000000002</v>
      </c>
      <c r="H39" s="38">
        <v>37.450000000000003</v>
      </c>
      <c r="I39" s="16">
        <v>34.644100000000002</v>
      </c>
      <c r="J39">
        <f t="shared" si="3"/>
        <v>-7.4923898531375199</v>
      </c>
    </row>
    <row r="40" spans="2:10" x14ac:dyDescent="0.25">
      <c r="B40" s="8">
        <v>308.28800000000001</v>
      </c>
      <c r="C40" s="8">
        <v>8.2315000000000005</v>
      </c>
      <c r="D40">
        <v>55.18</v>
      </c>
      <c r="G40" s="8">
        <v>297.94200000000001</v>
      </c>
      <c r="H40">
        <v>42.79</v>
      </c>
      <c r="I40" s="16">
        <v>42.780200000000001</v>
      </c>
      <c r="J40">
        <f t="shared" si="3"/>
        <v>-2.2902547324137594E-2</v>
      </c>
    </row>
    <row r="41" spans="2:10" x14ac:dyDescent="0.25">
      <c r="B41" s="8">
        <v>306.12799999999999</v>
      </c>
      <c r="C41" s="8">
        <v>8.0213999999999999</v>
      </c>
      <c r="D41">
        <v>50.43</v>
      </c>
      <c r="G41" s="8">
        <v>300.44299999999998</v>
      </c>
      <c r="H41">
        <v>42.48</v>
      </c>
      <c r="I41" s="16">
        <v>42.453800000000001</v>
      </c>
      <c r="J41">
        <f t="shared" si="3"/>
        <v>-6.1676082862513616E-2</v>
      </c>
    </row>
    <row r="42" spans="2:10" x14ac:dyDescent="0.25">
      <c r="B42" s="8">
        <v>308.661</v>
      </c>
      <c r="C42" s="8">
        <v>8.6768999999999998</v>
      </c>
      <c r="D42">
        <v>48.66</v>
      </c>
      <c r="G42" s="8">
        <v>302.02600000000001</v>
      </c>
      <c r="H42">
        <v>45.81</v>
      </c>
      <c r="I42" s="16">
        <v>46.014499999999998</v>
      </c>
      <c r="J42">
        <f t="shared" si="3"/>
        <v>0.4464090809866752</v>
      </c>
    </row>
    <row r="43" spans="2:10" x14ac:dyDescent="0.25">
      <c r="B43" s="8">
        <v>311.21899999999999</v>
      </c>
      <c r="C43" s="8">
        <v>9.3440999999999992</v>
      </c>
      <c r="D43">
        <v>47.27</v>
      </c>
      <c r="G43" s="8">
        <v>304.49400000000003</v>
      </c>
      <c r="H43" s="38">
        <v>43.58</v>
      </c>
      <c r="I43" s="16">
        <v>41.377400000000002</v>
      </c>
      <c r="J43">
        <f t="shared" si="3"/>
        <v>-5.0541532813216996</v>
      </c>
    </row>
    <row r="44" spans="2:10" x14ac:dyDescent="0.25">
      <c r="B44" s="8">
        <v>306.11</v>
      </c>
      <c r="C44" s="17">
        <v>8.0167000000000002</v>
      </c>
      <c r="D44">
        <v>50.63</v>
      </c>
      <c r="G44" s="8">
        <v>304.50700000000001</v>
      </c>
      <c r="H44">
        <v>44.83</v>
      </c>
      <c r="I44" s="16">
        <v>45.561500000000002</v>
      </c>
      <c r="J44">
        <f t="shared" si="3"/>
        <v>1.6317198304706759</v>
      </c>
    </row>
    <row r="45" spans="2:10" x14ac:dyDescent="0.25">
      <c r="B45" s="8">
        <v>302.02600000000001</v>
      </c>
      <c r="C45" s="8">
        <v>7.7588999999999997</v>
      </c>
      <c r="D45">
        <v>45.81</v>
      </c>
      <c r="G45" s="8">
        <v>304.75400000000002</v>
      </c>
      <c r="H45">
        <v>66.09</v>
      </c>
      <c r="I45" s="16">
        <v>57.471600000000002</v>
      </c>
      <c r="J45">
        <f t="shared" si="3"/>
        <v>-13.040399455288245</v>
      </c>
    </row>
    <row r="46" spans="2:10" x14ac:dyDescent="0.25">
      <c r="B46" s="8">
        <v>304.50700000000001</v>
      </c>
      <c r="C46" s="17">
        <v>8.6257000000000001</v>
      </c>
      <c r="D46">
        <v>44.83</v>
      </c>
      <c r="G46" s="8">
        <v>305.36599999999999</v>
      </c>
      <c r="H46" s="38">
        <v>53.03</v>
      </c>
      <c r="I46" s="16">
        <v>49.104900000000001</v>
      </c>
      <c r="J46">
        <f t="shared" si="3"/>
        <v>-7.4016594380539322</v>
      </c>
    </row>
    <row r="47" spans="2:10" x14ac:dyDescent="0.25">
      <c r="B47" s="8">
        <v>295.447</v>
      </c>
      <c r="C47" s="8">
        <v>7.4217000000000004</v>
      </c>
      <c r="D47">
        <v>43.14</v>
      </c>
      <c r="G47" s="8">
        <v>305.90800000000002</v>
      </c>
      <c r="H47">
        <v>59.59</v>
      </c>
      <c r="I47" s="16">
        <v>52.6252</v>
      </c>
      <c r="J47">
        <f t="shared" si="3"/>
        <v>-11.687867091793931</v>
      </c>
    </row>
    <row r="48" spans="2:10" x14ac:dyDescent="0.25">
      <c r="B48" s="8">
        <v>297.94200000000001</v>
      </c>
      <c r="C48" s="8">
        <v>8.5732999999999997</v>
      </c>
      <c r="D48">
        <v>42.79</v>
      </c>
      <c r="G48" s="8">
        <v>306.11</v>
      </c>
      <c r="H48">
        <v>50.63</v>
      </c>
      <c r="I48" s="16">
        <v>49.42</v>
      </c>
      <c r="J48">
        <f t="shared" si="3"/>
        <v>-2.3898874185265671</v>
      </c>
    </row>
    <row r="49" spans="2:10" x14ac:dyDescent="0.25">
      <c r="B49" s="8">
        <v>300.44299999999998</v>
      </c>
      <c r="C49" s="8">
        <v>9.7347000000000001</v>
      </c>
      <c r="D49">
        <v>42.48</v>
      </c>
      <c r="G49" s="8">
        <v>306.12799999999999</v>
      </c>
      <c r="H49">
        <v>50.43</v>
      </c>
      <c r="I49" s="16">
        <v>49.418399999999998</v>
      </c>
      <c r="J49">
        <f t="shared" si="3"/>
        <v>-2.0059488399762073</v>
      </c>
    </row>
    <row r="50" spans="2:10" x14ac:dyDescent="0.25">
      <c r="B50" s="8">
        <v>285.48599999999999</v>
      </c>
      <c r="C50" s="8">
        <v>7.5247999999999999</v>
      </c>
      <c r="D50">
        <v>41.34</v>
      </c>
      <c r="G50" s="8">
        <v>306.46899999999999</v>
      </c>
      <c r="H50" s="16">
        <v>64.86</v>
      </c>
      <c r="I50" s="16">
        <v>56.358499999999999</v>
      </c>
      <c r="J50">
        <f t="shared" si="3"/>
        <v>-13.107462226333642</v>
      </c>
    </row>
    <row r="51" spans="2:10" x14ac:dyDescent="0.25">
      <c r="B51" s="8">
        <v>271.34899999999999</v>
      </c>
      <c r="C51" s="8">
        <v>8.3899000000000008</v>
      </c>
      <c r="D51">
        <v>40.67</v>
      </c>
      <c r="G51" s="8">
        <v>307.08800000000002</v>
      </c>
      <c r="H51" s="37">
        <v>56.81</v>
      </c>
      <c r="I51" s="16">
        <v>51.5458</v>
      </c>
      <c r="J51" s="16">
        <f t="shared" si="3"/>
        <v>-9.2663263509945484</v>
      </c>
    </row>
    <row r="52" spans="2:10" x14ac:dyDescent="0.25">
      <c r="B52" s="8">
        <v>254.81100000000001</v>
      </c>
      <c r="C52" s="8">
        <v>9.1333000000000002</v>
      </c>
      <c r="D52">
        <v>41.27</v>
      </c>
      <c r="G52" s="17">
        <v>308.24700000000001</v>
      </c>
      <c r="H52" s="38">
        <v>42.64</v>
      </c>
      <c r="I52" s="16">
        <v>40.637599999999999</v>
      </c>
      <c r="J52">
        <f t="shared" si="3"/>
        <v>-4.6960600375234556</v>
      </c>
    </row>
    <row r="53" spans="2:10" x14ac:dyDescent="0.25">
      <c r="B53" s="8">
        <v>276.75700000000001</v>
      </c>
      <c r="C53" s="8">
        <v>3.3643999999999998</v>
      </c>
      <c r="D53" s="38">
        <v>39.33</v>
      </c>
      <c r="G53" s="8">
        <v>308.28800000000001</v>
      </c>
      <c r="H53">
        <v>55.18</v>
      </c>
      <c r="I53" s="16">
        <v>51.749400000000001</v>
      </c>
      <c r="J53">
        <f t="shared" si="3"/>
        <v>-6.2171076476984384</v>
      </c>
    </row>
    <row r="54" spans="2:10" x14ac:dyDescent="0.25">
      <c r="B54" s="8">
        <v>280.84699999999998</v>
      </c>
      <c r="C54" s="8">
        <v>3.4582999999999999</v>
      </c>
      <c r="D54" s="38">
        <v>38.54</v>
      </c>
      <c r="G54" s="8">
        <v>308.661</v>
      </c>
      <c r="H54">
        <v>48.66</v>
      </c>
      <c r="I54" s="16">
        <v>49.504600000000003</v>
      </c>
      <c r="J54">
        <f t="shared" si="3"/>
        <v>1.7357172215372112</v>
      </c>
    </row>
    <row r="55" spans="2:10" x14ac:dyDescent="0.25">
      <c r="B55" s="8">
        <v>284.92099999999999</v>
      </c>
      <c r="C55" s="8">
        <v>3.5507</v>
      </c>
      <c r="D55" s="38">
        <v>38.229999999999997</v>
      </c>
      <c r="G55" s="17">
        <v>308.74200000000002</v>
      </c>
      <c r="H55" s="38">
        <v>50.69</v>
      </c>
      <c r="I55" s="16">
        <v>47.3979</v>
      </c>
      <c r="J55">
        <f t="shared" si="3"/>
        <v>-6.4945748668376373</v>
      </c>
    </row>
    <row r="56" spans="2:10" x14ac:dyDescent="0.25">
      <c r="B56" s="8">
        <v>288.98599999999999</v>
      </c>
      <c r="C56" s="8">
        <v>3.6419000000000001</v>
      </c>
      <c r="D56" s="38">
        <v>38.06</v>
      </c>
      <c r="G56" s="8">
        <v>309.08699999999999</v>
      </c>
      <c r="H56">
        <v>54.07</v>
      </c>
      <c r="I56" s="16">
        <v>52.077599999999997</v>
      </c>
      <c r="J56">
        <f t="shared" si="3"/>
        <v>-3.6848529683743361</v>
      </c>
    </row>
    <row r="57" spans="2:10" x14ac:dyDescent="0.25">
      <c r="B57" s="8">
        <v>293.04399999999998</v>
      </c>
      <c r="C57" s="8">
        <v>3.7320000000000002</v>
      </c>
      <c r="D57" s="38">
        <v>37.799999999999997</v>
      </c>
      <c r="G57" s="8">
        <v>309.46699999999998</v>
      </c>
      <c r="H57">
        <v>57.63</v>
      </c>
      <c r="I57" s="16">
        <v>53.800899999999999</v>
      </c>
      <c r="J57">
        <f t="shared" si="3"/>
        <v>-6.6442824917577719</v>
      </c>
    </row>
    <row r="58" spans="2:10" x14ac:dyDescent="0.25">
      <c r="B58" s="8">
        <v>297.45100000000002</v>
      </c>
      <c r="C58" s="8">
        <v>3.8289</v>
      </c>
      <c r="D58" s="38">
        <v>37.450000000000003</v>
      </c>
      <c r="G58" s="8">
        <v>311.21899999999999</v>
      </c>
      <c r="H58">
        <v>47.27</v>
      </c>
      <c r="I58" s="16">
        <v>49.400599999999997</v>
      </c>
      <c r="J58">
        <f t="shared" si="3"/>
        <v>4.5072984979902557</v>
      </c>
    </row>
    <row r="59" spans="2:10" x14ac:dyDescent="0.25">
      <c r="B59" s="17">
        <v>313.63</v>
      </c>
      <c r="C59" s="8">
        <v>4.1765999999999996</v>
      </c>
      <c r="D59" s="38">
        <v>36.380000000000003</v>
      </c>
      <c r="G59" s="8">
        <v>312.00799999999998</v>
      </c>
      <c r="H59" s="38">
        <v>42.01</v>
      </c>
      <c r="I59" s="16">
        <v>40.0473</v>
      </c>
      <c r="J59">
        <f t="shared" si="3"/>
        <v>-4.6719828612235137</v>
      </c>
    </row>
    <row r="60" spans="2:10" x14ac:dyDescent="0.25">
      <c r="B60" s="8">
        <v>317.86500000000001</v>
      </c>
      <c r="C60" s="8">
        <v>4.2657999999999996</v>
      </c>
      <c r="D60" s="38">
        <v>35.979999999999997</v>
      </c>
      <c r="G60" s="8">
        <v>312.05500000000001</v>
      </c>
      <c r="H60">
        <v>51.35</v>
      </c>
      <c r="I60" s="16">
        <v>52.927</v>
      </c>
      <c r="J60">
        <f t="shared" si="3"/>
        <v>3.0710808179162572</v>
      </c>
    </row>
    <row r="61" spans="2:10" x14ac:dyDescent="0.25">
      <c r="B61" s="8">
        <v>321.92200000000003</v>
      </c>
      <c r="C61" s="8">
        <v>4.3507999999999996</v>
      </c>
      <c r="D61" s="38">
        <v>35.409999999999997</v>
      </c>
      <c r="G61" s="17">
        <v>312.12900000000002</v>
      </c>
      <c r="H61" s="38">
        <v>48.78</v>
      </c>
      <c r="I61" s="16">
        <v>46.144199999999998</v>
      </c>
      <c r="J61">
        <f t="shared" si="3"/>
        <v>-5.4034440344403514</v>
      </c>
    </row>
    <row r="62" spans="2:10" x14ac:dyDescent="0.25">
      <c r="B62" s="8">
        <v>305.36599999999999</v>
      </c>
      <c r="C62" s="8">
        <v>7.1965000000000003</v>
      </c>
      <c r="D62" s="38">
        <v>53.03</v>
      </c>
      <c r="G62" s="8">
        <v>312.55500000000001</v>
      </c>
      <c r="H62">
        <v>54.1</v>
      </c>
      <c r="I62" s="16">
        <v>52.3446</v>
      </c>
      <c r="J62">
        <f t="shared" si="3"/>
        <v>-3.2447319778188568</v>
      </c>
    </row>
    <row r="63" spans="2:10" x14ac:dyDescent="0.25">
      <c r="B63" s="17">
        <v>308.74200000000002</v>
      </c>
      <c r="C63" s="8">
        <v>7.4976000000000003</v>
      </c>
      <c r="D63" s="38">
        <v>50.69</v>
      </c>
      <c r="G63" s="17">
        <v>313.63</v>
      </c>
      <c r="H63" s="38">
        <v>36.380000000000003</v>
      </c>
      <c r="I63" s="16">
        <v>34.183</v>
      </c>
      <c r="J63">
        <f t="shared" si="3"/>
        <v>-6.0390324354040752</v>
      </c>
    </row>
    <row r="64" spans="2:10" x14ac:dyDescent="0.25">
      <c r="B64" s="17">
        <v>312.12900000000002</v>
      </c>
      <c r="C64" s="8">
        <v>7.7964000000000002</v>
      </c>
      <c r="D64" s="38">
        <v>48.78</v>
      </c>
      <c r="G64" s="8">
        <v>315.553</v>
      </c>
      <c r="H64" s="38">
        <v>47.3</v>
      </c>
      <c r="I64" s="16">
        <v>45.155200000000001</v>
      </c>
      <c r="J64">
        <f t="shared" si="3"/>
        <v>-4.5344608879492529</v>
      </c>
    </row>
    <row r="65" spans="2:10" x14ac:dyDescent="0.25">
      <c r="B65" s="8">
        <v>315.553</v>
      </c>
      <c r="C65" s="8">
        <v>8.0952999999999999</v>
      </c>
      <c r="D65" s="38">
        <v>47.3</v>
      </c>
      <c r="G65" s="8">
        <v>315.68900000000002</v>
      </c>
      <c r="H65">
        <v>51.54</v>
      </c>
      <c r="I65" s="16">
        <v>51.229399999999998</v>
      </c>
      <c r="J65">
        <f t="shared" si="3"/>
        <v>-0.60263872720217482</v>
      </c>
    </row>
    <row r="66" spans="2:10" x14ac:dyDescent="0.25">
      <c r="B66" s="8">
        <v>319.077</v>
      </c>
      <c r="C66" s="8">
        <v>8.4</v>
      </c>
      <c r="D66" s="38">
        <v>45.59</v>
      </c>
      <c r="G66" s="8">
        <v>317.86500000000001</v>
      </c>
      <c r="H66" s="38">
        <v>35.979999999999997</v>
      </c>
      <c r="I66" s="16">
        <v>34.129100000000001</v>
      </c>
      <c r="J66">
        <f t="shared" si="3"/>
        <v>-5.1442468037798665</v>
      </c>
    </row>
    <row r="67" spans="2:10" x14ac:dyDescent="0.25">
      <c r="B67" s="8">
        <v>322.56200000000001</v>
      </c>
      <c r="C67" s="8">
        <v>8.6982999999999997</v>
      </c>
      <c r="D67" s="38">
        <v>44.82</v>
      </c>
      <c r="G67" s="8">
        <v>318.85300000000001</v>
      </c>
      <c r="H67">
        <v>49.75</v>
      </c>
      <c r="I67" s="16">
        <v>50.323500000000003</v>
      </c>
      <c r="J67">
        <f t="shared" si="3"/>
        <v>1.152763819095483</v>
      </c>
    </row>
    <row r="68" spans="2:10" x14ac:dyDescent="0.25">
      <c r="B68" s="8">
        <v>297.00400000000002</v>
      </c>
      <c r="C68" s="8">
        <v>5.8319999999999999</v>
      </c>
      <c r="D68" s="38">
        <v>46.27</v>
      </c>
      <c r="G68" s="8">
        <v>319.077</v>
      </c>
      <c r="H68" s="38">
        <v>45.59</v>
      </c>
      <c r="I68" s="16">
        <v>44.303400000000003</v>
      </c>
      <c r="J68">
        <f t="shared" si="3"/>
        <v>-2.8221101118666372</v>
      </c>
    </row>
    <row r="69" spans="2:10" x14ac:dyDescent="0.25">
      <c r="B69" s="8">
        <v>304.49400000000003</v>
      </c>
      <c r="C69" s="8">
        <v>6.2398999999999996</v>
      </c>
      <c r="D69" s="38">
        <v>43.58</v>
      </c>
      <c r="G69" s="17">
        <v>319.53100000000001</v>
      </c>
      <c r="H69" s="38">
        <v>40.659999999999997</v>
      </c>
      <c r="I69" s="16">
        <v>39.1372</v>
      </c>
      <c r="J69">
        <f t="shared" si="3"/>
        <v>-3.7452041318248814</v>
      </c>
    </row>
    <row r="70" spans="2:10" x14ac:dyDescent="0.25">
      <c r="B70" s="17">
        <v>308.24700000000001</v>
      </c>
      <c r="C70" s="8">
        <v>6.4431000000000003</v>
      </c>
      <c r="D70" s="38">
        <v>42.64</v>
      </c>
      <c r="G70" s="8">
        <v>321.92200000000003</v>
      </c>
      <c r="H70" s="38">
        <v>35.409999999999997</v>
      </c>
      <c r="I70" s="16">
        <v>34.093499999999999</v>
      </c>
      <c r="J70">
        <f t="shared" si="3"/>
        <v>-3.7178763061282063</v>
      </c>
    </row>
    <row r="71" spans="2:10" x14ac:dyDescent="0.25">
      <c r="B71" s="8">
        <v>312.00799999999998</v>
      </c>
      <c r="C71" s="8">
        <v>6.6440999999999999</v>
      </c>
      <c r="D71" s="38">
        <v>42.01</v>
      </c>
      <c r="G71" s="8">
        <v>322.03899999999999</v>
      </c>
      <c r="H71">
        <v>48.16</v>
      </c>
      <c r="I71" s="16">
        <v>49.4771</v>
      </c>
      <c r="J71">
        <f t="shared" si="3"/>
        <v>2.7348421926910373</v>
      </c>
    </row>
    <row r="72" spans="2:10" x14ac:dyDescent="0.25">
      <c r="B72" s="17">
        <v>319.53100000000001</v>
      </c>
      <c r="C72" s="8">
        <v>7.0395000000000003</v>
      </c>
      <c r="D72" s="38">
        <v>40.659999999999997</v>
      </c>
      <c r="G72" s="8">
        <v>322.56200000000001</v>
      </c>
      <c r="H72" s="38">
        <v>44.82</v>
      </c>
      <c r="I72" s="16">
        <v>43.540999999999997</v>
      </c>
      <c r="J72">
        <f t="shared" si="3"/>
        <v>-2.8536367692994276</v>
      </c>
    </row>
  </sheetData>
  <sortState ref="G29:J72">
    <sortCondition ref="G29"/>
  </sortState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6"/>
  <dimension ref="B1:AG74"/>
  <sheetViews>
    <sheetView workbookViewId="0">
      <selection activeCell="H19" sqref="H19"/>
    </sheetView>
  </sheetViews>
  <sheetFormatPr defaultRowHeight="15" x14ac:dyDescent="0.25"/>
  <cols>
    <col min="2" max="2" width="7.85546875" customWidth="1"/>
    <col min="3" max="3" width="11.7109375" customWidth="1"/>
    <col min="4" max="4" width="17.7109375" customWidth="1"/>
    <col min="5" max="5" width="12.42578125" customWidth="1"/>
    <col min="6" max="6" width="7.28515625" customWidth="1"/>
    <col min="7" max="7" width="8.140625" customWidth="1"/>
    <col min="8" max="8" width="9.42578125" customWidth="1"/>
    <col min="9" max="9" width="13.28515625" customWidth="1"/>
    <col min="10" max="10" width="7.42578125" customWidth="1"/>
    <col min="11" max="11" width="8.85546875" customWidth="1"/>
    <col min="12" max="12" width="11.28515625" customWidth="1"/>
    <col min="13" max="13" width="13.42578125" customWidth="1"/>
    <col min="14" max="14" width="9" customWidth="1"/>
    <col min="15" max="15" width="11.42578125" customWidth="1"/>
    <col min="16" max="16" width="13.28515625" customWidth="1"/>
    <col min="17" max="17" width="8.85546875" customWidth="1"/>
    <col min="18" max="18" width="9.5703125" customWidth="1"/>
    <col min="19" max="19" width="12.85546875" customWidth="1"/>
    <col min="20" max="21" width="9" customWidth="1"/>
    <col min="22" max="22" width="14.28515625" customWidth="1"/>
    <col min="23" max="24" width="8.85546875" customWidth="1"/>
    <col min="25" max="25" width="13.28515625" customWidth="1"/>
    <col min="26" max="27" width="8.85546875" customWidth="1"/>
    <col min="28" max="28" width="11.85546875" customWidth="1"/>
    <col min="31" max="31" width="13" customWidth="1"/>
  </cols>
  <sheetData>
    <row r="1" spans="2:33" ht="15.75" thickBot="1" x14ac:dyDescent="0.3"/>
    <row r="2" spans="2:33" ht="15.75" thickBot="1" x14ac:dyDescent="0.3">
      <c r="B2" s="133" t="s">
        <v>120</v>
      </c>
      <c r="C2" s="122"/>
      <c r="D2" s="122"/>
      <c r="E2" s="123"/>
      <c r="I2" t="s">
        <v>190</v>
      </c>
      <c r="K2" s="21" t="s">
        <v>118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2:33" ht="27" customHeight="1" thickBot="1" x14ac:dyDescent="0.3">
      <c r="B3" s="134" t="s">
        <v>1</v>
      </c>
      <c r="C3" s="153" t="s">
        <v>135</v>
      </c>
      <c r="D3" s="153" t="s">
        <v>139</v>
      </c>
      <c r="E3" s="154" t="s">
        <v>156</v>
      </c>
      <c r="G3" s="1" t="s">
        <v>121</v>
      </c>
      <c r="H3" s="1" t="s">
        <v>122</v>
      </c>
      <c r="I3" s="1" t="s">
        <v>123</v>
      </c>
      <c r="K3" s="46" t="s">
        <v>1</v>
      </c>
      <c r="L3" s="46" t="s">
        <v>135</v>
      </c>
      <c r="M3" s="46" t="s">
        <v>136</v>
      </c>
      <c r="N3" s="46" t="s">
        <v>128</v>
      </c>
      <c r="O3" s="46" t="s">
        <v>143</v>
      </c>
      <c r="P3" s="46" t="s">
        <v>134</v>
      </c>
      <c r="Q3" s="46" t="s">
        <v>124</v>
      </c>
      <c r="R3" s="46" t="s">
        <v>146</v>
      </c>
      <c r="S3" s="46" t="s">
        <v>133</v>
      </c>
      <c r="T3" s="46" t="s">
        <v>126</v>
      </c>
      <c r="U3" s="46" t="s">
        <v>147</v>
      </c>
      <c r="V3" s="46" t="s">
        <v>131</v>
      </c>
      <c r="W3" s="46" t="s">
        <v>127</v>
      </c>
      <c r="X3" s="46" t="s">
        <v>148</v>
      </c>
      <c r="Y3" s="47" t="s">
        <v>152</v>
      </c>
      <c r="Z3" s="46" t="s">
        <v>129</v>
      </c>
      <c r="AA3" s="46" t="s">
        <v>149</v>
      </c>
      <c r="AB3" s="46" t="s">
        <v>132</v>
      </c>
      <c r="AC3" s="46" t="s">
        <v>130</v>
      </c>
      <c r="AD3" s="46" t="s">
        <v>150</v>
      </c>
      <c r="AE3" s="46" t="s">
        <v>153</v>
      </c>
      <c r="AF3" s="46" t="s">
        <v>154</v>
      </c>
      <c r="AG3" s="46" t="s">
        <v>155</v>
      </c>
    </row>
    <row r="4" spans="2:33" x14ac:dyDescent="0.25">
      <c r="B4" s="135">
        <v>243.15</v>
      </c>
      <c r="C4" s="136">
        <v>10.8</v>
      </c>
      <c r="D4" s="136" t="s">
        <v>140</v>
      </c>
      <c r="E4" s="137" t="s">
        <v>158</v>
      </c>
      <c r="G4" s="8">
        <v>0.27400000000000002</v>
      </c>
      <c r="H4">
        <v>304.12819999999999</v>
      </c>
      <c r="I4">
        <v>73.772999999999996</v>
      </c>
      <c r="K4">
        <v>216.55</v>
      </c>
      <c r="L4">
        <v>16.899999999999999</v>
      </c>
      <c r="M4">
        <v>16.504401770000001</v>
      </c>
      <c r="N4">
        <f>100*(M4-L4)/L4</f>
        <v>-2.3408179289940674</v>
      </c>
      <c r="O4">
        <f t="shared" ref="O4:O36" si="0">ABS(N4)</f>
        <v>2.3408179289940674</v>
      </c>
      <c r="P4">
        <f>(-0.951 +0.432/0.274)*((1-K4/H4)^(11/9))*(H4*I4^2)^(1/3)</f>
        <v>16.161034667525904</v>
      </c>
      <c r="Q4">
        <f t="shared" ref="Q4:Q36" si="1">100*(P4-L4)/L4</f>
        <v>-4.3725759317993775</v>
      </c>
      <c r="R4">
        <f t="shared" ref="R4:R36" si="2">ABS(Q4)</f>
        <v>4.3725759317993775</v>
      </c>
      <c r="S4">
        <f>((1.86 +1.18*G7)/19.05)*(((3.75+0.91*G7)/(0.291-0.08*G7))^(2/3))*((1-K4/H4)^(11/9))*(H4*I4^2)^(1/3)</f>
        <v>17.126952275142052</v>
      </c>
      <c r="T4">
        <f t="shared" ref="T4:T36" si="3">100*(S4-L4)/L4</f>
        <v>1.3429128706630407</v>
      </c>
      <c r="U4">
        <f t="shared" ref="U4:U36" si="4">ABS(T4)</f>
        <v>1.3429128706630407</v>
      </c>
      <c r="V4">
        <f>1000*(1.380649*10^(-23))*H4*(((6.02214076*10^23)/0.00009411891)^(2/3))*((4.35+4.14*G7)*(1-K4/H4)^(1.26))*(1+0.19*((1-K4/H4)^(0.5))-0.25*(1-K4/H4))</f>
        <v>16.401021819562498</v>
      </c>
      <c r="W4">
        <f t="shared" ref="W4:W36" si="5">100*(V4-L4)/L4</f>
        <v>-2.9525336120562171</v>
      </c>
      <c r="X4">
        <f t="shared" ref="X4:X36" si="6">ABS(W4)</f>
        <v>2.9525336120562171</v>
      </c>
      <c r="Y4">
        <f>((H4*I4^2)^(1/3))*(0.1574+0.359*G7-0.51*G7^2)*((1-K4/H4)/0.4)^(1.21+0.5385*G7-1.656*G7^2)</f>
        <v>16.672324723267693</v>
      </c>
      <c r="Z4">
        <f t="shared" ref="Z4:Z36" si="7">100*(Y4-L4)/L4</f>
        <v>-1.3471909865816927</v>
      </c>
      <c r="AA4">
        <f t="shared" ref="AA4:AA36" si="8">ABS(Z4)</f>
        <v>1.3471909865816927</v>
      </c>
      <c r="AB4">
        <f>((H4*I4^2)^(1/3))*(EXP(LN(1+(40.52*(1-K4/H4)^1.287)/((190.56*45.99^2)^(1/3)))+(LN(1+(52.095*(1-K4/H4)^1.21548)/((568.7*24.9^2)^(1/3)))-LN(1+(40.52*(1-K4/H4)^1.287)/((190.56*45.99^2)^(1/3))))*(G7-G10)/(H10-G10))-1)</f>
        <v>16.448179501536394</v>
      </c>
      <c r="AC4">
        <f t="shared" ref="AC4:AC36" si="9">100*(AB4-L4)/L4</f>
        <v>-2.6734940737491382</v>
      </c>
      <c r="AD4">
        <f t="shared" ref="AD4:AD36" si="10">ABS(AC4)</f>
        <v>2.6734940737491382</v>
      </c>
      <c r="AE4">
        <f>0.05902*(H4-K4)^1.25</f>
        <v>15.812270083185473</v>
      </c>
      <c r="AF4">
        <f t="shared" ref="AF4:AF36" si="11">100*(AE4-L4)/L4</f>
        <v>-6.4362716971273732</v>
      </c>
      <c r="AG4">
        <f t="shared" ref="AG4:AG36" si="12">ABS(AF4)</f>
        <v>6.4362716971273732</v>
      </c>
    </row>
    <row r="5" spans="2:33" x14ac:dyDescent="0.25">
      <c r="B5" s="138">
        <v>253.15</v>
      </c>
      <c r="C5" s="55">
        <v>8.06</v>
      </c>
      <c r="D5" s="55" t="s">
        <v>159</v>
      </c>
      <c r="E5" s="139"/>
      <c r="K5">
        <v>220</v>
      </c>
      <c r="L5">
        <v>16.07</v>
      </c>
      <c r="M5">
        <v>15.693215800000001</v>
      </c>
      <c r="N5">
        <f t="shared" ref="N5:N36" si="13">100*(M5-L5)/L5</f>
        <v>-2.344643434971994</v>
      </c>
      <c r="O5">
        <f t="shared" si="0"/>
        <v>2.344643434971994</v>
      </c>
      <c r="P5">
        <f>(-0.951 +0.432/G4)*((1-K5/H4)^(11/9))*(H4*I4^2)^(1/3)</f>
        <v>15.386363358376434</v>
      </c>
      <c r="Q5">
        <f t="shared" si="1"/>
        <v>-4.2541172471908313</v>
      </c>
      <c r="R5">
        <f t="shared" si="2"/>
        <v>4.2541172471908313</v>
      </c>
      <c r="S5">
        <f>((1.86 +1.18*G7)/19.05)*(((3.75+0.91*G7)/(0.291-0.08*G7))^(2/3))*((1-K5/H4)^(11/9))*(H4*I4^2)^(1/3)</f>
        <v>16.30598017690226</v>
      </c>
      <c r="T5">
        <f t="shared" si="3"/>
        <v>1.4684516297589272</v>
      </c>
      <c r="U5">
        <f t="shared" si="4"/>
        <v>1.4684516297589272</v>
      </c>
      <c r="V5">
        <f>1000*(1.380649*10^(-23))*H4*(((6.02214076*10^23)/0.00009411891)^(2/3))*((4.35+4.14*G7)*(1-K5/H4)^(1.26))*(1+0.19*((1-K5/H4)^(0.5))-0.25*(1-K5/H4))</f>
        <v>15.603381193262175</v>
      </c>
      <c r="W5">
        <f t="shared" si="5"/>
        <v>-2.9036640120586523</v>
      </c>
      <c r="X5">
        <f t="shared" si="6"/>
        <v>2.9036640120586523</v>
      </c>
      <c r="Y5">
        <f>((H4*I4^2)^(1/3))*(0.1574+0.359*G7-0.51*G7^2)*((1-K5/H4)/0.4)^(1.21+0.5385*G7-1.656*G7^2)</f>
        <v>15.857137235873536</v>
      </c>
      <c r="Z5">
        <f t="shared" si="7"/>
        <v>-1.324597163201398</v>
      </c>
      <c r="AA5">
        <f t="shared" si="8"/>
        <v>1.324597163201398</v>
      </c>
      <c r="AB5">
        <f>((H4*I4^2)^(1/3))*(EXP(LN(1+(40.52*(1-K5/H4)^1.287)/((190.56*45.99^2)^(1/3)))+(LN(1+(52.095*(1-K5/H4)^1.21548)/((568.7*24.9^2)^(1/3)))-LN(1+(40.52*(1-K5/H4)^1.287)/((190.56*45.99^2)^(1/3))))*(G7-G10)/(H10-G10))-1)</f>
        <v>15.649118369769413</v>
      </c>
      <c r="AC5">
        <f t="shared" si="9"/>
        <v>-2.6190518371536236</v>
      </c>
      <c r="AD5">
        <f t="shared" si="10"/>
        <v>2.6190518371536236</v>
      </c>
      <c r="AE5">
        <f>0.05902*(H4-K5)^1.25</f>
        <v>15.037519422070005</v>
      </c>
      <c r="AF5">
        <f t="shared" si="11"/>
        <v>-6.4248946977597701</v>
      </c>
      <c r="AG5">
        <f t="shared" si="12"/>
        <v>6.4248946977597701</v>
      </c>
    </row>
    <row r="6" spans="2:33" x14ac:dyDescent="0.25">
      <c r="B6" s="138">
        <v>263.14999999999998</v>
      </c>
      <c r="C6" s="55">
        <v>6.14</v>
      </c>
      <c r="D6" s="50"/>
      <c r="E6" s="139"/>
      <c r="G6" s="40" t="s">
        <v>125</v>
      </c>
      <c r="H6" s="1" t="s">
        <v>108</v>
      </c>
      <c r="K6">
        <v>220.95</v>
      </c>
      <c r="L6">
        <v>16.54</v>
      </c>
      <c r="M6">
        <v>15.47131113</v>
      </c>
      <c r="N6">
        <f t="shared" si="13"/>
        <v>-6.4612386336154719</v>
      </c>
      <c r="O6">
        <f t="shared" si="0"/>
        <v>6.4612386336154719</v>
      </c>
      <c r="P6">
        <f>(-0.951 +0.432/0.274)*((1-K6/H4)^(11/9))*(H4*I4^2)^(1/3)</f>
        <v>15.174272811376637</v>
      </c>
      <c r="Q6">
        <f t="shared" si="1"/>
        <v>-8.2571172226321767</v>
      </c>
      <c r="R6">
        <f t="shared" si="2"/>
        <v>8.2571172226321767</v>
      </c>
      <c r="S6">
        <f>((1.86 +1.18*G7)/19.05)*(((3.75+0.91*G7)/(0.291-0.08*G7))^(2/3))*((1-K6/H4)^(11/9))*(H4*I4^2)^(1/3)</f>
        <v>16.081213337946494</v>
      </c>
      <c r="T6">
        <f t="shared" si="3"/>
        <v>-2.7738008588482788</v>
      </c>
      <c r="U6">
        <f t="shared" si="4"/>
        <v>2.7738008588482788</v>
      </c>
      <c r="V6">
        <f>1000*(1.380649*10^(-23))*H4*(((6.02214076*10^23)/0.00009411891)^(2/3))*((4.35+4.14*G7)*(1-K6/H4)^(1.26))*(1+0.19*((1-K6/H4)^(0.5))-0.25*(1-K6/H4))</f>
        <v>15.384908472853386</v>
      </c>
      <c r="W6">
        <f t="shared" si="5"/>
        <v>-6.9836247106808536</v>
      </c>
      <c r="X6">
        <f t="shared" si="6"/>
        <v>6.9836247106808536</v>
      </c>
      <c r="Y6">
        <f>((H4*I4^2)^(1/3))*(0.1574+0.359*G7-0.51*G7^2)*((1-K6/H4)/0.4)^(1.21+0.5385*G7-1.656*G7^2)</f>
        <v>15.634099335331646</v>
      </c>
      <c r="Z6">
        <f t="shared" si="7"/>
        <v>-5.4770294115378064</v>
      </c>
      <c r="AA6">
        <f t="shared" si="8"/>
        <v>5.4770294115378064</v>
      </c>
      <c r="AB6">
        <f>((H4*I4^2)^(1/3))*(EXP(LN(1+(40.52*(1-K6/H4)^1.287)/((190.56*45.99^2)^(1/3)))+(LN(1+(52.095*(1-K6/H4)^1.21548)/((568.7*24.9^2)^(1/3)))-LN(1+(40.52*(1-K6/H4)^1.287)/((190.56*45.99^2)^(1/3))))*(G7-G10)/(H10-G10))-1)</f>
        <v>15.430448331006385</v>
      </c>
      <c r="AC6">
        <f t="shared" si="9"/>
        <v>-6.7082930410738459</v>
      </c>
      <c r="AD6">
        <f t="shared" si="10"/>
        <v>6.7082930410738459</v>
      </c>
      <c r="AE6">
        <f>0.05902*(H4-K6)^1.25</f>
        <v>14.825559854133253</v>
      </c>
      <c r="AF6">
        <f t="shared" si="11"/>
        <v>-10.365418052398706</v>
      </c>
      <c r="AG6">
        <f t="shared" si="12"/>
        <v>10.365418052398706</v>
      </c>
    </row>
    <row r="7" spans="2:33" x14ac:dyDescent="0.25">
      <c r="B7" s="138">
        <v>273.14999999999998</v>
      </c>
      <c r="C7" s="55">
        <v>4.34</v>
      </c>
      <c r="D7" s="50"/>
      <c r="E7" s="139"/>
      <c r="G7" s="8">
        <v>0.22500000000000001</v>
      </c>
      <c r="H7" s="13">
        <v>9.4118910000000005E-5</v>
      </c>
      <c r="K7">
        <v>230</v>
      </c>
      <c r="L7">
        <v>13.75</v>
      </c>
      <c r="M7">
        <v>13.390427320000001</v>
      </c>
      <c r="N7">
        <f t="shared" si="13"/>
        <v>-2.615074036363632</v>
      </c>
      <c r="O7">
        <f t="shared" si="0"/>
        <v>2.615074036363632</v>
      </c>
      <c r="P7">
        <f>(-0.951 +0.432/0.274)*((1-K7/H4)^(11/9))*(H4*I4^2)^(1/3)</f>
        <v>13.181502658117244</v>
      </c>
      <c r="Q7">
        <f t="shared" si="1"/>
        <v>-4.1345261227836776</v>
      </c>
      <c r="R7">
        <f t="shared" si="2"/>
        <v>4.1345261227836776</v>
      </c>
      <c r="S7">
        <f t="shared" ref="S7:S36" si="14">((1.86 +1.18*0.225)/19.05)*(((3.75+0.91*0.225)/(0.291-0.08*0.225))^(2/3))*((1-K7/304.1282)^(11/9))*(304.1282*73.773^2)^(1/3)</f>
        <v>13.969338695490444</v>
      </c>
      <c r="T7">
        <f t="shared" si="3"/>
        <v>1.5951905126577772</v>
      </c>
      <c r="U7">
        <f t="shared" si="4"/>
        <v>1.5951905126577772</v>
      </c>
      <c r="V7">
        <f t="shared" ref="V7:V36" si="15">1000*(1.380649*10^(-23))*304.1282*(((6.02214076*10^23)/0.00009411891)^(2/3))*((4.35+4.14*0.225)*(1-K7/304.1282)^(1.26))*(1+0.19*((1-K7/304.1282)^(0.5))-0.25*(1-K7/304.1282))</f>
        <v>13.330686143847055</v>
      </c>
      <c r="W7">
        <f t="shared" si="5"/>
        <v>-3.0495553174759622</v>
      </c>
      <c r="X7">
        <f t="shared" si="6"/>
        <v>3.0495553174759622</v>
      </c>
      <c r="Y7">
        <f>((H4*I4^2)^(1/3))*(0.1574+0.359*G7-0.51*G7^2)*((1-K7/H4)/0.4)^(1.21+0.5385*G7-1.656*G7^2)</f>
        <v>13.541724766893015</v>
      </c>
      <c r="Z7">
        <f t="shared" si="7"/>
        <v>-1.5147289680507987</v>
      </c>
      <c r="AA7">
        <f t="shared" si="8"/>
        <v>1.5147289680507987</v>
      </c>
      <c r="AB7">
        <f>((H4*I4^2)^(1/3))*(EXP(LN(1+(40.52*(1-K7/H4)^1.287)/((190.56*45.99^2)^(1/3)))+(LN(1+(52.095*(1-K7/H4)^1.21548)/((568.7*24.9^2)^(1/3)))-LN(1+(40.52*(1-K7/H4)^1.287)/((190.56*45.99^2)^(1/3))))*(G7-G10)/(H10-G10))-1)</f>
        <v>13.3780494483676</v>
      </c>
      <c r="AC7">
        <f t="shared" si="9"/>
        <v>-2.7050949209629107</v>
      </c>
      <c r="AD7">
        <f t="shared" si="10"/>
        <v>2.7050949209629107</v>
      </c>
      <c r="AE7">
        <f>0.05902*(H4-K7)^1.25</f>
        <v>12.837442856063829</v>
      </c>
      <c r="AF7">
        <f t="shared" si="11"/>
        <v>-6.6367792286266978</v>
      </c>
      <c r="AG7">
        <f t="shared" si="12"/>
        <v>6.6367792286266978</v>
      </c>
    </row>
    <row r="8" spans="2:33" x14ac:dyDescent="0.25">
      <c r="B8" s="138">
        <v>283.14999999999998</v>
      </c>
      <c r="C8" s="55">
        <v>2.67</v>
      </c>
      <c r="D8" s="50"/>
      <c r="E8" s="139"/>
      <c r="K8">
        <v>230.45</v>
      </c>
      <c r="L8">
        <v>13.88</v>
      </c>
      <c r="M8">
        <v>13.288571559999999</v>
      </c>
      <c r="N8">
        <f t="shared" si="13"/>
        <v>-4.2610118155619698</v>
      </c>
      <c r="O8">
        <f t="shared" si="0"/>
        <v>4.2610118155619698</v>
      </c>
      <c r="P8">
        <f>(-0.951 +0.432/0.274)*((1-K8/304.1282)^(11/9))*(304.1282*73.773^2)^(1/3)</f>
        <v>13.083767535920645</v>
      </c>
      <c r="Q8">
        <f t="shared" si="1"/>
        <v>-5.7365451302547266</v>
      </c>
      <c r="R8">
        <f t="shared" si="2"/>
        <v>5.7365451302547266</v>
      </c>
      <c r="S8">
        <f t="shared" si="14"/>
        <v>13.865762110952208</v>
      </c>
      <c r="T8">
        <f t="shared" si="3"/>
        <v>-0.10257845135297707</v>
      </c>
      <c r="U8">
        <f t="shared" si="4"/>
        <v>0.10257845135297707</v>
      </c>
      <c r="V8">
        <f t="shared" si="15"/>
        <v>13.229887063520769</v>
      </c>
      <c r="W8">
        <f t="shared" si="5"/>
        <v>-4.6838107815506627</v>
      </c>
      <c r="X8">
        <f t="shared" si="6"/>
        <v>4.6838107815506627</v>
      </c>
      <c r="Y8">
        <f>((H4*I4^2)^(1/3))*(0.1574+0.359*G7-0.51*G7^2)*((1-K8/H4)/0.4)^(1.21+0.5385*G7-1.656*G7^2)</f>
        <v>13.439264168054962</v>
      </c>
      <c r="Z8">
        <f t="shared" si="7"/>
        <v>-3.1753302013331353</v>
      </c>
      <c r="AA8">
        <f t="shared" si="8"/>
        <v>3.1753302013331353</v>
      </c>
      <c r="AB8">
        <f>((H4*I4^2)^(1/3))*(EXP(LN(1+(40.52*(1-K8/H4)^1.287)/((190.56*45.99^2)^(1/3)))+(LN(1+(52.095*(1-K8/H4)^1.21548)/((568.7*24.9^2)^(1/3)))-LN(1+(40.52*(1-K8/H4)^1.287)/((190.56*45.99^2)^(1/3))))*(G7-G10)/(H10-G10))-1)</f>
        <v>13.27749709339168</v>
      </c>
      <c r="AC8">
        <f t="shared" si="9"/>
        <v>-4.3407990389648434</v>
      </c>
      <c r="AD8">
        <f t="shared" si="10"/>
        <v>4.3407990389648434</v>
      </c>
      <c r="AE8">
        <f>0.05902*(H4-K8)^1.25</f>
        <v>12.740103735746839</v>
      </c>
      <c r="AF8">
        <f t="shared" si="11"/>
        <v>-8.2125091084521742</v>
      </c>
      <c r="AG8">
        <f t="shared" si="12"/>
        <v>8.2125091084521742</v>
      </c>
    </row>
    <row r="9" spans="2:33" x14ac:dyDescent="0.25">
      <c r="B9" s="138">
        <v>288.14999999999998</v>
      </c>
      <c r="C9" s="55">
        <v>1.9</v>
      </c>
      <c r="D9" s="50"/>
      <c r="E9" s="139"/>
      <c r="G9" s="40" t="s">
        <v>137</v>
      </c>
      <c r="H9" s="40" t="s">
        <v>138</v>
      </c>
      <c r="K9">
        <v>240</v>
      </c>
      <c r="L9">
        <v>11.45</v>
      </c>
      <c r="M9">
        <v>11.16541046</v>
      </c>
      <c r="N9">
        <f t="shared" si="13"/>
        <v>-2.4854981659388553</v>
      </c>
      <c r="O9">
        <f t="shared" si="0"/>
        <v>2.4854981659388553</v>
      </c>
      <c r="P9">
        <f>(-0.951 +0.432/0.274)*((1-K9/304.1282)^(11/9))*(304.1282*73.773^2)^(1/3)</f>
        <v>11.041932645902476</v>
      </c>
      <c r="Q9">
        <f t="shared" si="1"/>
        <v>-3.5639070226857967</v>
      </c>
      <c r="R9">
        <f t="shared" si="2"/>
        <v>3.5639070226857967</v>
      </c>
      <c r="S9">
        <f t="shared" si="14"/>
        <v>11.701890215712057</v>
      </c>
      <c r="T9">
        <f t="shared" si="3"/>
        <v>2.1999145477035591</v>
      </c>
      <c r="U9">
        <f t="shared" si="4"/>
        <v>2.1999145477035591</v>
      </c>
      <c r="V9">
        <f t="shared" si="15"/>
        <v>11.123828059477908</v>
      </c>
      <c r="W9">
        <f t="shared" si="5"/>
        <v>-2.8486632360007937</v>
      </c>
      <c r="X9">
        <f t="shared" si="6"/>
        <v>2.8486632360007937</v>
      </c>
      <c r="Y9">
        <f>((H4*I4^2)^(1/3))*(0.1574+0.359*G7-0.51*G7^2)*((1-K9/H4)/0.4)^(1.21+0.5385*G7-1.656*G7^2)</f>
        <v>11.302490977219648</v>
      </c>
      <c r="Z9">
        <f t="shared" si="7"/>
        <v>-1.2882884085620199</v>
      </c>
      <c r="AA9">
        <f t="shared" si="8"/>
        <v>1.2882884085620199</v>
      </c>
      <c r="AB9">
        <f>((H4*I4^2)^(1/3))*(EXP(LN(1+(40.52*(1-K9/H4)^1.287)/((190.56*45.99^2)^(1/3)))+(LN(1+(52.095*(1-K9/H4)^1.21548)/((568.7*24.9^2)^(1/3)))-LN(1+(40.52*(1-K9/H4)^1.287)/((190.56*45.99^2)^(1/3))))*(G7-G10)/(H10-G10))-1)</f>
        <v>11.179341556033439</v>
      </c>
      <c r="AC9">
        <f t="shared" si="9"/>
        <v>-2.3638292049481264</v>
      </c>
      <c r="AD9">
        <f t="shared" si="10"/>
        <v>2.3638292049481264</v>
      </c>
      <c r="AE9">
        <f>0.05902*(H4-K9)^1.25</f>
        <v>10.710519041110288</v>
      </c>
      <c r="AF9">
        <f t="shared" si="11"/>
        <v>-6.4583489859363423</v>
      </c>
      <c r="AG9">
        <f t="shared" si="12"/>
        <v>6.4583489859363423</v>
      </c>
    </row>
    <row r="10" spans="2:33" x14ac:dyDescent="0.25">
      <c r="B10" s="138">
        <v>293.14999999999998</v>
      </c>
      <c r="C10" s="55">
        <v>1.19</v>
      </c>
      <c r="D10" s="50"/>
      <c r="E10" s="139"/>
      <c r="G10">
        <v>1.0999999999999999E-2</v>
      </c>
      <c r="H10">
        <v>0.39600000000000002</v>
      </c>
      <c r="K10">
        <v>240.85</v>
      </c>
      <c r="L10">
        <v>11.25</v>
      </c>
      <c r="M10">
        <v>10.980139230000001</v>
      </c>
      <c r="N10">
        <f t="shared" si="13"/>
        <v>-2.3987623999999936</v>
      </c>
      <c r="O10">
        <f t="shared" si="0"/>
        <v>2.3987623999999936</v>
      </c>
      <c r="P10">
        <f>(-0.951 +0.432/0.274)*((1-K10/304.1282)^(11/9))*(304.1282*73.773^2)^(1/3)</f>
        <v>10.863315619626317</v>
      </c>
      <c r="Q10">
        <f t="shared" si="1"/>
        <v>-3.4371944922105198</v>
      </c>
      <c r="R10">
        <f t="shared" si="2"/>
        <v>3.4371944922105198</v>
      </c>
      <c r="S10">
        <f t="shared" si="14"/>
        <v>11.512597552989991</v>
      </c>
      <c r="T10">
        <f t="shared" si="3"/>
        <v>2.3342004710221431</v>
      </c>
      <c r="U10">
        <f t="shared" si="4"/>
        <v>2.3342004710221431</v>
      </c>
      <c r="V10">
        <f t="shared" si="15"/>
        <v>10.939624771245112</v>
      </c>
      <c r="W10">
        <f t="shared" si="5"/>
        <v>-2.758890922265667</v>
      </c>
      <c r="X10">
        <f t="shared" si="6"/>
        <v>2.758890922265667</v>
      </c>
      <c r="Y10">
        <f>((H4*I4^2)^(1/3))*(0.1574+0.359*G7-0.51*G7^2)*((1-K10/H4)/0.4)^(1.21+0.5385*G7-1.656*G7^2)</f>
        <v>11.115934767422797</v>
      </c>
      <c r="Z10">
        <f t="shared" si="7"/>
        <v>-1.1916909562418079</v>
      </c>
      <c r="AA10">
        <f t="shared" si="8"/>
        <v>1.1916909562418079</v>
      </c>
      <c r="AB10">
        <f>((H4*I4^2)^(1/3))*(EXP(LN(1+(40.52*(1-K10/H4)^1.287)/((190.56*45.99^2)^(1/3)))+(LN(1+(52.095*(1-K10/H4)^1.21548)/((568.7*24.9^2)^(1/3)))-LN(1+(40.52*(1-K10/H4)^1.287)/((190.56*45.99^2)^(1/3))))*(G7-G10)/(H10-G10))-1)</f>
        <v>10.996042508457236</v>
      </c>
      <c r="AC10">
        <f t="shared" si="9"/>
        <v>-2.2573999248245653</v>
      </c>
      <c r="AD10">
        <f t="shared" si="10"/>
        <v>2.2573999248245653</v>
      </c>
      <c r="AE10">
        <f>0.05902*(H4-K10)^1.25</f>
        <v>10.533358151671168</v>
      </c>
      <c r="AF10">
        <f t="shared" si="11"/>
        <v>-6.3701497629229529</v>
      </c>
      <c r="AG10">
        <f t="shared" si="12"/>
        <v>6.3701497629229529</v>
      </c>
    </row>
    <row r="11" spans="2:33" x14ac:dyDescent="0.25">
      <c r="B11" s="138">
        <v>298.14999999999998</v>
      </c>
      <c r="C11" s="55">
        <v>0.56999999999999995</v>
      </c>
      <c r="D11" s="50"/>
      <c r="E11" s="139"/>
      <c r="K11">
        <v>243.15</v>
      </c>
      <c r="L11">
        <v>10.8</v>
      </c>
      <c r="M11">
        <v>10.48199947</v>
      </c>
      <c r="N11">
        <f t="shared" si="13"/>
        <v>-2.9444493518518593</v>
      </c>
      <c r="O11">
        <f t="shared" si="0"/>
        <v>2.9444493518518593</v>
      </c>
      <c r="P11">
        <f>(-0.951 +0.432/0.274)*((1-K11/304.1282)^(11/9))*(304.1282*73.773^2)^(1/3)</f>
        <v>10.382684453402128</v>
      </c>
      <c r="Q11">
        <f t="shared" si="1"/>
        <v>-3.8640328388691949</v>
      </c>
      <c r="R11">
        <f t="shared" si="2"/>
        <v>3.8640328388691949</v>
      </c>
      <c r="S11">
        <f t="shared" si="14"/>
        <v>11.003239877864866</v>
      </c>
      <c r="T11">
        <f t="shared" si="3"/>
        <v>1.8818507209709738</v>
      </c>
      <c r="U11">
        <f t="shared" si="4"/>
        <v>1.8818507209709738</v>
      </c>
      <c r="V11">
        <f t="shared" si="15"/>
        <v>10.444041001094192</v>
      </c>
      <c r="W11">
        <f t="shared" si="5"/>
        <v>-3.295916656535268</v>
      </c>
      <c r="X11">
        <f t="shared" si="6"/>
        <v>3.295916656535268</v>
      </c>
      <c r="Y11">
        <f>((H4*I4^2)^(1/3))*(0.1574+0.359*G7-0.51*G7^2)*((1-K11/H4)/0.4)^(1.21+0.5385*G7-1.656*G7^2)</f>
        <v>10.614256208753806</v>
      </c>
      <c r="Z11">
        <f t="shared" si="7"/>
        <v>-1.7198499189462437</v>
      </c>
      <c r="AA11">
        <f t="shared" si="8"/>
        <v>1.7198499189462437</v>
      </c>
      <c r="AB11">
        <f>((H4*I4^2)^(1/3))*(EXP(LN(1+(40.52*(1-K11/H4)^1.287)/((190.56*45.99^2)^(1/3)))+(LN(1+(52.095*(1-K11/H4)^1.21548)/((568.7*24.9^2)^(1/3)))-LN(1+(40.52*(1-K11/H4)^1.287)/((190.56*45.99^2)^(1/3))))*(G7-G10)/(H10-G10))-1)</f>
        <v>10.503023704192987</v>
      </c>
      <c r="AC11">
        <f t="shared" si="9"/>
        <v>-2.7497805167316058</v>
      </c>
      <c r="AD11">
        <f t="shared" si="10"/>
        <v>2.7497805167316058</v>
      </c>
      <c r="AE11">
        <f>0.05902*(H4-K11)^1.25</f>
        <v>10.056976970828728</v>
      </c>
      <c r="AF11">
        <f t="shared" si="11"/>
        <v>-6.8798428626969672</v>
      </c>
      <c r="AG11">
        <f t="shared" si="12"/>
        <v>6.8798428626969672</v>
      </c>
    </row>
    <row r="12" spans="2:33" x14ac:dyDescent="0.25">
      <c r="B12" s="140">
        <v>303.14999999999998</v>
      </c>
      <c r="C12" s="103">
        <v>7.0000000000000007E-2</v>
      </c>
      <c r="D12" s="108"/>
      <c r="E12" s="141"/>
      <c r="F12" t="s">
        <v>204</v>
      </c>
      <c r="K12">
        <v>250</v>
      </c>
      <c r="L12">
        <v>9.26</v>
      </c>
      <c r="M12">
        <v>9.0271022179999996</v>
      </c>
      <c r="N12">
        <f t="shared" si="13"/>
        <v>-2.5150948380129612</v>
      </c>
      <c r="O12">
        <f t="shared" si="0"/>
        <v>2.5150948380129612</v>
      </c>
      <c r="P12">
        <f>(-0.951 +0.432/G4)*((1-K12/H4)^(11/9))*(H4*I4^2)^(1/3)</f>
        <v>8.9754951056689034</v>
      </c>
      <c r="Q12">
        <f t="shared" si="1"/>
        <v>-3.0724070662105443</v>
      </c>
      <c r="R12">
        <f t="shared" si="2"/>
        <v>3.0724070662105443</v>
      </c>
      <c r="S12">
        <f t="shared" si="14"/>
        <v>9.5119452116178067</v>
      </c>
      <c r="T12">
        <f t="shared" si="3"/>
        <v>2.7207906222225371</v>
      </c>
      <c r="U12">
        <f t="shared" si="4"/>
        <v>2.7207906222225371</v>
      </c>
      <c r="V12">
        <f t="shared" si="15"/>
        <v>8.9941495718140683</v>
      </c>
      <c r="W12">
        <f t="shared" si="5"/>
        <v>-2.8709549480122196</v>
      </c>
      <c r="X12">
        <f t="shared" si="6"/>
        <v>2.8709549480122196</v>
      </c>
      <c r="Y12">
        <f>((H4*I4^2)^(1/3))*(0.1574+0.359*G7-0.51*G7^2)*((1-K12/H4)/0.4)^(1.21+0.5385*G7-1.656*G7^2)</f>
        <v>9.1482727009289526</v>
      </c>
      <c r="Z12">
        <f t="shared" si="7"/>
        <v>-1.2065583053028852</v>
      </c>
      <c r="AA12">
        <f t="shared" si="8"/>
        <v>1.2065583053028852</v>
      </c>
      <c r="AB12">
        <f>((H4*I4^2)^(1/3))*(EXP(LN(1+(40.52*(1-K12/H4)^1.287)/((190.56*45.99^2)^(1/3)))+(LN(1+(52.095*(1-K12/H4)^1.21548)/((568.7*24.9^2)^(1/3)))-LN(1+(40.52*(1-K12/H4)^1.287)/((190.56*45.99^2)^(1/3))))*(G7-G10)/(H10-G10))-1)</f>
        <v>9.0614537793586631</v>
      </c>
      <c r="AC12">
        <f t="shared" si="9"/>
        <v>-2.1441276527142188</v>
      </c>
      <c r="AD12">
        <f t="shared" si="10"/>
        <v>2.1441276527142188</v>
      </c>
      <c r="AE12">
        <f>0.05902*(H4-K12)^1.25</f>
        <v>8.6652019062636985</v>
      </c>
      <c r="AF12">
        <f t="shared" si="11"/>
        <v>-6.4233055479082219</v>
      </c>
      <c r="AG12">
        <f t="shared" si="12"/>
        <v>6.4233055479082219</v>
      </c>
    </row>
    <row r="13" spans="2:33" x14ac:dyDescent="0.25">
      <c r="B13" s="142">
        <v>216.55</v>
      </c>
      <c r="C13" s="56">
        <v>16.899999999999999</v>
      </c>
      <c r="D13" s="56" t="s">
        <v>141</v>
      </c>
      <c r="E13" s="143" t="s">
        <v>303</v>
      </c>
      <c r="K13">
        <v>251.45</v>
      </c>
      <c r="L13">
        <v>9.0500000000000007</v>
      </c>
      <c r="M13">
        <v>8.7248981650000008</v>
      </c>
      <c r="N13">
        <f t="shared" si="13"/>
        <v>-3.592285469613258</v>
      </c>
      <c r="O13">
        <f t="shared" si="0"/>
        <v>3.592285469613258</v>
      </c>
      <c r="P13">
        <f t="shared" ref="P13:P36" si="16">(-0.951 +0.432/0.274)*((1-K13/304.1282)^(11/9))*(304.1282*73.773^2)^(1/3)</f>
        <v>8.6825074650131189</v>
      </c>
      <c r="Q13">
        <f t="shared" si="1"/>
        <v>-4.0606909943301854</v>
      </c>
      <c r="R13">
        <f t="shared" si="2"/>
        <v>4.0606909943301854</v>
      </c>
      <c r="S13">
        <f t="shared" si="14"/>
        <v>9.2014461970465877</v>
      </c>
      <c r="T13">
        <f t="shared" si="3"/>
        <v>1.6734386413987514</v>
      </c>
      <c r="U13">
        <f t="shared" si="4"/>
        <v>1.6734386413987514</v>
      </c>
      <c r="V13">
        <f t="shared" si="15"/>
        <v>8.6925642477693632</v>
      </c>
      <c r="W13">
        <f t="shared" si="5"/>
        <v>-3.9495663229904694</v>
      </c>
      <c r="X13">
        <f t="shared" si="6"/>
        <v>3.9495663229904694</v>
      </c>
      <c r="Y13">
        <f>((H4*I4^2)^(1/3))*(0.1574+0.359*G7-0.51*G7^2)*((1-K13/H4)/0.4)^(1.21+0.5385*G7-1.656*G7^2)</f>
        <v>8.8436143352598151</v>
      </c>
      <c r="Z13">
        <f t="shared" si="7"/>
        <v>-2.2805045827644816</v>
      </c>
      <c r="AA13">
        <f t="shared" si="8"/>
        <v>2.2805045827644816</v>
      </c>
      <c r="AB13">
        <f>((H4*I4^2)^(1/3))*(EXP(LN(1+(40.52*(1-K13/H4)^1.287)/((190.56*45.99^2)^(1/3)))+(LN(1+(52.095*(1-K13/H4)^1.21548)/((568.7*24.9^2)^(1/3)))-LN(1+(40.52*(1-K13/H4)^1.287)/((190.56*45.99^2)^(1/3))))*(G7-G10)/(H10-G10))-1)</f>
        <v>8.7616884060187008</v>
      </c>
      <c r="AC13">
        <f t="shared" si="9"/>
        <v>-3.1857634694066284</v>
      </c>
      <c r="AD13">
        <f t="shared" si="10"/>
        <v>3.1857634694066284</v>
      </c>
      <c r="AE13">
        <f>0.05902*(H4-K13)^1.25</f>
        <v>8.3760230476211213</v>
      </c>
      <c r="AF13">
        <f t="shared" si="11"/>
        <v>-7.4472591423080594</v>
      </c>
      <c r="AG13">
        <f t="shared" si="12"/>
        <v>7.4472591423080594</v>
      </c>
    </row>
    <row r="14" spans="2:33" x14ac:dyDescent="0.25">
      <c r="B14" s="142">
        <v>220</v>
      </c>
      <c r="C14" s="56">
        <v>16.07</v>
      </c>
      <c r="D14" s="56" t="s">
        <v>161</v>
      </c>
      <c r="E14" s="144"/>
      <c r="K14">
        <v>253.15</v>
      </c>
      <c r="L14">
        <v>8.06</v>
      </c>
      <c r="M14">
        <v>8.3732747809999992</v>
      </c>
      <c r="N14">
        <f t="shared" si="13"/>
        <v>3.8867838833746737</v>
      </c>
      <c r="O14">
        <f t="shared" si="0"/>
        <v>3.8867838833746737</v>
      </c>
      <c r="P14">
        <f t="shared" si="16"/>
        <v>8.341283115356692</v>
      </c>
      <c r="Q14">
        <f t="shared" si="1"/>
        <v>3.4898649547976608</v>
      </c>
      <c r="R14">
        <f t="shared" si="2"/>
        <v>3.4898649547976608</v>
      </c>
      <c r="S14">
        <f t="shared" si="14"/>
        <v>8.8398274472628735</v>
      </c>
      <c r="T14">
        <f t="shared" si="3"/>
        <v>9.6752785020207579</v>
      </c>
      <c r="U14">
        <f t="shared" si="4"/>
        <v>9.6752785020207579</v>
      </c>
      <c r="V14">
        <f t="shared" si="15"/>
        <v>8.3414963221650407</v>
      </c>
      <c r="W14">
        <f t="shared" si="5"/>
        <v>3.4925102005588107</v>
      </c>
      <c r="X14">
        <f t="shared" si="6"/>
        <v>3.4925102005588107</v>
      </c>
      <c r="Y14">
        <f>((H4*I4^2)^(1/3))*(0.1574+0.359*G7-0.51*G7^2)*((1-K14/H4)/0.4)^(1.21+0.5385*G7-1.656*G7^2)</f>
        <v>8.4890644550798502</v>
      </c>
      <c r="Z14">
        <f t="shared" si="7"/>
        <v>5.3233803359782836</v>
      </c>
      <c r="AA14">
        <f t="shared" si="8"/>
        <v>5.3233803359782836</v>
      </c>
      <c r="AB14">
        <f>((H4*I4^2)^(1/3))*(EXP(LN(1+(40.52*(1-K14/H4)^1.287)/((190.56*45.99^2)^(1/3)))+(LN(1+(52.095*(1-K14/H4)^1.21548)/((568.7*24.9^2)^(1/3)))-LN(1+(40.52*(1-K14/H4)^1.287)/((190.56*45.99^2)^(1/3))))*(G7-G10)/(H10-G10))-1)</f>
        <v>8.4127481292840418</v>
      </c>
      <c r="AC14">
        <f t="shared" si="9"/>
        <v>4.3765276586109341</v>
      </c>
      <c r="AD14">
        <f t="shared" si="10"/>
        <v>4.3765276586109341</v>
      </c>
      <c r="AE14">
        <f>0.05902*(H4-K14)^1.25</f>
        <v>8.0395145618086232</v>
      </c>
      <c r="AF14">
        <f t="shared" si="11"/>
        <v>-0.25416176416100827</v>
      </c>
      <c r="AG14">
        <f t="shared" si="12"/>
        <v>0.25416176416100827</v>
      </c>
    </row>
    <row r="15" spans="2:33" x14ac:dyDescent="0.25">
      <c r="B15" s="142">
        <v>230</v>
      </c>
      <c r="C15" s="56">
        <v>13.75</v>
      </c>
      <c r="D15" s="51"/>
      <c r="E15" s="144"/>
      <c r="F15" t="s">
        <v>202</v>
      </c>
      <c r="K15">
        <v>260</v>
      </c>
      <c r="L15">
        <v>7.16</v>
      </c>
      <c r="M15">
        <v>6.9872987970000002</v>
      </c>
      <c r="N15">
        <f t="shared" si="13"/>
        <v>-2.4120279748603339</v>
      </c>
      <c r="O15">
        <f t="shared" si="0"/>
        <v>2.4120279748603339</v>
      </c>
      <c r="P15">
        <f t="shared" si="16"/>
        <v>6.9925936701775546</v>
      </c>
      <c r="Q15">
        <f t="shared" si="1"/>
        <v>-2.3380772321570604</v>
      </c>
      <c r="R15">
        <f t="shared" si="2"/>
        <v>2.3380772321570604</v>
      </c>
      <c r="S15">
        <f t="shared" si="14"/>
        <v>7.4105291234379704</v>
      </c>
      <c r="T15">
        <f t="shared" si="3"/>
        <v>3.4990101038822665</v>
      </c>
      <c r="U15">
        <f t="shared" si="4"/>
        <v>3.4990101038822665</v>
      </c>
      <c r="V15">
        <f t="shared" si="15"/>
        <v>6.956207310859023</v>
      </c>
      <c r="W15">
        <f t="shared" si="5"/>
        <v>-2.8462666081142061</v>
      </c>
      <c r="X15">
        <f t="shared" si="6"/>
        <v>2.8462666081142061</v>
      </c>
      <c r="Y15">
        <f>((H4*I4^2)^(1/3))*(0.1574+0.359*G7-0.51*G7^2)*((1-K15/H4)/0.4)^(1.21+0.5385*G7-1.656*G7^2)</f>
        <v>7.0907464643896425</v>
      </c>
      <c r="Z15">
        <f t="shared" si="7"/>
        <v>-0.96722815098264847</v>
      </c>
      <c r="AA15">
        <f t="shared" si="8"/>
        <v>0.96722815098264847</v>
      </c>
      <c r="AB15">
        <f>((H4*I4^2)^(1/3))*(EXP(LN(1+(40.52*(1-K15/H4)^1.287)/((190.56*45.99^2)^(1/3)))+(LN(1+(52.095*(1-K15/H4)^1.21548)/((568.7*24.9^2)^(1/3)))-LN(1+(40.52*(1-K15/H4)^1.287)/((190.56*45.99^2)^(1/3))))*(G7-G10)/(H10-G10))-1)</f>
        <v>7.0355862807059122</v>
      </c>
      <c r="AC15">
        <f t="shared" si="9"/>
        <v>-1.7376217778503904</v>
      </c>
      <c r="AD15">
        <f t="shared" si="10"/>
        <v>1.7376217778503904</v>
      </c>
      <c r="AE15">
        <f>0.05902*(H4-K15)^1.25</f>
        <v>6.7126572289681823</v>
      </c>
      <c r="AF15">
        <f t="shared" si="11"/>
        <v>-6.2478040646901931</v>
      </c>
      <c r="AG15">
        <f t="shared" si="12"/>
        <v>6.2478040646901931</v>
      </c>
    </row>
    <row r="16" spans="2:33" x14ac:dyDescent="0.25">
      <c r="B16" s="142">
        <v>240</v>
      </c>
      <c r="C16" s="56">
        <v>11.45</v>
      </c>
      <c r="D16" s="51"/>
      <c r="E16" s="144"/>
      <c r="K16">
        <v>261.85000000000002</v>
      </c>
      <c r="L16">
        <v>6.81</v>
      </c>
      <c r="M16">
        <v>6.621940307</v>
      </c>
      <c r="N16">
        <f t="shared" si="13"/>
        <v>-2.7615226578560881</v>
      </c>
      <c r="O16">
        <f t="shared" si="0"/>
        <v>2.7615226578560881</v>
      </c>
      <c r="P16">
        <f t="shared" si="16"/>
        <v>6.6359834891328067</v>
      </c>
      <c r="Q16">
        <f t="shared" si="1"/>
        <v>-2.5553085296210418</v>
      </c>
      <c r="R16">
        <f t="shared" si="2"/>
        <v>2.5553085296210418</v>
      </c>
      <c r="S16">
        <f t="shared" si="14"/>
        <v>7.0326049572423557</v>
      </c>
      <c r="T16">
        <f t="shared" si="3"/>
        <v>3.2687952605338633</v>
      </c>
      <c r="U16">
        <f t="shared" si="4"/>
        <v>3.2687952605338633</v>
      </c>
      <c r="V16">
        <f t="shared" si="15"/>
        <v>6.5907006995339561</v>
      </c>
      <c r="W16">
        <f t="shared" si="5"/>
        <v>-3.2202540450226658</v>
      </c>
      <c r="X16">
        <f t="shared" si="6"/>
        <v>3.2202540450226658</v>
      </c>
      <c r="Y16">
        <f>((H4*I4^2)^(1/3))*(0.1574+0.359*G7-0.51*G7^2)*((1-K16/H4)/0.4)^(1.21+0.5385*G7-1.656*G7^2)</f>
        <v>6.7218994214786942</v>
      </c>
      <c r="Z16">
        <f t="shared" si="7"/>
        <v>-1.2936942514141758</v>
      </c>
      <c r="AA16">
        <f t="shared" si="8"/>
        <v>1.2936942514141758</v>
      </c>
      <c r="AB16">
        <f>((H4*I4^2)^(1/3))*(EXP(LN(1+(40.52*(1-K16/H4)^1.287)/((190.56*45.99^2)^(1/3)))+(LN(1+(52.095*(1-K16/H4)^1.21548)/((568.7*24.9^2)^(1/3)))-LN(1+(40.52*(1-K16/H4)^1.287)/((190.56*45.99^2)^(1/3))))*(G7-G10)/(H10-G10))-1)</f>
        <v>6.6720369788829466</v>
      </c>
      <c r="AC16">
        <f t="shared" si="9"/>
        <v>-2.0258887095015132</v>
      </c>
      <c r="AD16">
        <f t="shared" si="10"/>
        <v>2.0258887095015132</v>
      </c>
      <c r="AE16">
        <f>0.05902*(H4-K16)^1.25</f>
        <v>6.3627493647807354</v>
      </c>
      <c r="AF16">
        <f t="shared" si="11"/>
        <v>-6.5675570516778894</v>
      </c>
      <c r="AG16">
        <f t="shared" si="12"/>
        <v>6.5675570516778894</v>
      </c>
    </row>
    <row r="17" spans="2:33" x14ac:dyDescent="0.25">
      <c r="B17" s="142">
        <v>250</v>
      </c>
      <c r="C17" s="56">
        <v>9.26</v>
      </c>
      <c r="D17" s="51"/>
      <c r="E17" s="144"/>
      <c r="K17">
        <v>263.14999999999998</v>
      </c>
      <c r="L17">
        <v>6.14</v>
      </c>
      <c r="M17">
        <v>6.3676105429999996</v>
      </c>
      <c r="N17">
        <f t="shared" si="13"/>
        <v>3.7070121009771979</v>
      </c>
      <c r="O17">
        <f t="shared" si="0"/>
        <v>3.7070121009771979</v>
      </c>
      <c r="P17">
        <f t="shared" si="16"/>
        <v>6.3874505337900338</v>
      </c>
      <c r="Q17">
        <f t="shared" si="1"/>
        <v>4.0301389868083737</v>
      </c>
      <c r="R17">
        <f t="shared" si="2"/>
        <v>4.0301389868083737</v>
      </c>
      <c r="S17">
        <f t="shared" si="14"/>
        <v>6.769217609060437</v>
      </c>
      <c r="T17">
        <f t="shared" si="3"/>
        <v>10.247843795772594</v>
      </c>
      <c r="U17">
        <f t="shared" si="4"/>
        <v>10.247843795772594</v>
      </c>
      <c r="V17">
        <f t="shared" si="15"/>
        <v>6.3362058876990748</v>
      </c>
      <c r="W17">
        <f t="shared" si="5"/>
        <v>3.1955356302780964</v>
      </c>
      <c r="X17">
        <f t="shared" si="6"/>
        <v>3.1955356302780964</v>
      </c>
      <c r="Y17">
        <f>((H4*I4^2)^(1/3))*(0.1574+0.359*G7-0.51*G7^2)*((1-K17/H4)/0.4)^(1.21+0.5385*G7-1.656*G7^2)</f>
        <v>6.4650776400651075</v>
      </c>
      <c r="Z17">
        <f t="shared" si="7"/>
        <v>5.2944241052949161</v>
      </c>
      <c r="AA17">
        <f t="shared" si="8"/>
        <v>5.2944241052949161</v>
      </c>
      <c r="AB17">
        <f>((H4*I4^2)^(1/3))*(EXP(LN(1+(40.52*(1-K17/H4)^1.287)/((190.56*45.99^2)^(1/3)))+(LN(1+(52.095*(1-K17/H4)^1.21548)/((568.7*24.9^2)^(1/3)))-LN(1+(40.52*(1-K17/H4)^1.287)/((190.56*45.99^2)^(1/3))))*(G7-G10)/(H10-G10))-1)</f>
        <v>6.418827189881382</v>
      </c>
      <c r="AC17">
        <f t="shared" si="9"/>
        <v>4.5411594443221883</v>
      </c>
      <c r="AD17">
        <f t="shared" si="10"/>
        <v>4.5411594443221883</v>
      </c>
      <c r="AE17">
        <f>0.05902*(H4-K17)^1.25</f>
        <v>6.1191387714877346</v>
      </c>
      <c r="AF17">
        <f t="shared" si="11"/>
        <v>-0.33975942202386206</v>
      </c>
      <c r="AG17">
        <f t="shared" si="12"/>
        <v>0.33975942202386206</v>
      </c>
    </row>
    <row r="18" spans="2:33" x14ac:dyDescent="0.25">
      <c r="B18" s="142">
        <v>260</v>
      </c>
      <c r="C18" s="56">
        <v>7.16</v>
      </c>
      <c r="D18" s="51"/>
      <c r="E18" s="144"/>
      <c r="K18">
        <v>267.14999999999998</v>
      </c>
      <c r="L18">
        <v>5.79</v>
      </c>
      <c r="M18">
        <v>5.5980809770000004</v>
      </c>
      <c r="N18">
        <f t="shared" si="13"/>
        <v>-3.3146636096718418</v>
      </c>
      <c r="O18">
        <f t="shared" si="0"/>
        <v>3.3146636096718418</v>
      </c>
      <c r="P18">
        <f t="shared" si="16"/>
        <v>5.6338820168866048</v>
      </c>
      <c r="Q18">
        <f t="shared" si="1"/>
        <v>-2.6963382230292781</v>
      </c>
      <c r="R18">
        <f t="shared" si="2"/>
        <v>2.6963382230292781</v>
      </c>
      <c r="S18">
        <f t="shared" si="14"/>
        <v>5.9706095811357978</v>
      </c>
      <c r="T18">
        <f t="shared" si="3"/>
        <v>3.1193364617581647</v>
      </c>
      <c r="U18">
        <f t="shared" si="4"/>
        <v>3.1193364617581647</v>
      </c>
      <c r="V18">
        <f t="shared" si="15"/>
        <v>5.5659478032702294</v>
      </c>
      <c r="W18">
        <f t="shared" si="5"/>
        <v>-3.8696407034502696</v>
      </c>
      <c r="X18">
        <f t="shared" si="6"/>
        <v>3.8696407034502696</v>
      </c>
      <c r="Y18">
        <f>((H4*I4^2)^(1/3))*(0.1574+0.359*G7-0.51*G7^2)*((1-K18/H4)/0.4)^(1.21+0.5385*G7-1.656*G7^2)</f>
        <v>5.6876657867352733</v>
      </c>
      <c r="Z18">
        <f t="shared" si="7"/>
        <v>-1.767430280910651</v>
      </c>
      <c r="AA18">
        <f t="shared" si="8"/>
        <v>1.767430280910651</v>
      </c>
      <c r="AB18">
        <f>((H4*I4^2)^(1/3))*(EXP(LN(1+(40.52*(1-K18/H4)^1.287)/((190.56*45.99^2)^(1/3)))+(LN(1+(52.095*(1-K18/H4)^1.21548)/((568.7*24.9^2)^(1/3)))-LN(1+(40.52*(1-K18/H4)^1.287)/((190.56*45.99^2)^(1/3))))*(G7-G10)/(H10-G10))-1)</f>
        <v>5.6519352373937597</v>
      </c>
      <c r="AC18">
        <f t="shared" si="9"/>
        <v>-2.384538214270127</v>
      </c>
      <c r="AD18">
        <f t="shared" si="10"/>
        <v>2.384538214270127</v>
      </c>
      <c r="AE18">
        <f>0.05902*(H4-K18)^1.25</f>
        <v>5.3818478287736689</v>
      </c>
      <c r="AF18">
        <f t="shared" si="11"/>
        <v>-7.0492602975186722</v>
      </c>
      <c r="AG18">
        <f t="shared" si="12"/>
        <v>7.0492602975186722</v>
      </c>
    </row>
    <row r="19" spans="2:33" x14ac:dyDescent="0.25">
      <c r="B19" s="142">
        <v>270</v>
      </c>
      <c r="C19" s="56">
        <v>5.17</v>
      </c>
      <c r="D19" s="51"/>
      <c r="E19" s="144"/>
      <c r="K19">
        <v>270</v>
      </c>
      <c r="L19">
        <v>5.17</v>
      </c>
      <c r="M19">
        <v>5.0624339149999997</v>
      </c>
      <c r="N19">
        <f t="shared" si="13"/>
        <v>-2.0805819148936209</v>
      </c>
      <c r="O19">
        <f t="shared" si="0"/>
        <v>2.0805819148936209</v>
      </c>
      <c r="P19">
        <f t="shared" si="16"/>
        <v>5.1078111790156422</v>
      </c>
      <c r="Q19">
        <f t="shared" si="1"/>
        <v>-1.2028785490204592</v>
      </c>
      <c r="R19">
        <f t="shared" si="2"/>
        <v>1.2028785490204592</v>
      </c>
      <c r="S19">
        <f t="shared" si="14"/>
        <v>5.4130963823265219</v>
      </c>
      <c r="T19">
        <f t="shared" si="3"/>
        <v>4.7020576852325338</v>
      </c>
      <c r="U19">
        <f t="shared" si="4"/>
        <v>4.7020576852325338</v>
      </c>
      <c r="V19">
        <f t="shared" si="15"/>
        <v>5.029683604656416</v>
      </c>
      <c r="W19">
        <f t="shared" si="5"/>
        <v>-2.7140502000693227</v>
      </c>
      <c r="X19">
        <f t="shared" si="6"/>
        <v>2.7140502000693227</v>
      </c>
      <c r="Y19">
        <f>((H4*I4^2)^(1/3))*(0.1574+0.359*G7-0.51*G7^2)*((1-K19/H4)/0.4)^(1.21+0.5385*G7-1.656*G7^2)</f>
        <v>5.1462002149111425</v>
      </c>
      <c r="Z19">
        <f t="shared" si="7"/>
        <v>-0.46034400558718347</v>
      </c>
      <c r="AA19">
        <f t="shared" si="8"/>
        <v>0.46034400558718347</v>
      </c>
      <c r="AB19">
        <f>((H4*I4^2)^(1/3))*(EXP(LN(1+(40.52*(1-K19/H4)^1.287)/((190.56*45.99^2)^(1/3)))+(LN(1+(52.095*(1-K19/H4)^1.21548)/((568.7*24.9^2)^(1/3)))-LN(1+(40.52*(1-K19/H4)^1.287)/((190.56*45.99^2)^(1/3))))*(G7-G10)/(H10-G10))-1)</f>
        <v>5.1173943191575573</v>
      </c>
      <c r="AC19">
        <f t="shared" si="9"/>
        <v>-1.0175180046894132</v>
      </c>
      <c r="AD19">
        <f t="shared" si="10"/>
        <v>1.0175180046894132</v>
      </c>
      <c r="AE19">
        <f>0.05902*(H4-K19)^1.25</f>
        <v>4.868452467114758</v>
      </c>
      <c r="AF19">
        <f t="shared" si="11"/>
        <v>-5.8326408681864983</v>
      </c>
      <c r="AG19">
        <f t="shared" si="12"/>
        <v>5.8326408681864983</v>
      </c>
    </row>
    <row r="20" spans="2:33" x14ac:dyDescent="0.25">
      <c r="B20" s="142">
        <v>273.14999999999998</v>
      </c>
      <c r="C20" s="56">
        <v>4.57</v>
      </c>
      <c r="D20" s="51"/>
      <c r="E20" s="144"/>
      <c r="K20">
        <v>273.14999999999998</v>
      </c>
      <c r="L20">
        <v>4.34</v>
      </c>
      <c r="M20">
        <v>4.4835253880000003</v>
      </c>
      <c r="N20">
        <f t="shared" si="13"/>
        <v>3.3070365898617622</v>
      </c>
      <c r="O20">
        <f t="shared" si="0"/>
        <v>3.3070365898617622</v>
      </c>
      <c r="P20">
        <f t="shared" si="16"/>
        <v>4.5376561691687662</v>
      </c>
      <c r="Q20">
        <f t="shared" si="1"/>
        <v>4.554289612183557</v>
      </c>
      <c r="R20">
        <f t="shared" si="2"/>
        <v>4.554289612183557</v>
      </c>
      <c r="S20">
        <f t="shared" si="14"/>
        <v>4.8088641754182291</v>
      </c>
      <c r="T20">
        <f t="shared" si="3"/>
        <v>10.803322014244912</v>
      </c>
      <c r="U20">
        <f t="shared" si="4"/>
        <v>10.803322014244912</v>
      </c>
      <c r="V20">
        <f t="shared" si="15"/>
        <v>4.4501312901573344</v>
      </c>
      <c r="W20">
        <f t="shared" si="5"/>
        <v>2.5375873308141608</v>
      </c>
      <c r="X20">
        <f t="shared" si="6"/>
        <v>2.5375873308141608</v>
      </c>
      <c r="Y20">
        <f>((H4*I4^2)^(1/3))*(0.1574+0.359*G7-0.51*G7^2)*((1-K20/H4)/0.4)^(1.21+0.5385*G7-1.656*G7^2)</f>
        <v>4.5606586883839517</v>
      </c>
      <c r="Z20">
        <f t="shared" si="7"/>
        <v>5.0843015756670935</v>
      </c>
      <c r="AA20">
        <f t="shared" si="8"/>
        <v>5.0843015756670935</v>
      </c>
      <c r="AB20">
        <f>((H4*I4^2)^(1/3))*(EXP(LN(1+(40.52*(1-K20/H4)^1.287)/((190.56*45.99^2)^(1/3)))+(LN(1+(52.095*(1-K20/H4)^1.21548)/((568.7*24.9^2)^(1/3)))-LN(1+(40.52*(1-K20/H4)^1.287)/((190.56*45.99^2)^(1/3))))*(G7-G10)/(H10-G10))-1)</f>
        <v>4.5389218433093399</v>
      </c>
      <c r="AC20">
        <f t="shared" si="9"/>
        <v>4.5834526108142866</v>
      </c>
      <c r="AD20">
        <f t="shared" si="10"/>
        <v>4.5834526108142866</v>
      </c>
      <c r="AE20">
        <f>0.05902*(H4-K20)^1.25</f>
        <v>4.3133969738111499</v>
      </c>
      <c r="AF20">
        <f t="shared" si="11"/>
        <v>-0.61297295366013616</v>
      </c>
      <c r="AG20">
        <f t="shared" si="12"/>
        <v>0.61297295366013616</v>
      </c>
    </row>
    <row r="21" spans="2:33" x14ac:dyDescent="0.25">
      <c r="B21" s="142">
        <v>275</v>
      </c>
      <c r="C21" s="56">
        <v>4.2300000000000004</v>
      </c>
      <c r="D21" s="51"/>
      <c r="E21" s="144"/>
      <c r="K21">
        <v>273.14999999999998</v>
      </c>
      <c r="L21">
        <v>4.57</v>
      </c>
      <c r="M21">
        <v>4.4835253880000003</v>
      </c>
      <c r="N21">
        <f t="shared" si="13"/>
        <v>-1.8922234573304146</v>
      </c>
      <c r="O21">
        <f t="shared" si="0"/>
        <v>1.8922234573304146</v>
      </c>
      <c r="P21">
        <f t="shared" si="16"/>
        <v>4.5376561691687662</v>
      </c>
      <c r="Q21">
        <f t="shared" si="1"/>
        <v>-0.70774246895479309</v>
      </c>
      <c r="R21">
        <f t="shared" si="2"/>
        <v>0.70774246895479309</v>
      </c>
      <c r="S21">
        <f t="shared" si="14"/>
        <v>4.8088641754182291</v>
      </c>
      <c r="T21">
        <f t="shared" si="3"/>
        <v>5.2267872082763409</v>
      </c>
      <c r="U21">
        <f t="shared" si="4"/>
        <v>5.2267872082763409</v>
      </c>
      <c r="V21">
        <f t="shared" si="15"/>
        <v>4.4501312901573344</v>
      </c>
      <c r="W21">
        <f t="shared" si="5"/>
        <v>-2.6229476989642415</v>
      </c>
      <c r="X21">
        <f t="shared" si="6"/>
        <v>2.6229476989642415</v>
      </c>
      <c r="Y21">
        <f>((H4*I4^2)^(1/3))*(0.1574+0.359*G7-0.51*G7^2)*((1-K21/H4)/0.4)^(1.21+0.5385*G7-1.656*G7^2)</f>
        <v>4.5606586883839517</v>
      </c>
      <c r="Z21">
        <f t="shared" si="7"/>
        <v>-0.20440506818487011</v>
      </c>
      <c r="AA21">
        <f t="shared" si="8"/>
        <v>0.20440506818487011</v>
      </c>
      <c r="AB21">
        <f>((H4*I4^2)^(1/3))*(EXP(LN(1+(40.52*(1-K21/H4)^1.287)/((190.56*45.99^2)^(1/3)))+(LN(1+(52.095*(1-K21/H4)^1.21548)/((568.7*24.9^2)^(1/3)))-LN(1+(40.52*(1-K21/H4)^1.287)/((190.56*45.99^2)^(1/3))))*(G7-G10)/(H10-G10))-1)</f>
        <v>4.5389218433093399</v>
      </c>
      <c r="AC21">
        <f t="shared" si="9"/>
        <v>-0.68004719235580713</v>
      </c>
      <c r="AD21">
        <f t="shared" si="10"/>
        <v>0.68004719235580713</v>
      </c>
      <c r="AE21">
        <f>0.05902*(H4-K21)^1.25</f>
        <v>4.3133969738111499</v>
      </c>
      <c r="AF21">
        <f t="shared" si="11"/>
        <v>-5.6149458684649964</v>
      </c>
      <c r="AG21">
        <f t="shared" si="12"/>
        <v>5.6149458684649964</v>
      </c>
    </row>
    <row r="22" spans="2:33" x14ac:dyDescent="0.25">
      <c r="B22" s="142">
        <v>280</v>
      </c>
      <c r="C22" s="56">
        <v>3.33</v>
      </c>
      <c r="D22" s="51"/>
      <c r="E22" s="144"/>
      <c r="K22">
        <v>273.14999999999998</v>
      </c>
      <c r="L22">
        <v>4.62</v>
      </c>
      <c r="M22">
        <v>4.4835253880000003</v>
      </c>
      <c r="N22">
        <f t="shared" si="13"/>
        <v>-2.9539959307359256</v>
      </c>
      <c r="O22">
        <f t="shared" si="0"/>
        <v>2.9539959307359256</v>
      </c>
      <c r="P22">
        <f t="shared" si="16"/>
        <v>4.5376561691687662</v>
      </c>
      <c r="Q22">
        <f t="shared" si="1"/>
        <v>-1.7823340006760577</v>
      </c>
      <c r="R22">
        <f t="shared" si="2"/>
        <v>1.7823340006760577</v>
      </c>
      <c r="S22">
        <f t="shared" si="14"/>
        <v>4.8088641754182291</v>
      </c>
      <c r="T22">
        <f t="shared" si="3"/>
        <v>4.0879691648967311</v>
      </c>
      <c r="U22">
        <f t="shared" si="4"/>
        <v>4.0879691648967311</v>
      </c>
      <c r="V22">
        <f t="shared" si="15"/>
        <v>4.4501312901573344</v>
      </c>
      <c r="W22">
        <f t="shared" si="5"/>
        <v>-3.6768119013563996</v>
      </c>
      <c r="X22">
        <f t="shared" si="6"/>
        <v>3.6768119013563996</v>
      </c>
      <c r="Y22">
        <f>((H4*I4^2)^(1/3))*(0.1574+0.359*G7-0.51*G7^2)*((1-K22/H4)/0.4)^(1.21+0.5385*G7-1.656*G7^2)</f>
        <v>4.5606586883839517</v>
      </c>
      <c r="Z22">
        <f t="shared" si="7"/>
        <v>-1.2844439743733416</v>
      </c>
      <c r="AA22">
        <f t="shared" si="8"/>
        <v>1.2844439743733416</v>
      </c>
      <c r="AB22">
        <f>((H4*I4^2)^(1/3))*(EXP(LN(1+(40.52*(1-K22/H4)^1.287)/((190.56*45.99^2)^(1/3)))+(LN(1+(52.095*(1-K22/H4)^1.21548)/((568.7*24.9^2)^(1/3)))-LN(1+(40.52*(1-K22/H4)^1.287)/((190.56*45.99^2)^(1/3))))*(G7-G10)/(H10-G10))-1)</f>
        <v>4.5389218433093399</v>
      </c>
      <c r="AC22">
        <f t="shared" si="9"/>
        <v>-1.7549384565077966</v>
      </c>
      <c r="AD22">
        <f t="shared" si="10"/>
        <v>1.7549384565077966</v>
      </c>
      <c r="AE22">
        <f>0.05902*(H4-K22)^1.25</f>
        <v>4.3133969738111499</v>
      </c>
      <c r="AF22">
        <f t="shared" si="11"/>
        <v>-6.6364291382867995</v>
      </c>
      <c r="AG22">
        <f t="shared" si="12"/>
        <v>6.6364291382867995</v>
      </c>
    </row>
    <row r="23" spans="2:33" x14ac:dyDescent="0.25">
      <c r="B23" s="142">
        <v>285</v>
      </c>
      <c r="C23" s="56">
        <v>2.48</v>
      </c>
      <c r="D23" s="51"/>
      <c r="E23" s="144"/>
      <c r="K23">
        <v>275</v>
      </c>
      <c r="L23">
        <v>4.2300000000000004</v>
      </c>
      <c r="M23">
        <v>4.1503478640000004</v>
      </c>
      <c r="N23">
        <f t="shared" si="13"/>
        <v>-1.8830292198581555</v>
      </c>
      <c r="O23">
        <f t="shared" si="0"/>
        <v>1.8830292198581555</v>
      </c>
      <c r="P23">
        <f t="shared" si="16"/>
        <v>4.2086835155238562</v>
      </c>
      <c r="Q23">
        <f t="shared" si="1"/>
        <v>-0.50393580321853904</v>
      </c>
      <c r="R23">
        <f t="shared" si="2"/>
        <v>0.50393580321853904</v>
      </c>
      <c r="S23">
        <f t="shared" si="14"/>
        <v>4.4602293847185477</v>
      </c>
      <c r="T23">
        <f t="shared" si="3"/>
        <v>5.4427750524479253</v>
      </c>
      <c r="U23">
        <f t="shared" si="4"/>
        <v>5.4427750524479253</v>
      </c>
      <c r="V23">
        <f t="shared" si="15"/>
        <v>4.1166494351947414</v>
      </c>
      <c r="W23">
        <f t="shared" si="5"/>
        <v>-2.6796823831030512</v>
      </c>
      <c r="X23">
        <f t="shared" si="6"/>
        <v>2.6796823831030512</v>
      </c>
      <c r="Y23">
        <f>((H4*I4^2)^(1/3))*(0.1574+0.359*G7-0.51*G7^2)*((1-K23/H4)/0.4)^(1.21+0.5385*G7-1.656*G7^2)</f>
        <v>4.223484228512338</v>
      </c>
      <c r="Z23">
        <f t="shared" si="7"/>
        <v>-0.15403715100856899</v>
      </c>
      <c r="AA23">
        <f t="shared" si="8"/>
        <v>0.15403715100856899</v>
      </c>
      <c r="AB23">
        <f>((H4*I4^2)^(1/3))*(EXP(LN(1+(40.52*(1-K23/H4)^1.287)/((190.56*45.99^2)^(1/3)))+(LN(1+(52.095*(1-K23/H4)^1.21548)/((568.7*24.9^2)^(1/3)))-LN(1+(40.52*(1-K23/H4)^1.287)/((190.56*45.99^2)^(1/3))))*(G7-G10)/(H10-G10))-1)</f>
        <v>4.2055989372778928</v>
      </c>
      <c r="AC23">
        <f t="shared" si="9"/>
        <v>-0.57685727475431736</v>
      </c>
      <c r="AD23">
        <f t="shared" si="10"/>
        <v>0.57685727475431736</v>
      </c>
      <c r="AE23">
        <f>0.05902*(H4-K23)^1.25</f>
        <v>3.9938455426568562</v>
      </c>
      <c r="AF23">
        <f t="shared" si="11"/>
        <v>-5.5828476913272853</v>
      </c>
      <c r="AG23">
        <f t="shared" si="12"/>
        <v>5.5828476913272853</v>
      </c>
    </row>
    <row r="24" spans="2:33" x14ac:dyDescent="0.25">
      <c r="B24" s="142">
        <v>290</v>
      </c>
      <c r="C24" s="56">
        <v>1.69</v>
      </c>
      <c r="D24" s="51"/>
      <c r="E24" s="144"/>
      <c r="K24">
        <v>278.14999999999998</v>
      </c>
      <c r="L24">
        <v>3.75</v>
      </c>
      <c r="M24">
        <v>3.5954639670000001</v>
      </c>
      <c r="N24">
        <f t="shared" si="13"/>
        <v>-4.1209608799999957</v>
      </c>
      <c r="O24">
        <f t="shared" si="0"/>
        <v>4.1209608799999957</v>
      </c>
      <c r="P24">
        <f t="shared" si="16"/>
        <v>3.6592848040399772</v>
      </c>
      <c r="Q24">
        <f t="shared" si="1"/>
        <v>-2.4190718922672736</v>
      </c>
      <c r="R24">
        <f t="shared" si="2"/>
        <v>2.4190718922672736</v>
      </c>
      <c r="S24">
        <f t="shared" si="14"/>
        <v>3.8779940448911718</v>
      </c>
      <c r="T24">
        <f t="shared" si="3"/>
        <v>3.4131745304312489</v>
      </c>
      <c r="U24">
        <f t="shared" si="4"/>
        <v>3.4131745304312489</v>
      </c>
      <c r="V24">
        <f t="shared" si="15"/>
        <v>3.5614775427806902</v>
      </c>
      <c r="W24">
        <f t="shared" si="5"/>
        <v>-5.0272655258482626</v>
      </c>
      <c r="X24">
        <f t="shared" si="6"/>
        <v>5.0272655258482626</v>
      </c>
      <c r="Y24">
        <f>((H4*I4^2)^(1/3))*(0.1574+0.359*G7-0.51*G7^2)*((1-K24/H4)/0.4)^(1.21+0.5385*G7-1.656*G7^2)</f>
        <v>3.6616174779360104</v>
      </c>
      <c r="Z24">
        <f t="shared" si="7"/>
        <v>-2.3568672550397216</v>
      </c>
      <c r="AA24">
        <f t="shared" si="8"/>
        <v>2.3568672550397216</v>
      </c>
      <c r="AB24">
        <f>((H4*I4^2)^(1/3))*(EXP(LN(1+(40.52*(1-K24/H4)^1.287)/((190.56*45.99^2)^(1/3)))+(LN(1+(52.095*(1-K24/H4)^1.21548)/((568.7*24.9^2)^(1/3)))-LN(1+(40.52*(1-K24/H4)^1.287)/((190.56*45.99^2)^(1/3))))*(G7-G10)/(H10-G10))-1)</f>
        <v>3.6497507267299891</v>
      </c>
      <c r="AC24">
        <f t="shared" si="9"/>
        <v>-2.6733139538669568</v>
      </c>
      <c r="AD24">
        <f t="shared" si="10"/>
        <v>2.6733139538669568</v>
      </c>
      <c r="AE24">
        <f>0.05902*(H4-K24)^1.25</f>
        <v>3.4614696267467862</v>
      </c>
      <c r="AF24">
        <f t="shared" si="11"/>
        <v>-7.6941432867523689</v>
      </c>
      <c r="AG24">
        <f t="shared" si="12"/>
        <v>7.6941432867523689</v>
      </c>
    </row>
    <row r="25" spans="2:33" x14ac:dyDescent="0.25">
      <c r="B25" s="142">
        <v>295</v>
      </c>
      <c r="C25" s="56">
        <v>0.96299999999999997</v>
      </c>
      <c r="D25" s="51"/>
      <c r="E25" s="144"/>
      <c r="K25">
        <v>280</v>
      </c>
      <c r="L25">
        <v>3.33</v>
      </c>
      <c r="M25">
        <v>3.2773395519999999</v>
      </c>
      <c r="N25">
        <f t="shared" si="13"/>
        <v>-1.581394834834839</v>
      </c>
      <c r="O25">
        <f t="shared" si="0"/>
        <v>1.581394834834839</v>
      </c>
      <c r="P25">
        <f t="shared" si="16"/>
        <v>3.3433533094553649</v>
      </c>
      <c r="Q25">
        <f t="shared" si="1"/>
        <v>0.40100028394489001</v>
      </c>
      <c r="R25">
        <f t="shared" si="2"/>
        <v>0.40100028394489001</v>
      </c>
      <c r="S25">
        <f t="shared" si="14"/>
        <v>3.5431798611905605</v>
      </c>
      <c r="T25">
        <f t="shared" si="3"/>
        <v>6.4017976333501636</v>
      </c>
      <c r="U25">
        <f t="shared" si="4"/>
        <v>6.4017976333501636</v>
      </c>
      <c r="V25">
        <f t="shared" si="15"/>
        <v>3.2433745998858141</v>
      </c>
      <c r="W25">
        <f t="shared" si="5"/>
        <v>-2.6013633667923712</v>
      </c>
      <c r="X25">
        <f t="shared" si="6"/>
        <v>2.6013633667923712</v>
      </c>
      <c r="Y25">
        <f>((H4*I4^2)^(1/3))*(0.1574+0.359*G7-0.51*G7^2)*((1-K25/H4)/0.4)^(1.21+0.5385*G7-1.656*G7^2)</f>
        <v>3.3392855055845372</v>
      </c>
      <c r="Z25">
        <f t="shared" si="7"/>
        <v>0.27884401154766103</v>
      </c>
      <c r="AA25">
        <f t="shared" si="8"/>
        <v>0.27884401154766103</v>
      </c>
      <c r="AB25">
        <f>((H4*I4^2)^(1/3))*(EXP(LN(1+(40.52*(1-K25/H4)^1.287)/((190.56*45.99^2)^(1/3)))+(LN(1+(52.095*(1-K25/H4)^1.21548)/((568.7*24.9^2)^(1/3)))-LN(1+(40.52*(1-K25/H4)^1.287)/((190.56*45.99^2)^(1/3))))*(G7-G10)/(H10-G10))-1)</f>
        <v>3.3306204465453111</v>
      </c>
      <c r="AC25">
        <f t="shared" si="9"/>
        <v>1.8632028387718175E-2</v>
      </c>
      <c r="AD25">
        <f t="shared" si="10"/>
        <v>1.8632028387718175E-2</v>
      </c>
      <c r="AE25">
        <f>0.05902*(H4-K25)^1.25</f>
        <v>3.1561334659398299</v>
      </c>
      <c r="AF25">
        <f t="shared" si="11"/>
        <v>-5.2212172390441491</v>
      </c>
      <c r="AG25">
        <f t="shared" si="12"/>
        <v>5.2212172390441491</v>
      </c>
    </row>
    <row r="26" spans="2:33" x14ac:dyDescent="0.25">
      <c r="B26" s="142">
        <v>300</v>
      </c>
      <c r="C26" s="56">
        <v>0.34899999999999998</v>
      </c>
      <c r="D26" s="51"/>
      <c r="E26" s="144"/>
      <c r="K26">
        <v>283.14999999999998</v>
      </c>
      <c r="L26">
        <v>2.67</v>
      </c>
      <c r="M26">
        <v>2.7499989899999999</v>
      </c>
      <c r="N26">
        <f t="shared" si="13"/>
        <v>2.9962168539325842</v>
      </c>
      <c r="O26">
        <f t="shared" si="0"/>
        <v>2.9962168539325842</v>
      </c>
      <c r="P26">
        <f t="shared" si="16"/>
        <v>2.8178902938382717</v>
      </c>
      <c r="Q26">
        <f t="shared" si="1"/>
        <v>5.5389623160401422</v>
      </c>
      <c r="R26">
        <f t="shared" si="2"/>
        <v>5.5389623160401422</v>
      </c>
      <c r="S26">
        <f t="shared" si="14"/>
        <v>2.9863108131394487</v>
      </c>
      <c r="T26">
        <f t="shared" si="3"/>
        <v>11.846846934061752</v>
      </c>
      <c r="U26">
        <f t="shared" si="4"/>
        <v>11.846846934061752</v>
      </c>
      <c r="V26">
        <f t="shared" si="15"/>
        <v>2.7165164225989336</v>
      </c>
      <c r="W26">
        <f t="shared" si="5"/>
        <v>1.7421881123196115</v>
      </c>
      <c r="X26">
        <f t="shared" si="6"/>
        <v>1.7421881123196115</v>
      </c>
      <c r="Y26">
        <f>((H4*I4^2)^(1/3))*(0.1574+0.359*G7-0.51*G7^2)*((1-K26/H4)/0.4)^(1.21+0.5385*G7-1.656*G7^2)</f>
        <v>2.8045942962585246</v>
      </c>
      <c r="Z26">
        <f t="shared" si="7"/>
        <v>5.0409848785964311</v>
      </c>
      <c r="AA26">
        <f t="shared" si="8"/>
        <v>5.0409848785964311</v>
      </c>
      <c r="AB26">
        <f>((H4*I4^2)^(1/3))*(EXP(LN(1+(40.52*(1-K26/H4)^1.287)/((190.56*45.99^2)^(1/3)))+(LN(1+(52.095*(1-K26/H4)^1.21548)/((568.7*24.9^2)^(1/3)))-LN(1+(40.52*(1-K26/H4)^1.287)/((190.56*45.99^2)^(1/3))))*(G7-G10)/(H10-G10))-1)</f>
        <v>2.800775613614737</v>
      </c>
      <c r="AC26">
        <f t="shared" si="9"/>
        <v>4.8979630567317267</v>
      </c>
      <c r="AD26">
        <f t="shared" si="10"/>
        <v>4.8979630567317267</v>
      </c>
      <c r="AE26">
        <f>0.05902*(H4-K26)^1.25</f>
        <v>2.6497779516222919</v>
      </c>
      <c r="AF26">
        <f t="shared" si="11"/>
        <v>-0.75738008905273502</v>
      </c>
      <c r="AG26">
        <f t="shared" si="12"/>
        <v>0.75738008905273502</v>
      </c>
    </row>
    <row r="27" spans="2:33" x14ac:dyDescent="0.25">
      <c r="B27" s="142">
        <v>301</v>
      </c>
      <c r="C27" s="56">
        <v>0.24299999999999999</v>
      </c>
      <c r="D27" s="51"/>
      <c r="E27" s="144"/>
      <c r="K27">
        <v>285</v>
      </c>
      <c r="L27">
        <v>2.48</v>
      </c>
      <c r="M27">
        <v>2.4493706579999999</v>
      </c>
      <c r="N27">
        <f t="shared" si="13"/>
        <v>-1.2350541129032304</v>
      </c>
      <c r="O27">
        <f t="shared" si="0"/>
        <v>1.2350541129032304</v>
      </c>
      <c r="P27">
        <f t="shared" si="16"/>
        <v>2.5172141230533525</v>
      </c>
      <c r="Q27">
        <f t="shared" si="1"/>
        <v>1.5005694779577612</v>
      </c>
      <c r="R27">
        <f t="shared" si="2"/>
        <v>1.5005694779577612</v>
      </c>
      <c r="S27">
        <f t="shared" si="14"/>
        <v>2.6676637380450825</v>
      </c>
      <c r="T27">
        <f t="shared" si="3"/>
        <v>7.5670862114952628</v>
      </c>
      <c r="U27">
        <f t="shared" si="4"/>
        <v>7.5670862114952628</v>
      </c>
      <c r="V27">
        <f t="shared" si="15"/>
        <v>2.4164982587567794</v>
      </c>
      <c r="W27">
        <f t="shared" si="5"/>
        <v>-2.5605540823879278</v>
      </c>
      <c r="X27">
        <f t="shared" si="6"/>
        <v>2.5605540823879278</v>
      </c>
      <c r="Y27">
        <f>((H4*I4^2)^(1/3))*(0.1574+0.359*G7-0.51*G7^2)*((1-K27/H4)/0.4)^(1.21+0.5385*G7-1.656*G7^2)</f>
        <v>2.4995368918894596</v>
      </c>
      <c r="Z27">
        <f t="shared" si="7"/>
        <v>0.78777789876853299</v>
      </c>
      <c r="AA27">
        <f t="shared" si="8"/>
        <v>0.78777789876853299</v>
      </c>
      <c r="AB27">
        <f>((H4*I4^2)^(1/3))*(EXP(LN(1+(40.52*(1-K27/H4)^1.287)/((190.56*45.99^2)^(1/3)))+(LN(1+(52.095*(1-K27/H4)^1.21548)/((568.7*24.9^2)^(1/3)))-LN(1+(40.52*(1-K27/H4)^1.287)/((190.56*45.99^2)^(1/3))))*(G7-G10)/(H10-G10))-1)</f>
        <v>2.4981868123381026</v>
      </c>
      <c r="AC27">
        <f t="shared" si="9"/>
        <v>0.73333920718155643</v>
      </c>
      <c r="AD27">
        <f t="shared" si="10"/>
        <v>0.73333920718155643</v>
      </c>
      <c r="AE27">
        <f>0.05902*(H4-K27)^1.25</f>
        <v>2.3609774287147074</v>
      </c>
      <c r="AF27">
        <f t="shared" si="11"/>
        <v>-4.7992972292456688</v>
      </c>
      <c r="AG27">
        <f t="shared" si="12"/>
        <v>4.7992972292456688</v>
      </c>
    </row>
    <row r="28" spans="2:33" x14ac:dyDescent="0.25">
      <c r="B28" s="145">
        <v>302</v>
      </c>
      <c r="C28" s="86">
        <v>0.14799999999999999</v>
      </c>
      <c r="D28" s="109"/>
      <c r="E28" s="146"/>
      <c r="K28">
        <v>288.14999999999998</v>
      </c>
      <c r="L28">
        <v>1.9</v>
      </c>
      <c r="M28">
        <v>1.9546054799999999</v>
      </c>
      <c r="N28">
        <f t="shared" si="13"/>
        <v>2.8739726315789467</v>
      </c>
      <c r="O28">
        <f t="shared" si="0"/>
        <v>2.8739726315789467</v>
      </c>
      <c r="P28">
        <f t="shared" si="16"/>
        <v>2.0202637677498805</v>
      </c>
      <c r="Q28">
        <f t="shared" si="1"/>
        <v>6.3296719868358196</v>
      </c>
      <c r="R28">
        <f t="shared" si="2"/>
        <v>6.3296719868358196</v>
      </c>
      <c r="S28">
        <f t="shared" si="14"/>
        <v>2.1410115036123454</v>
      </c>
      <c r="T28">
        <f t="shared" si="3"/>
        <v>12.684815979597129</v>
      </c>
      <c r="U28">
        <f t="shared" si="4"/>
        <v>12.684815979597129</v>
      </c>
      <c r="V28">
        <f t="shared" si="15"/>
        <v>1.923472819776374</v>
      </c>
      <c r="W28">
        <f t="shared" si="5"/>
        <v>1.2354115671775818</v>
      </c>
      <c r="X28">
        <f t="shared" si="6"/>
        <v>1.2354115671775818</v>
      </c>
      <c r="Y28">
        <f>((H4*I4^2)^(1/3))*(0.1574+0.359*G7-0.51*G7^2)*((1-K28/H4)/0.4)^(1.21+0.5385*G7-1.656*G7^2)</f>
        <v>1.99703457118545</v>
      </c>
      <c r="Z28">
        <f t="shared" si="7"/>
        <v>5.1070826939710585</v>
      </c>
      <c r="AA28">
        <f t="shared" si="8"/>
        <v>5.1070826939710585</v>
      </c>
      <c r="AB28">
        <f>((H4*I4^2)^(1/3))*(EXP(LN(1+(40.52*(1-K28/H4)^1.287)/((190.56*45.99^2)^(1/3)))+(LN(1+(52.095*(1-K28/H4)^1.21548)/((568.7*24.9^2)^(1/3)))-LN(1+(40.52*(1-K28/H4)^1.287)/((190.56*45.99^2)^(1/3))))*(G7-G10)/(H10-G10))-1)</f>
        <v>1.9991900566273069</v>
      </c>
      <c r="AC28">
        <f t="shared" si="9"/>
        <v>5.2205292961740506</v>
      </c>
      <c r="AD28">
        <f t="shared" si="10"/>
        <v>5.2205292961740506</v>
      </c>
      <c r="AE28">
        <f>0.05902*(H4-K28)^1.25</f>
        <v>1.8854239580122014</v>
      </c>
      <c r="AF28">
        <f t="shared" si="11"/>
        <v>-0.76716010462097339</v>
      </c>
      <c r="AG28">
        <f t="shared" si="12"/>
        <v>0.76716010462097339</v>
      </c>
    </row>
    <row r="29" spans="2:33" x14ac:dyDescent="0.25">
      <c r="B29" s="147">
        <v>220.95</v>
      </c>
      <c r="C29" s="54">
        <v>16.54</v>
      </c>
      <c r="D29" s="54" t="s">
        <v>142</v>
      </c>
      <c r="E29" s="148" t="s">
        <v>157</v>
      </c>
      <c r="F29" t="s">
        <v>203</v>
      </c>
      <c r="K29">
        <v>290</v>
      </c>
      <c r="L29">
        <v>1.69</v>
      </c>
      <c r="M29">
        <v>1.6751128669999999</v>
      </c>
      <c r="N29">
        <f t="shared" si="13"/>
        <v>-0.88089544378698204</v>
      </c>
      <c r="O29">
        <f t="shared" si="0"/>
        <v>0.88089544378698204</v>
      </c>
      <c r="P29">
        <f t="shared" si="16"/>
        <v>1.738166095589966</v>
      </c>
      <c r="Q29">
        <f t="shared" si="1"/>
        <v>2.8500648278086449</v>
      </c>
      <c r="R29">
        <f t="shared" si="2"/>
        <v>2.8500648278086449</v>
      </c>
      <c r="S29">
        <f t="shared" si="14"/>
        <v>1.8420533324675286</v>
      </c>
      <c r="T29">
        <f t="shared" si="3"/>
        <v>8.9972386075460715</v>
      </c>
      <c r="U29">
        <f t="shared" si="4"/>
        <v>8.9972386075460715</v>
      </c>
      <c r="V29">
        <f t="shared" si="15"/>
        <v>1.6454920746420185</v>
      </c>
      <c r="W29">
        <f t="shared" si="5"/>
        <v>-2.6336050507681317</v>
      </c>
      <c r="X29">
        <f t="shared" si="6"/>
        <v>2.6336050507681317</v>
      </c>
      <c r="Y29">
        <f>((H4*I4^2)^(1/3))*(0.1574+0.359*G7-0.51*G7^2)*((1-K29/H4)/0.4)^(1.21+0.5385*G7-1.656*G7^2)</f>
        <v>1.7128807585502674</v>
      </c>
      <c r="Z29">
        <f t="shared" si="7"/>
        <v>1.3538910384773668</v>
      </c>
      <c r="AA29">
        <f t="shared" si="8"/>
        <v>1.3538910384773668</v>
      </c>
      <c r="AB29">
        <f>((H4*I4^2)^(1/3))*(EXP(LN(1+(40.52*(1-K29/H4)^1.287)/((190.56*45.99^2)^(1/3)))+(LN(1+(52.095*(1-K29/H4)^1.21548)/((568.7*24.9^2)^(1/3)))-LN(1+(40.52*(1-K29/H4)^1.287)/((190.56*45.99^2)^(1/3))))*(G7-G10)/(H10-G10))-1)</f>
        <v>1.7166518643588144</v>
      </c>
      <c r="AC29">
        <f t="shared" si="9"/>
        <v>1.5770333940126926</v>
      </c>
      <c r="AD29">
        <f t="shared" si="10"/>
        <v>1.5770333940126926</v>
      </c>
      <c r="AE29">
        <f>0.05902*(H4-K29)^1.25</f>
        <v>1.6166192574961105</v>
      </c>
      <c r="AF29">
        <f t="shared" si="11"/>
        <v>-4.3420557694609165</v>
      </c>
      <c r="AG29">
        <f t="shared" si="12"/>
        <v>4.3420557694609165</v>
      </c>
    </row>
    <row r="30" spans="2:33" x14ac:dyDescent="0.25">
      <c r="B30" s="147">
        <v>230.45</v>
      </c>
      <c r="C30" s="54">
        <v>13.88</v>
      </c>
      <c r="D30" s="54" t="s">
        <v>160</v>
      </c>
      <c r="E30" s="148"/>
      <c r="K30">
        <v>293.14999999999998</v>
      </c>
      <c r="L30">
        <v>1.19</v>
      </c>
      <c r="M30">
        <v>1.2208469770000001</v>
      </c>
      <c r="N30">
        <f t="shared" si="13"/>
        <v>2.5921829411764845</v>
      </c>
      <c r="O30">
        <f t="shared" si="0"/>
        <v>2.5921829411764845</v>
      </c>
      <c r="P30">
        <f t="shared" si="16"/>
        <v>1.2769969750247849</v>
      </c>
      <c r="Q30">
        <f t="shared" si="1"/>
        <v>7.310670170149999</v>
      </c>
      <c r="R30">
        <f t="shared" si="2"/>
        <v>7.310670170149999</v>
      </c>
      <c r="S30">
        <f t="shared" si="14"/>
        <v>1.3533209164322957</v>
      </c>
      <c r="T30">
        <f t="shared" si="3"/>
        <v>13.72444675901645</v>
      </c>
      <c r="U30">
        <f t="shared" si="4"/>
        <v>13.72444675901645</v>
      </c>
      <c r="V30">
        <f t="shared" si="15"/>
        <v>1.1948120872690091</v>
      </c>
      <c r="W30">
        <f t="shared" si="5"/>
        <v>0.40437708142934192</v>
      </c>
      <c r="X30">
        <f t="shared" si="6"/>
        <v>0.40437708142934192</v>
      </c>
      <c r="Y30">
        <f>((H4*I4^2)^(1/3))*(0.1574+0.359*G7-0.51*G7^2)*((1-K30/H4)/0.4)^(1.21+0.5385*G7-1.656*G7^2)</f>
        <v>1.250475821105806</v>
      </c>
      <c r="Z30">
        <f t="shared" si="7"/>
        <v>5.082001773597149</v>
      </c>
      <c r="AA30">
        <f t="shared" si="8"/>
        <v>5.082001773597149</v>
      </c>
      <c r="AB30">
        <f>((H4*I4^2)^(1/3))*(EXP(LN(1+(40.52*(1-K30/H4)^1.287)/((190.56*45.99^2)^(1/3)))+(LN(1+(52.095*(1-K30/H4)^1.21548)/((568.7*24.9^2)^(1/3)))-LN(1+(40.52*(1-K30/H4)^1.287)/((190.56*45.99^2)^(1/3))))*(G7-G10)/(H10-G10))-1)</f>
        <v>1.2561559725253808</v>
      </c>
      <c r="AC30">
        <f t="shared" si="9"/>
        <v>5.5593254223009128</v>
      </c>
      <c r="AD30">
        <f t="shared" si="10"/>
        <v>5.5593254223009128</v>
      </c>
      <c r="AE30">
        <f>0.05902*(H4-K30)^1.25</f>
        <v>1.179405444381183</v>
      </c>
      <c r="AF30">
        <f t="shared" si="11"/>
        <v>-0.89029879149722257</v>
      </c>
      <c r="AG30">
        <f t="shared" si="12"/>
        <v>0.89029879149722257</v>
      </c>
    </row>
    <row r="31" spans="2:33" x14ac:dyDescent="0.25">
      <c r="B31" s="147">
        <v>240.85</v>
      </c>
      <c r="C31" s="54">
        <v>11.25</v>
      </c>
      <c r="D31" s="52"/>
      <c r="E31" s="148"/>
      <c r="K31">
        <v>295</v>
      </c>
      <c r="L31">
        <v>0.96299999999999997</v>
      </c>
      <c r="M31">
        <v>0.96863054199999998</v>
      </c>
      <c r="N31">
        <f t="shared" si="13"/>
        <v>0.58468764278297158</v>
      </c>
      <c r="O31">
        <f t="shared" si="0"/>
        <v>0.58468764278297158</v>
      </c>
      <c r="P31">
        <f t="shared" si="16"/>
        <v>1.0191395522898892</v>
      </c>
      <c r="Q31">
        <f t="shared" si="1"/>
        <v>5.8296523665513202</v>
      </c>
      <c r="R31">
        <f t="shared" si="2"/>
        <v>5.8296523665513202</v>
      </c>
      <c r="S31">
        <f t="shared" si="14"/>
        <v>1.0800517932711498</v>
      </c>
      <c r="T31">
        <f t="shared" si="3"/>
        <v>12.15491103542573</v>
      </c>
      <c r="U31">
        <f t="shared" si="4"/>
        <v>12.15491103542573</v>
      </c>
      <c r="V31">
        <f t="shared" si="15"/>
        <v>0.94539370782155385</v>
      </c>
      <c r="W31">
        <f t="shared" si="5"/>
        <v>-1.8282754079383297</v>
      </c>
      <c r="X31">
        <f t="shared" si="6"/>
        <v>1.8282754079383297</v>
      </c>
      <c r="Y31">
        <f>((H4*I4^2)^(1/3))*(0.1574+0.359*G7-0.51*G7^2)*((1-K31/H4)/0.4)^(1.21+0.5385*G7-1.656*G7^2)</f>
        <v>0.99336075803403789</v>
      </c>
      <c r="Z31">
        <f t="shared" si="7"/>
        <v>3.1527266909696707</v>
      </c>
      <c r="AA31">
        <f t="shared" si="8"/>
        <v>3.1527266909696707</v>
      </c>
      <c r="AB31">
        <f>((H4*I4^2)^(1/3))*(EXP(LN(1+(40.52*(1-K31/H4)^1.287)/((190.56*45.99^2)^(1/3)))+(LN(1+(52.095*(1-K31/H4)^1.21548)/((568.7*24.9^2)^(1/3)))-LN(1+(40.52*(1-K31/H4)^1.287)/((190.56*45.99^2)^(1/3))))*(G7-G10)/(H10-G10))-1)</f>
        <v>0.99960989953009338</v>
      </c>
      <c r="AC31">
        <f t="shared" si="9"/>
        <v>3.8016510415465645</v>
      </c>
      <c r="AD31">
        <f t="shared" si="10"/>
        <v>3.8016510415465645</v>
      </c>
      <c r="AE31">
        <f>0.05902*(H4-K31)^1.25</f>
        <v>0.93644147178355241</v>
      </c>
      <c r="AF31">
        <f t="shared" si="11"/>
        <v>-2.7578949342105457</v>
      </c>
      <c r="AG31">
        <f t="shared" si="12"/>
        <v>2.7578949342105457</v>
      </c>
    </row>
    <row r="32" spans="2:33" x14ac:dyDescent="0.25">
      <c r="B32" s="147">
        <v>251.45</v>
      </c>
      <c r="C32" s="54">
        <v>9.0500000000000007</v>
      </c>
      <c r="D32" s="52"/>
      <c r="E32" s="148"/>
      <c r="K32">
        <v>298.14999999999998</v>
      </c>
      <c r="L32">
        <v>0.56999999999999995</v>
      </c>
      <c r="M32">
        <v>0.56971088400000003</v>
      </c>
      <c r="N32">
        <f t="shared" si="13"/>
        <v>-5.0722105263144329E-2</v>
      </c>
      <c r="O32">
        <f t="shared" si="0"/>
        <v>5.0722105263144329E-2</v>
      </c>
      <c r="P32">
        <f t="shared" si="16"/>
        <v>0.60753490862877035</v>
      </c>
      <c r="Q32">
        <f t="shared" si="1"/>
        <v>6.5850716892579655</v>
      </c>
      <c r="R32">
        <f t="shared" si="2"/>
        <v>6.5850716892579655</v>
      </c>
      <c r="S32">
        <f t="shared" si="14"/>
        <v>0.643846238785445</v>
      </c>
      <c r="T32">
        <f t="shared" si="3"/>
        <v>12.955480488674571</v>
      </c>
      <c r="U32">
        <f t="shared" si="4"/>
        <v>12.955480488674571</v>
      </c>
      <c r="V32">
        <f t="shared" si="15"/>
        <v>0.55263831764119864</v>
      </c>
      <c r="W32">
        <f t="shared" si="5"/>
        <v>-3.0459091857546161</v>
      </c>
      <c r="X32">
        <f t="shared" si="6"/>
        <v>3.0459091857546161</v>
      </c>
      <c r="Y32">
        <f>((H4*I4^2)^(1/3))*(0.1574+0.359*G7-0.51*G7^2)*((1-K32/H4)/0.4)^(1.21+0.5385*G7-1.656*G7^2)</f>
        <v>0.58590858414207203</v>
      </c>
      <c r="Z32">
        <f t="shared" si="7"/>
        <v>2.7909796740477337</v>
      </c>
      <c r="AA32">
        <f t="shared" si="8"/>
        <v>2.7909796740477337</v>
      </c>
      <c r="AB32">
        <f>((H4*I4^2)^(1/3))*(EXP(LN(1+(40.52*(1-K32/H4)^1.287)/((190.56*45.99^2)^(1/3)))+(LN(1+(52.095*(1-K32/H4)^1.21548)/((568.7*24.9^2)^(1/3)))-LN(1+(40.52*(1-K32/H4)^1.287)/((190.56*45.99^2)^(1/3))))*(G7-G10)/(H10-G10))-1)</f>
        <v>0.59201651704954195</v>
      </c>
      <c r="AC32">
        <f t="shared" si="9"/>
        <v>3.8625468507968415</v>
      </c>
      <c r="AD32">
        <f t="shared" si="10"/>
        <v>3.8625468507968415</v>
      </c>
      <c r="AE32">
        <f>0.05902*(H4-K32)^1.25</f>
        <v>0.55171177802185511</v>
      </c>
      <c r="AF32">
        <f t="shared" si="11"/>
        <v>-3.2084599961657609</v>
      </c>
      <c r="AG32">
        <f t="shared" si="12"/>
        <v>3.2084599961657609</v>
      </c>
    </row>
    <row r="33" spans="2:33" x14ac:dyDescent="0.25">
      <c r="B33" s="147">
        <v>261.85000000000002</v>
      </c>
      <c r="C33" s="54">
        <v>6.81</v>
      </c>
      <c r="D33" s="52"/>
      <c r="E33" s="148"/>
      <c r="K33">
        <v>300</v>
      </c>
      <c r="L33">
        <v>0.34899999999999998</v>
      </c>
      <c r="M33">
        <v>0.35809572699999997</v>
      </c>
      <c r="N33">
        <f t="shared" si="13"/>
        <v>2.6062255014326645</v>
      </c>
      <c r="O33">
        <f t="shared" si="0"/>
        <v>2.6062255014326645</v>
      </c>
      <c r="P33">
        <f t="shared" si="16"/>
        <v>0.38639013989828846</v>
      </c>
      <c r="Q33">
        <f t="shared" si="1"/>
        <v>10.713507134180084</v>
      </c>
      <c r="R33">
        <f t="shared" si="2"/>
        <v>10.713507134180084</v>
      </c>
      <c r="S33">
        <f t="shared" si="14"/>
        <v>0.40948402263631489</v>
      </c>
      <c r="T33">
        <f t="shared" si="3"/>
        <v>17.330665511838085</v>
      </c>
      <c r="U33">
        <f t="shared" si="4"/>
        <v>17.330665511838085</v>
      </c>
      <c r="V33">
        <f t="shared" si="15"/>
        <v>0.3455823866710247</v>
      </c>
      <c r="W33">
        <f t="shared" si="5"/>
        <v>-0.9792588335172715</v>
      </c>
      <c r="X33">
        <f t="shared" si="6"/>
        <v>0.9792588335172715</v>
      </c>
      <c r="Y33">
        <f>((H4*I4^2)^(1/3))*(0.1574+0.359*G7-0.51*G7^2)*((1-K33/H4)/0.4)^(1.21+0.5385*G7-1.656*G7^2)</f>
        <v>0.36918792356539126</v>
      </c>
      <c r="Z33">
        <f t="shared" si="7"/>
        <v>5.7845053195963567</v>
      </c>
      <c r="AA33">
        <f t="shared" si="8"/>
        <v>5.7845053195963567</v>
      </c>
      <c r="AB33">
        <f>((H4*I4^2)^(1/3))*(EXP(LN(1+(40.52*(1-K33/H4)^1.287)/((190.56*45.99^2)^(1/3)))+(LN(1+(52.095*(1-K33/H4)^1.21548)/((568.7*24.9^2)^(1/3)))-LN(1+(40.52*(1-K33/H4)^1.287)/((190.56*45.99^2)^(1/3))))*(G7-G10)/(H10-G10))-1)</f>
        <v>0.37442710477091345</v>
      </c>
      <c r="AC33">
        <f t="shared" si="9"/>
        <v>7.285703372754579</v>
      </c>
      <c r="AD33">
        <f t="shared" si="10"/>
        <v>7.285703372754579</v>
      </c>
      <c r="AE33">
        <f>0.05902*(H4-K33)^1.25</f>
        <v>0.34729626846814676</v>
      </c>
      <c r="AF33">
        <f t="shared" si="11"/>
        <v>-0.48817522402670899</v>
      </c>
      <c r="AG33">
        <f t="shared" si="12"/>
        <v>0.48817522402670899</v>
      </c>
    </row>
    <row r="34" spans="2:33" x14ac:dyDescent="0.25">
      <c r="B34" s="147">
        <v>267.14999999999998</v>
      </c>
      <c r="C34" s="54">
        <v>5.79</v>
      </c>
      <c r="D34" s="52"/>
      <c r="E34" s="148"/>
      <c r="K34">
        <v>301</v>
      </c>
      <c r="L34">
        <v>0.24299999999999999</v>
      </c>
      <c r="M34">
        <v>0.25289165699999999</v>
      </c>
      <c r="N34">
        <f t="shared" si="13"/>
        <v>4.0706407407407399</v>
      </c>
      <c r="O34">
        <f t="shared" si="0"/>
        <v>4.0706407407407399</v>
      </c>
      <c r="P34">
        <f t="shared" si="16"/>
        <v>0.2752894365459575</v>
      </c>
      <c r="Q34">
        <f t="shared" si="1"/>
        <v>13.287833969529839</v>
      </c>
      <c r="R34">
        <f t="shared" si="2"/>
        <v>13.287833969529839</v>
      </c>
      <c r="S34">
        <f t="shared" si="14"/>
        <v>0.29174301884565917</v>
      </c>
      <c r="T34">
        <f t="shared" si="3"/>
        <v>20.058855492040816</v>
      </c>
      <c r="U34">
        <f t="shared" si="4"/>
        <v>20.058855492040816</v>
      </c>
      <c r="V34">
        <f t="shared" si="15"/>
        <v>0.24315971055263194</v>
      </c>
      <c r="W34">
        <f t="shared" si="5"/>
        <v>6.5724507255945502E-2</v>
      </c>
      <c r="X34">
        <f t="shared" si="6"/>
        <v>6.5724507255945502E-2</v>
      </c>
      <c r="Y34">
        <f>((H4*I4^2)^(1/3))*(0.1574+0.359*G7-0.51*G7^2)*((1-K34/H4)/0.4)^(1.21+0.5385*G7-1.656*G7^2)</f>
        <v>0.26120811201581401</v>
      </c>
      <c r="Z34">
        <f t="shared" si="7"/>
        <v>7.493050212269142</v>
      </c>
      <c r="AA34">
        <f t="shared" si="8"/>
        <v>7.493050212269142</v>
      </c>
      <c r="AB34">
        <f>((H4*I4^2)^(1/3))*(EXP(LN(1+(40.52*(1-K34/H4)^1.287)/((190.56*45.99^2)^(1/3)))+(LN(1+(52.095*(1-K34/H4)^1.21548)/((568.7*24.9^2)^(1/3)))-LN(1+(40.52*(1-K34/H4)^1.287)/((190.56*45.99^2)^(1/3))))*(G7-G10)/(H10-G10))-1)</f>
        <v>0.26567708485331809</v>
      </c>
      <c r="AC34">
        <f t="shared" si="9"/>
        <v>9.3321336844930443</v>
      </c>
      <c r="AD34">
        <f t="shared" si="10"/>
        <v>9.3321336844930443</v>
      </c>
      <c r="AE34">
        <f>0.05902*(H4-K34)^1.25</f>
        <v>0.24553722586413945</v>
      </c>
      <c r="AF34">
        <f t="shared" si="11"/>
        <v>1.0441258700162381</v>
      </c>
      <c r="AG34">
        <f t="shared" si="12"/>
        <v>1.0441258700162381</v>
      </c>
    </row>
    <row r="35" spans="2:33" x14ac:dyDescent="0.25">
      <c r="B35" s="147">
        <v>273.14999999999998</v>
      </c>
      <c r="C35" s="54">
        <v>4.62</v>
      </c>
      <c r="D35" s="52"/>
      <c r="E35" s="148"/>
      <c r="K35">
        <v>302</v>
      </c>
      <c r="L35">
        <v>0.14799999999999999</v>
      </c>
      <c r="M35">
        <v>0.156013717</v>
      </c>
      <c r="N35">
        <f t="shared" si="13"/>
        <v>5.4146736486486509</v>
      </c>
      <c r="O35">
        <f t="shared" si="0"/>
        <v>5.4146736486486509</v>
      </c>
      <c r="P35">
        <f t="shared" si="16"/>
        <v>0.17192288094172614</v>
      </c>
      <c r="Q35">
        <f t="shared" si="1"/>
        <v>16.16410874440956</v>
      </c>
      <c r="R35">
        <f t="shared" si="2"/>
        <v>16.16410874440956</v>
      </c>
      <c r="S35">
        <f t="shared" si="14"/>
        <v>0.18219841968476203</v>
      </c>
      <c r="T35">
        <f t="shared" si="3"/>
        <v>23.107040327541913</v>
      </c>
      <c r="U35">
        <f t="shared" si="4"/>
        <v>23.107040327541913</v>
      </c>
      <c r="V35">
        <f t="shared" si="15"/>
        <v>0.14928769737302364</v>
      </c>
      <c r="W35">
        <f t="shared" si="5"/>
        <v>0.87006579258354333</v>
      </c>
      <c r="X35">
        <f t="shared" si="6"/>
        <v>0.87006579258354333</v>
      </c>
      <c r="Y35">
        <f>((H4*I4^2)^(1/3))*(0.1574+0.359*G7-0.51*G7^2)*((1-K35/H4)/0.4)^(1.21+0.5385*G7-1.656*G7^2)</f>
        <v>0.16155899036343593</v>
      </c>
      <c r="Z35">
        <f t="shared" si="7"/>
        <v>9.1614799752945544</v>
      </c>
      <c r="AA35">
        <f t="shared" si="8"/>
        <v>9.1614799752945544</v>
      </c>
      <c r="AB35">
        <f>((H4*I4^2)^(1/3))*(EXP(LN(1+(40.52*(1-K35/H4)^1.287)/((190.56*45.99^2)^(1/3)))+(LN(1+(52.095*(1-K35/H4)^1.21548)/((568.7*24.9^2)^(1/3)))-LN(1+(40.52*(1-K35/H4)^1.287)/((190.56*45.99^2)^(1/3))))*(G7-G10)/(H10-G10))-1)</f>
        <v>0.16500052422187139</v>
      </c>
      <c r="AC35">
        <f t="shared" si="9"/>
        <v>11.486840690453647</v>
      </c>
      <c r="AD35">
        <f t="shared" si="10"/>
        <v>11.486840690453647</v>
      </c>
      <c r="AE35">
        <f>0.05902*(H4-K35)^1.25</f>
        <v>0.1517101905155131</v>
      </c>
      <c r="AF35">
        <f t="shared" si="11"/>
        <v>2.506885483454802</v>
      </c>
      <c r="AG35">
        <f t="shared" si="12"/>
        <v>2.506885483454802</v>
      </c>
    </row>
    <row r="36" spans="2:33" ht="15.75" thickBot="1" x14ac:dyDescent="0.3">
      <c r="B36" s="149">
        <v>278.14999999999998</v>
      </c>
      <c r="C36" s="150">
        <v>3.75</v>
      </c>
      <c r="D36" s="151"/>
      <c r="E36" s="152"/>
      <c r="K36">
        <v>303.14999999999998</v>
      </c>
      <c r="L36">
        <v>7.0000000000000007E-2</v>
      </c>
      <c r="M36">
        <v>5.8861519000000001E-2</v>
      </c>
      <c r="N36">
        <f t="shared" si="13"/>
        <v>-15.912115714285722</v>
      </c>
      <c r="O36">
        <f t="shared" si="0"/>
        <v>15.912115714285722</v>
      </c>
      <c r="P36">
        <f t="shared" si="16"/>
        <v>6.648597770707855E-2</v>
      </c>
      <c r="Q36">
        <f t="shared" si="1"/>
        <v>-5.0200318470306513</v>
      </c>
      <c r="R36">
        <f t="shared" si="2"/>
        <v>5.0200318470306513</v>
      </c>
      <c r="S36">
        <f t="shared" si="14"/>
        <v>7.0459731730135394E-2</v>
      </c>
      <c r="T36">
        <f t="shared" si="3"/>
        <v>0.65675961447912512</v>
      </c>
      <c r="U36">
        <f t="shared" si="4"/>
        <v>0.65675961447912512</v>
      </c>
      <c r="V36">
        <f t="shared" si="15"/>
        <v>5.5831133485994403E-2</v>
      </c>
      <c r="W36">
        <f t="shared" si="5"/>
        <v>-20.241237877150862</v>
      </c>
      <c r="X36">
        <f t="shared" si="6"/>
        <v>20.241237877150862</v>
      </c>
      <c r="Y36">
        <f>((H4*I4^2)^(1/3))*(0.1574+0.359*G7-0.51*G7^2)*((1-K36/H4)/0.4)^(1.21+0.5385*G7-1.656*G7^2)</f>
        <v>6.1270630625939078E-2</v>
      </c>
      <c r="Z36">
        <f t="shared" si="7"/>
        <v>-12.470527677229898</v>
      </c>
      <c r="AA36">
        <f t="shared" si="8"/>
        <v>12.470527677229898</v>
      </c>
      <c r="AB36">
        <f>((H4*I4^2)^(1/3))*(EXP(LN(1+(40.52*(1-K36/H4)^1.287)/((190.56*45.99^2)^(1/3)))+(LN(1+(52.095*(1-K36/H4)^1.21548)/((568.7*24.9^2)^(1/3)))-LN(1+(40.52*(1-K36/H4)^1.287)/((190.56*45.99^2)^(1/3))))*(G7-G10)/(H10-G10))-1)</f>
        <v>6.3125980125222497E-2</v>
      </c>
      <c r="AC36">
        <f t="shared" si="9"/>
        <v>-9.8200283925392977</v>
      </c>
      <c r="AD36">
        <f t="shared" si="10"/>
        <v>9.8200283925392977</v>
      </c>
      <c r="AE36">
        <f>0.05902*(H4-K36)^1.25</f>
        <v>5.7416111719641408E-2</v>
      </c>
      <c r="AF36">
        <f t="shared" si="11"/>
        <v>-17.976983257655139</v>
      </c>
      <c r="AG36">
        <f t="shared" si="12"/>
        <v>17.976983257655139</v>
      </c>
    </row>
    <row r="37" spans="2:33" x14ac:dyDescent="0.25">
      <c r="K37" s="43"/>
      <c r="L37" s="44" t="s">
        <v>145</v>
      </c>
      <c r="M37" s="43"/>
      <c r="N37" s="44">
        <f>1/COUNT(N4:N36)*SUM(N4:N36)</f>
        <v>-1.2423827695968992</v>
      </c>
      <c r="O37" s="44">
        <f>1/COUNT(O4:O36)*SUM(O4:O36)</f>
        <v>3.1841665595670006</v>
      </c>
      <c r="P37" s="43"/>
      <c r="Q37" s="44">
        <f>1/COUNT(Q4:Q36)*SUM(Q4:Q36)</f>
        <v>0.74565375471252804</v>
      </c>
      <c r="R37" s="44">
        <f>1/COUNT(R4:R36)*SUM(R4:R36)</f>
        <v>4.6231587616787211</v>
      </c>
      <c r="S37" s="43"/>
      <c r="T37" s="44">
        <f>1/COUNT(T4:T36)*SUM(T4:T36)</f>
        <v>6.7670504569927532</v>
      </c>
      <c r="U37" s="44">
        <f>1/COUNT(U4:U36)*SUM(U4:U36)</f>
        <v>6.9413764757928282</v>
      </c>
      <c r="V37" s="43"/>
      <c r="W37" s="44">
        <f>1/COUNT(W4:W36)*SUM(W4:W36)</f>
        <v>-2.5242697929529583</v>
      </c>
      <c r="X37" s="44">
        <f>1/COUNT(X4:X36)*SUM(X4:X36)</f>
        <v>3.3450819276449031</v>
      </c>
      <c r="Y37" s="43"/>
      <c r="Z37" s="44">
        <f>1/COUNT(Z4:Z36)*SUM(Z4:Z36)</f>
        <v>0.61365707475220066</v>
      </c>
      <c r="AA37" s="44">
        <f>1/COUNT(AA4:AA36)*SUM(AA4:AA36)</f>
        <v>3.1278841485251294</v>
      </c>
      <c r="AB37" s="43"/>
      <c r="AC37" s="44">
        <f>1/COUNT(AC4:AC36)*SUM(AC4:AC36)</f>
        <v>0.38965006368835231</v>
      </c>
      <c r="AD37" s="44">
        <f>1/COUNT(AD4:AD36)*SUM(AD4:AD36)</f>
        <v>3.6877340428922993</v>
      </c>
      <c r="AE37" s="44"/>
      <c r="AF37" s="44">
        <f>1/COUNT(AF4:AF36)*SUM(AF4:AF36)</f>
        <v>-4.9013700840726004</v>
      </c>
      <c r="AG37" s="44">
        <f>1/COUNT(AG4:AG36)*SUM(AG4:AG36)</f>
        <v>5.1165828933738755</v>
      </c>
    </row>
    <row r="38" spans="2:33" x14ac:dyDescent="0.25">
      <c r="L38" s="45" t="s">
        <v>151</v>
      </c>
      <c r="N38" s="45">
        <f>1/COUNT(N5:N34)*SUM(N5:N34)</f>
        <v>-0.93867904673555158</v>
      </c>
      <c r="O38" s="45">
        <f>1/COUNT(O5:O34)*SUM(O5:O34)</f>
        <v>2.7136629724594199</v>
      </c>
      <c r="Q38" s="45">
        <f>1/COUNT(Q5:Q34)*SUM(Q5:Q34)</f>
        <v>0.59450243133112957</v>
      </c>
      <c r="R38" s="45">
        <f>1/COUNT(R5:R34)*SUM(R5:R34)</f>
        <v>4.2335840870719412</v>
      </c>
      <c r="T38" s="45">
        <f>1/COUNT(T5:T34)*SUM(T5:T34)</f>
        <v>6.6068650756025589</v>
      </c>
      <c r="U38" s="45">
        <f>1/COUNT(U5:U34)*SUM(U5:U34)</f>
        <v>6.7986236962826423</v>
      </c>
      <c r="W38" s="45">
        <f>1/COUNT(W5:W34)*SUM(W5:W34)</f>
        <v>-2.0325732490274691</v>
      </c>
      <c r="X38" s="45">
        <f>1/COUNT(X5:X34)*SUM(X5:X34)</f>
        <v>2.8774622110163723</v>
      </c>
      <c r="Z38" s="45">
        <f>1/COUNT(Z5:Z34)*SUM(Z5:Z34)</f>
        <v>0.8302307385113219</v>
      </c>
      <c r="AA38" s="45">
        <f>1/COUNT(AA5:AA34)*SUM(AA5:AA34)</f>
        <v>2.6746992754074377</v>
      </c>
      <c r="AC38" s="45">
        <f>1/COUNT(AC5:AC34)*SUM(AC5:AC34)</f>
        <v>0.46217112925168041</v>
      </c>
      <c r="AD38" s="45">
        <f>1/COUNT(AD5:AD34)*SUM(AD5:AD34)</f>
        <v>3.2571620086234598</v>
      </c>
      <c r="AE38" s="45"/>
      <c r="AF38" s="45">
        <f>1/COUNT(AF5:AF34)*SUM(AF5:AF34)</f>
        <v>-4.661294776768937</v>
      </c>
      <c r="AG38" s="45">
        <f>1/COUNT(AG5:AG34)*SUM(AG5:AG34)</f>
        <v>4.7309031681033531</v>
      </c>
    </row>
    <row r="39" spans="2:33" x14ac:dyDescent="0.25">
      <c r="L39" s="45"/>
      <c r="M39" t="s">
        <v>201</v>
      </c>
      <c r="N39" s="45"/>
      <c r="O39" s="45"/>
      <c r="P39" t="s">
        <v>255</v>
      </c>
      <c r="Q39" s="45"/>
      <c r="R39" s="45"/>
      <c r="S39" t="s">
        <v>256</v>
      </c>
      <c r="T39" s="45"/>
      <c r="U39" s="45"/>
      <c r="V39" t="s">
        <v>257</v>
      </c>
      <c r="W39" s="45"/>
      <c r="X39" s="45"/>
      <c r="Y39" t="s">
        <v>258</v>
      </c>
      <c r="Z39" s="45"/>
      <c r="AA39" s="45"/>
      <c r="AB39" t="s">
        <v>259</v>
      </c>
      <c r="AC39" s="45"/>
      <c r="AD39" s="45"/>
      <c r="AE39" t="s">
        <v>254</v>
      </c>
    </row>
    <row r="40" spans="2:33" ht="17.25" x14ac:dyDescent="0.25">
      <c r="B40" s="46" t="s">
        <v>1</v>
      </c>
      <c r="C40" s="46" t="s">
        <v>135</v>
      </c>
      <c r="D40" s="46" t="s">
        <v>136</v>
      </c>
      <c r="E40" s="46" t="s">
        <v>128</v>
      </c>
      <c r="O40" s="42" t="s">
        <v>144</v>
      </c>
      <c r="P40">
        <v>216.55</v>
      </c>
      <c r="Q40">
        <v>16.899999999999999</v>
      </c>
      <c r="R40">
        <v>16.771144710000002</v>
      </c>
      <c r="S40">
        <f t="shared" ref="S40:S72" si="17">100*(R40-Q40)/Q40</f>
        <v>-0.76245733727808918</v>
      </c>
      <c r="T40">
        <f t="shared" ref="T40:T72" si="18">ABS(S40)</f>
        <v>0.76245733727808918</v>
      </c>
    </row>
    <row r="41" spans="2:33" x14ac:dyDescent="0.25">
      <c r="B41" s="41">
        <v>243.15</v>
      </c>
      <c r="C41" s="53">
        <v>10.8</v>
      </c>
      <c r="D41">
        <v>10.48199947</v>
      </c>
      <c r="E41">
        <f>100*(D41-C41)/C41</f>
        <v>-2.9444493518518593</v>
      </c>
      <c r="P41">
        <v>220</v>
      </c>
      <c r="Q41">
        <v>16.07</v>
      </c>
      <c r="R41">
        <v>15.94556665</v>
      </c>
      <c r="S41">
        <f t="shared" si="17"/>
        <v>-0.77432078406969718</v>
      </c>
      <c r="T41">
        <f t="shared" si="18"/>
        <v>0.77432078406969718</v>
      </c>
    </row>
    <row r="42" spans="2:33" x14ac:dyDescent="0.25">
      <c r="B42" s="41">
        <v>253.15</v>
      </c>
      <c r="C42" s="55">
        <v>8.06</v>
      </c>
      <c r="D42">
        <v>8.3732747809999992</v>
      </c>
      <c r="E42">
        <f t="shared" ref="E42:E73" si="19">100*(D42-C42)/C42</f>
        <v>3.8867838833746737</v>
      </c>
      <c r="P42">
        <v>220.95</v>
      </c>
      <c r="Q42">
        <v>16.54</v>
      </c>
      <c r="R42">
        <v>15.719736640000001</v>
      </c>
      <c r="S42">
        <f t="shared" si="17"/>
        <v>-4.959270616686811</v>
      </c>
      <c r="T42">
        <f t="shared" si="18"/>
        <v>4.959270616686811</v>
      </c>
    </row>
    <row r="43" spans="2:33" x14ac:dyDescent="0.25">
      <c r="B43" s="41">
        <v>263.14999999999998</v>
      </c>
      <c r="C43" s="55">
        <v>6.14</v>
      </c>
      <c r="D43">
        <v>6.3676105429999996</v>
      </c>
      <c r="E43">
        <f t="shared" si="19"/>
        <v>3.7070121009771979</v>
      </c>
      <c r="P43">
        <v>230</v>
      </c>
      <c r="Q43">
        <v>13.75</v>
      </c>
      <c r="R43">
        <v>13.602305680000001</v>
      </c>
      <c r="S43">
        <f t="shared" si="17"/>
        <v>-1.0741405090909046</v>
      </c>
      <c r="T43">
        <f t="shared" si="18"/>
        <v>1.0741405090909046</v>
      </c>
    </row>
    <row r="44" spans="2:33" x14ac:dyDescent="0.25">
      <c r="B44" s="41">
        <v>273.14999999999998</v>
      </c>
      <c r="C44" s="55">
        <v>4.34</v>
      </c>
      <c r="D44">
        <v>4.4835253880000003</v>
      </c>
      <c r="E44">
        <f t="shared" si="19"/>
        <v>3.3070365898617622</v>
      </c>
      <c r="P44">
        <v>230.45</v>
      </c>
      <c r="Q44">
        <v>13.88</v>
      </c>
      <c r="R44">
        <v>13.49867386</v>
      </c>
      <c r="S44">
        <f t="shared" si="17"/>
        <v>-2.7473064841498598</v>
      </c>
      <c r="T44">
        <f t="shared" si="18"/>
        <v>2.7473064841498598</v>
      </c>
    </row>
    <row r="45" spans="2:33" x14ac:dyDescent="0.25">
      <c r="B45" s="41">
        <v>283.14999999999998</v>
      </c>
      <c r="C45" s="55">
        <v>2.67</v>
      </c>
      <c r="D45">
        <v>2.7499989899999999</v>
      </c>
      <c r="E45">
        <f t="shared" si="19"/>
        <v>2.9962168539325842</v>
      </c>
      <c r="P45">
        <v>240</v>
      </c>
      <c r="Q45">
        <v>11.45</v>
      </c>
      <c r="R45">
        <v>11.338795380000001</v>
      </c>
      <c r="S45">
        <f t="shared" si="17"/>
        <v>-0.97121938864627744</v>
      </c>
      <c r="T45">
        <f t="shared" si="18"/>
        <v>0.97121938864627744</v>
      </c>
    </row>
    <row r="46" spans="2:33" x14ac:dyDescent="0.25">
      <c r="B46" s="41">
        <v>288.14999999999998</v>
      </c>
      <c r="C46" s="55">
        <v>1.9</v>
      </c>
      <c r="D46">
        <v>1.9546054799999999</v>
      </c>
      <c r="E46">
        <f t="shared" si="19"/>
        <v>2.8739726315789467</v>
      </c>
      <c r="P46">
        <v>240.85</v>
      </c>
      <c r="Q46">
        <v>11.25</v>
      </c>
      <c r="R46">
        <v>11.15034955</v>
      </c>
      <c r="S46">
        <f t="shared" si="17"/>
        <v>-0.88578177777778122</v>
      </c>
      <c r="T46">
        <f t="shared" si="18"/>
        <v>0.88578177777778122</v>
      </c>
    </row>
    <row r="47" spans="2:33" x14ac:dyDescent="0.25">
      <c r="B47" s="41">
        <v>293.14999999999998</v>
      </c>
      <c r="C47" s="55">
        <v>1.19</v>
      </c>
      <c r="D47">
        <v>1.2208469770000001</v>
      </c>
      <c r="E47">
        <f t="shared" si="19"/>
        <v>2.5921829411764845</v>
      </c>
      <c r="P47">
        <v>243.15</v>
      </c>
      <c r="Q47">
        <v>10.8</v>
      </c>
      <c r="R47">
        <v>10.64369962</v>
      </c>
      <c r="S47">
        <f t="shared" si="17"/>
        <v>-1.4472257407407512</v>
      </c>
      <c r="T47">
        <f t="shared" si="18"/>
        <v>1.4472257407407512</v>
      </c>
    </row>
    <row r="48" spans="2:33" x14ac:dyDescent="0.25">
      <c r="B48" s="41">
        <v>298.14999999999998</v>
      </c>
      <c r="C48" s="55">
        <v>0.56999999999999995</v>
      </c>
      <c r="D48">
        <v>0.56971088400000003</v>
      </c>
      <c r="E48">
        <f t="shared" si="19"/>
        <v>-5.0722105263144329E-2</v>
      </c>
      <c r="P48">
        <v>250</v>
      </c>
      <c r="Q48">
        <v>9.26</v>
      </c>
      <c r="R48">
        <v>9.1641741660000005</v>
      </c>
      <c r="S48">
        <f t="shared" si="17"/>
        <v>-1.0348362203023687</v>
      </c>
      <c r="T48">
        <f t="shared" si="18"/>
        <v>1.0348362203023687</v>
      </c>
    </row>
    <row r="49" spans="2:20" x14ac:dyDescent="0.25">
      <c r="B49" s="107">
        <v>303.14999999999998</v>
      </c>
      <c r="C49" s="103">
        <v>7.0000000000000007E-2</v>
      </c>
      <c r="D49">
        <v>5.8861519000000001E-2</v>
      </c>
      <c r="E49">
        <f t="shared" si="19"/>
        <v>-15.912115714285722</v>
      </c>
      <c r="P49">
        <v>251.45</v>
      </c>
      <c r="Q49">
        <v>9.0500000000000007</v>
      </c>
      <c r="R49">
        <v>8.8569002920000006</v>
      </c>
      <c r="S49">
        <f t="shared" si="17"/>
        <v>-2.1336984309392273</v>
      </c>
      <c r="T49">
        <f t="shared" si="18"/>
        <v>2.1336984309392273</v>
      </c>
    </row>
    <row r="50" spans="2:20" x14ac:dyDescent="0.25">
      <c r="B50" s="49">
        <v>216.55</v>
      </c>
      <c r="C50" s="56">
        <v>16.899999999999999</v>
      </c>
      <c r="D50">
        <v>16.504401770000001</v>
      </c>
      <c r="E50">
        <f t="shared" si="19"/>
        <v>-2.3408179289940674</v>
      </c>
      <c r="P50">
        <v>253.15</v>
      </c>
      <c r="Q50">
        <v>8.06</v>
      </c>
      <c r="R50">
        <v>8.4993994310000005</v>
      </c>
      <c r="S50">
        <f t="shared" si="17"/>
        <v>5.4516058436724562</v>
      </c>
      <c r="T50">
        <f t="shared" si="18"/>
        <v>5.4516058436724562</v>
      </c>
    </row>
    <row r="51" spans="2:20" x14ac:dyDescent="0.25">
      <c r="B51" s="49">
        <v>220</v>
      </c>
      <c r="C51" s="56">
        <v>16.07</v>
      </c>
      <c r="D51">
        <v>15.693215800000001</v>
      </c>
      <c r="E51">
        <f t="shared" si="19"/>
        <v>-2.344643434971994</v>
      </c>
      <c r="P51">
        <v>260</v>
      </c>
      <c r="Q51">
        <v>7.16</v>
      </c>
      <c r="R51">
        <v>7.09050022</v>
      </c>
      <c r="S51">
        <f t="shared" si="17"/>
        <v>-0.97066731843575582</v>
      </c>
      <c r="T51">
        <f t="shared" si="18"/>
        <v>0.97066731843575582</v>
      </c>
    </row>
    <row r="52" spans="2:20" x14ac:dyDescent="0.25">
      <c r="B52" s="49">
        <v>230</v>
      </c>
      <c r="C52" s="56">
        <v>13.75</v>
      </c>
      <c r="D52">
        <v>13.390427320000001</v>
      </c>
      <c r="E52">
        <f t="shared" si="19"/>
        <v>-2.615074036363632</v>
      </c>
      <c r="P52">
        <v>261.85000000000002</v>
      </c>
      <c r="Q52">
        <v>6.81</v>
      </c>
      <c r="R52">
        <v>6.719169881</v>
      </c>
      <c r="S52">
        <f t="shared" si="17"/>
        <v>-1.3337756093979385</v>
      </c>
      <c r="T52">
        <f t="shared" si="18"/>
        <v>1.3337756093979385</v>
      </c>
    </row>
    <row r="53" spans="2:20" x14ac:dyDescent="0.25">
      <c r="B53" s="49">
        <v>240</v>
      </c>
      <c r="C53" s="56">
        <v>11.45</v>
      </c>
      <c r="D53">
        <v>11.16541046</v>
      </c>
      <c r="E53">
        <f t="shared" si="19"/>
        <v>-2.4854981659388553</v>
      </c>
      <c r="P53">
        <v>263.14999999999998</v>
      </c>
      <c r="Q53">
        <v>6.14</v>
      </c>
      <c r="R53">
        <v>6.460702242</v>
      </c>
      <c r="S53">
        <f t="shared" si="17"/>
        <v>5.2231635504886036</v>
      </c>
      <c r="T53">
        <f t="shared" si="18"/>
        <v>5.2231635504886036</v>
      </c>
    </row>
    <row r="54" spans="2:20" x14ac:dyDescent="0.25">
      <c r="B54" s="49">
        <v>250</v>
      </c>
      <c r="C54" s="56">
        <v>9.26</v>
      </c>
      <c r="D54">
        <v>9.0271022179999996</v>
      </c>
      <c r="E54">
        <f t="shared" si="19"/>
        <v>-2.5150948380129612</v>
      </c>
      <c r="P54">
        <v>267.14999999999998</v>
      </c>
      <c r="Q54">
        <v>5.79</v>
      </c>
      <c r="R54">
        <v>5.6787558200000001</v>
      </c>
      <c r="S54">
        <f t="shared" si="17"/>
        <v>-1.921315716753021</v>
      </c>
      <c r="T54">
        <f t="shared" si="18"/>
        <v>1.921315716753021</v>
      </c>
    </row>
    <row r="55" spans="2:20" x14ac:dyDescent="0.25">
      <c r="B55" s="49">
        <v>260</v>
      </c>
      <c r="C55" s="56">
        <v>7.16</v>
      </c>
      <c r="D55">
        <v>6.9872987970000002</v>
      </c>
      <c r="E55">
        <f t="shared" si="19"/>
        <v>-2.4120279748603339</v>
      </c>
      <c r="P55">
        <v>270</v>
      </c>
      <c r="Q55">
        <v>5.17</v>
      </c>
      <c r="R55">
        <v>5.1345657649999996</v>
      </c>
      <c r="S55">
        <f t="shared" si="17"/>
        <v>-0.68538172147002541</v>
      </c>
      <c r="T55">
        <f t="shared" si="18"/>
        <v>0.68538172147002541</v>
      </c>
    </row>
    <row r="56" spans="2:20" x14ac:dyDescent="0.25">
      <c r="B56" s="49">
        <v>270</v>
      </c>
      <c r="C56" s="56">
        <v>5.17</v>
      </c>
      <c r="D56">
        <v>5.0624339149999997</v>
      </c>
      <c r="E56">
        <f t="shared" si="19"/>
        <v>-2.0805819148936209</v>
      </c>
      <c r="P56">
        <v>273.14999999999998</v>
      </c>
      <c r="Q56">
        <v>4.34</v>
      </c>
      <c r="R56">
        <v>4.546528028</v>
      </c>
      <c r="S56">
        <f t="shared" si="17"/>
        <v>4.7587103225806482</v>
      </c>
      <c r="T56">
        <f t="shared" si="18"/>
        <v>4.7587103225806482</v>
      </c>
    </row>
    <row r="57" spans="2:20" x14ac:dyDescent="0.25">
      <c r="B57" s="49">
        <v>273.14999999999998</v>
      </c>
      <c r="C57" s="56">
        <v>4.57</v>
      </c>
      <c r="D57">
        <v>4.4835253880000003</v>
      </c>
      <c r="E57">
        <f t="shared" si="19"/>
        <v>-1.8922234573304146</v>
      </c>
      <c r="P57">
        <v>273.14999999999998</v>
      </c>
      <c r="Q57">
        <v>4.57</v>
      </c>
      <c r="R57">
        <v>4.546528028</v>
      </c>
      <c r="S57">
        <f t="shared" si="17"/>
        <v>-0.51360989059081585</v>
      </c>
      <c r="T57">
        <f t="shared" si="18"/>
        <v>0.51360989059081585</v>
      </c>
    </row>
    <row r="58" spans="2:20" x14ac:dyDescent="0.25">
      <c r="B58" s="49">
        <v>275</v>
      </c>
      <c r="C58" s="56">
        <v>4.2300000000000004</v>
      </c>
      <c r="D58">
        <v>4.1503478640000004</v>
      </c>
      <c r="E58">
        <f t="shared" si="19"/>
        <v>-1.8830292198581555</v>
      </c>
      <c r="P58">
        <v>273.14999999999998</v>
      </c>
      <c r="Q58">
        <v>4.62</v>
      </c>
      <c r="R58">
        <v>4.546528028</v>
      </c>
      <c r="S58">
        <f t="shared" si="17"/>
        <v>-1.5903024242424266</v>
      </c>
      <c r="T58">
        <f t="shared" si="18"/>
        <v>1.5903024242424266</v>
      </c>
    </row>
    <row r="59" spans="2:20" x14ac:dyDescent="0.25">
      <c r="B59" s="49">
        <v>280</v>
      </c>
      <c r="C59" s="56">
        <v>3.33</v>
      </c>
      <c r="D59">
        <v>3.2773395519999999</v>
      </c>
      <c r="E59">
        <f t="shared" si="19"/>
        <v>-1.581394834834839</v>
      </c>
      <c r="P59">
        <v>275</v>
      </c>
      <c r="Q59">
        <v>4.2300000000000004</v>
      </c>
      <c r="R59">
        <v>4.2081504010000002</v>
      </c>
      <c r="S59">
        <f t="shared" si="17"/>
        <v>-0.51653898345154314</v>
      </c>
      <c r="T59">
        <f t="shared" si="18"/>
        <v>0.51653898345154314</v>
      </c>
    </row>
    <row r="60" spans="2:20" x14ac:dyDescent="0.25">
      <c r="B60" s="49">
        <v>285</v>
      </c>
      <c r="C60" s="56">
        <v>2.48</v>
      </c>
      <c r="D60">
        <v>2.4493706579999999</v>
      </c>
      <c r="E60">
        <f t="shared" si="19"/>
        <v>-1.2350541129032304</v>
      </c>
      <c r="P60">
        <v>278.14999999999998</v>
      </c>
      <c r="Q60">
        <v>3.75</v>
      </c>
      <c r="R60">
        <v>3.644704188</v>
      </c>
      <c r="S60">
        <f t="shared" si="17"/>
        <v>-2.8078883200000013</v>
      </c>
      <c r="T60">
        <f t="shared" si="18"/>
        <v>2.8078883200000013</v>
      </c>
    </row>
    <row r="61" spans="2:20" x14ac:dyDescent="0.25">
      <c r="B61" s="49">
        <v>290</v>
      </c>
      <c r="C61" s="56">
        <v>1.69</v>
      </c>
      <c r="D61">
        <v>1.6751128669999999</v>
      </c>
      <c r="E61">
        <f t="shared" si="19"/>
        <v>-0.88089544378698204</v>
      </c>
      <c r="P61">
        <v>280</v>
      </c>
      <c r="Q61">
        <v>3.33</v>
      </c>
      <c r="R61">
        <v>3.3217321979999999</v>
      </c>
      <c r="S61">
        <f t="shared" si="17"/>
        <v>-0.24828234234234872</v>
      </c>
      <c r="T61">
        <f t="shared" si="18"/>
        <v>0.24828234234234872</v>
      </c>
    </row>
    <row r="62" spans="2:20" x14ac:dyDescent="0.25">
      <c r="B62" s="49">
        <v>295</v>
      </c>
      <c r="C62" s="56">
        <v>0.96299999999999997</v>
      </c>
      <c r="D62">
        <v>0.96863054199999998</v>
      </c>
      <c r="E62">
        <f t="shared" si="19"/>
        <v>0.58468764278297158</v>
      </c>
      <c r="P62">
        <v>283.14999999999998</v>
      </c>
      <c r="Q62">
        <v>2.67</v>
      </c>
      <c r="R62">
        <v>2.786468884</v>
      </c>
      <c r="S62">
        <f t="shared" si="17"/>
        <v>4.3621304868913899</v>
      </c>
      <c r="T62">
        <f t="shared" si="18"/>
        <v>4.3621304868913899</v>
      </c>
    </row>
    <row r="63" spans="2:20" x14ac:dyDescent="0.25">
      <c r="B63" s="49">
        <v>300</v>
      </c>
      <c r="C63" s="56">
        <v>0.34899999999999998</v>
      </c>
      <c r="D63">
        <v>0.35809572699999997</v>
      </c>
      <c r="E63">
        <f t="shared" si="19"/>
        <v>2.6062255014326645</v>
      </c>
      <c r="P63">
        <v>285</v>
      </c>
      <c r="Q63">
        <v>2.48</v>
      </c>
      <c r="R63">
        <v>2.4813954759999999</v>
      </c>
      <c r="S63">
        <f t="shared" si="17"/>
        <v>5.626919354838289E-2</v>
      </c>
      <c r="T63">
        <f t="shared" si="18"/>
        <v>5.626919354838289E-2</v>
      </c>
    </row>
    <row r="64" spans="2:20" x14ac:dyDescent="0.25">
      <c r="B64" s="49">
        <v>301</v>
      </c>
      <c r="C64" s="56">
        <v>0.24299999999999999</v>
      </c>
      <c r="D64">
        <v>0.25289165699999999</v>
      </c>
      <c r="E64">
        <f t="shared" si="19"/>
        <v>4.0706407407407399</v>
      </c>
      <c r="P64">
        <v>288.14999999999998</v>
      </c>
      <c r="Q64">
        <v>1.9</v>
      </c>
      <c r="R64">
        <v>1.9794489</v>
      </c>
      <c r="S64">
        <f t="shared" si="17"/>
        <v>4.1815210526315818</v>
      </c>
      <c r="T64">
        <f t="shared" si="18"/>
        <v>4.1815210526315818</v>
      </c>
    </row>
    <row r="65" spans="2:20" x14ac:dyDescent="0.25">
      <c r="B65" s="105">
        <v>302</v>
      </c>
      <c r="C65" s="86">
        <v>0.14799999999999999</v>
      </c>
      <c r="D65">
        <v>0.156013717</v>
      </c>
      <c r="E65">
        <f t="shared" si="19"/>
        <v>5.4146736486486509</v>
      </c>
      <c r="P65">
        <v>290</v>
      </c>
      <c r="Q65">
        <v>1.69</v>
      </c>
      <c r="R65">
        <v>1.6959864389999999</v>
      </c>
      <c r="S65">
        <f t="shared" si="17"/>
        <v>0.35422715976331093</v>
      </c>
      <c r="T65">
        <f t="shared" si="18"/>
        <v>0.35422715976331093</v>
      </c>
    </row>
    <row r="66" spans="2:20" x14ac:dyDescent="0.25">
      <c r="B66" s="33">
        <v>220.95</v>
      </c>
      <c r="C66" s="54">
        <v>16.54</v>
      </c>
      <c r="D66">
        <v>15.47131113</v>
      </c>
      <c r="E66">
        <f t="shared" si="19"/>
        <v>-6.4612386336154719</v>
      </c>
      <c r="P66">
        <v>293.14999999999998</v>
      </c>
      <c r="Q66">
        <v>1.19</v>
      </c>
      <c r="R66">
        <v>1.235436481</v>
      </c>
      <c r="S66">
        <f t="shared" si="17"/>
        <v>3.818191680672276</v>
      </c>
      <c r="T66">
        <f t="shared" si="18"/>
        <v>3.818191680672276</v>
      </c>
    </row>
    <row r="67" spans="2:20" x14ac:dyDescent="0.25">
      <c r="B67" s="33">
        <v>230.45</v>
      </c>
      <c r="C67" s="54">
        <v>13.88</v>
      </c>
      <c r="D67">
        <v>13.288571559999999</v>
      </c>
      <c r="E67">
        <f t="shared" si="19"/>
        <v>-4.2610118155619698</v>
      </c>
      <c r="P67">
        <v>295</v>
      </c>
      <c r="Q67">
        <v>0.96299999999999997</v>
      </c>
      <c r="R67">
        <v>0.97984426700000005</v>
      </c>
      <c r="S67">
        <f t="shared" si="17"/>
        <v>1.7491450674974123</v>
      </c>
      <c r="T67">
        <f t="shared" si="18"/>
        <v>1.7491450674974123</v>
      </c>
    </row>
    <row r="68" spans="2:20" x14ac:dyDescent="0.25">
      <c r="B68" s="33">
        <v>240.85</v>
      </c>
      <c r="C68" s="54">
        <v>11.25</v>
      </c>
      <c r="D68">
        <v>10.980139230000001</v>
      </c>
      <c r="E68">
        <f t="shared" si="19"/>
        <v>-2.3987623999999936</v>
      </c>
      <c r="P68">
        <v>298.14999999999998</v>
      </c>
      <c r="Q68">
        <v>0.56999999999999995</v>
      </c>
      <c r="R68">
        <v>0.57581872599999995</v>
      </c>
      <c r="S68">
        <f t="shared" si="17"/>
        <v>1.020829122807017</v>
      </c>
      <c r="T68">
        <f t="shared" si="18"/>
        <v>1.020829122807017</v>
      </c>
    </row>
    <row r="69" spans="2:20" x14ac:dyDescent="0.25">
      <c r="B69" s="33">
        <v>251.45</v>
      </c>
      <c r="C69" s="54">
        <v>9.0500000000000007</v>
      </c>
      <c r="D69">
        <v>8.7248981650000008</v>
      </c>
      <c r="E69">
        <f t="shared" si="19"/>
        <v>-3.592285469613258</v>
      </c>
      <c r="P69">
        <v>300</v>
      </c>
      <c r="Q69">
        <v>0.34899999999999998</v>
      </c>
      <c r="R69">
        <v>0.36166692</v>
      </c>
      <c r="S69">
        <f t="shared" si="17"/>
        <v>3.6294899713467124</v>
      </c>
      <c r="T69">
        <f t="shared" si="18"/>
        <v>3.6294899713467124</v>
      </c>
    </row>
    <row r="70" spans="2:20" x14ac:dyDescent="0.25">
      <c r="B70" s="33">
        <v>261.85000000000002</v>
      </c>
      <c r="C70" s="54">
        <v>6.81</v>
      </c>
      <c r="D70">
        <v>6.621940307</v>
      </c>
      <c r="E70">
        <f t="shared" si="19"/>
        <v>-2.7615226578560881</v>
      </c>
      <c r="P70">
        <v>301</v>
      </c>
      <c r="Q70">
        <v>0.24299999999999999</v>
      </c>
      <c r="R70">
        <v>0.25527202199999999</v>
      </c>
      <c r="S70">
        <f t="shared" si="17"/>
        <v>5.0502148148148125</v>
      </c>
      <c r="T70">
        <f t="shared" si="18"/>
        <v>5.0502148148148125</v>
      </c>
    </row>
    <row r="71" spans="2:20" x14ac:dyDescent="0.25">
      <c r="B71" s="33">
        <v>267.14999999999998</v>
      </c>
      <c r="C71" s="54">
        <v>5.79</v>
      </c>
      <c r="D71">
        <v>5.5980809770000004</v>
      </c>
      <c r="E71">
        <f t="shared" si="19"/>
        <v>-3.3146636096718418</v>
      </c>
      <c r="P71">
        <v>302</v>
      </c>
      <c r="Q71">
        <v>0.14799999999999999</v>
      </c>
      <c r="R71">
        <v>0.15736093800000001</v>
      </c>
      <c r="S71">
        <f t="shared" si="17"/>
        <v>6.3249581081081176</v>
      </c>
      <c r="T71">
        <f t="shared" si="18"/>
        <v>6.3249581081081176</v>
      </c>
    </row>
    <row r="72" spans="2:20" x14ac:dyDescent="0.25">
      <c r="B72" s="33">
        <v>273.14999999999998</v>
      </c>
      <c r="C72" s="54">
        <v>4.62</v>
      </c>
      <c r="D72">
        <v>4.4835253880000003</v>
      </c>
      <c r="E72">
        <f t="shared" si="19"/>
        <v>-2.9539959307359256</v>
      </c>
      <c r="P72">
        <v>303.14999999999998</v>
      </c>
      <c r="Q72">
        <v>7.0000000000000007E-2</v>
      </c>
      <c r="R72">
        <v>5.9277577999999997E-2</v>
      </c>
      <c r="S72">
        <f t="shared" si="17"/>
        <v>-15.317745714285726</v>
      </c>
      <c r="T72">
        <f t="shared" si="18"/>
        <v>15.317745714285726</v>
      </c>
    </row>
    <row r="73" spans="2:20" x14ac:dyDescent="0.25">
      <c r="B73" s="33">
        <v>278.14999999999998</v>
      </c>
      <c r="C73" s="54">
        <v>3.75</v>
      </c>
      <c r="D73">
        <v>3.5954639670000001</v>
      </c>
      <c r="E73">
        <f t="shared" si="19"/>
        <v>-4.1209608799999957</v>
      </c>
      <c r="P73" s="43"/>
      <c r="Q73" s="44" t="s">
        <v>145</v>
      </c>
      <c r="R73" s="43"/>
      <c r="S73" s="44">
        <f>1/COUNT(S40:S72)*SUM(S40:S72)</f>
        <v>9.9536092247616711E-2</v>
      </c>
      <c r="T73" s="44">
        <f>1/COUNT(T40:T72)*SUM(T40:T72)</f>
        <v>2.6871582334992148</v>
      </c>
    </row>
    <row r="74" spans="2:20" x14ac:dyDescent="0.25">
      <c r="Q74" s="45" t="s">
        <v>151</v>
      </c>
      <c r="S74" s="45">
        <f>1/COUNT(S41:S70)*SUM(S41:S70)</f>
        <v>0.43466453292090168</v>
      </c>
      <c r="T74" s="45">
        <f>1/COUNT(T41:T70)*SUM(T41:T70)</f>
        <v>2.2090353515267385</v>
      </c>
    </row>
  </sheetData>
  <sortState ref="K4:AG40">
    <sortCondition ref="P40"/>
  </sortState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7"/>
  <dimension ref="A1:AT190"/>
  <sheetViews>
    <sheetView workbookViewId="0">
      <selection activeCell="H8" sqref="H8"/>
    </sheetView>
  </sheetViews>
  <sheetFormatPr defaultRowHeight="15" x14ac:dyDescent="0.25"/>
  <cols>
    <col min="5" max="5" width="11" customWidth="1"/>
    <col min="6" max="6" width="18" customWidth="1"/>
    <col min="7" max="7" width="7" customWidth="1"/>
    <col min="8" max="8" width="8.28515625" customWidth="1"/>
    <col min="9" max="9" width="10.7109375" customWidth="1"/>
    <col min="10" max="10" width="9" customWidth="1"/>
    <col min="11" max="11" width="8.5703125" customWidth="1"/>
    <col min="12" max="12" width="8.85546875" customWidth="1"/>
    <col min="17" max="17" width="9.7109375" customWidth="1"/>
    <col min="18" max="18" width="9.28515625" customWidth="1"/>
    <col min="19" max="19" width="9.140625" customWidth="1"/>
    <col min="20" max="21" width="15.42578125" customWidth="1"/>
    <col min="22" max="22" width="8.5703125" customWidth="1"/>
    <col min="23" max="23" width="8.85546875" customWidth="1"/>
    <col min="24" max="24" width="8.5703125" customWidth="1"/>
    <col min="25" max="25" width="10.85546875" customWidth="1"/>
    <col min="26" max="26" width="14.85546875" customWidth="1"/>
    <col min="28" max="28" width="9.140625" customWidth="1"/>
    <col min="29" max="29" width="11.85546875" customWidth="1"/>
    <col min="30" max="31" width="9" customWidth="1"/>
    <col min="32" max="32" width="13.5703125" customWidth="1"/>
    <col min="33" max="33" width="8.42578125" customWidth="1"/>
    <col min="35" max="35" width="13.140625" customWidth="1"/>
    <col min="37" max="37" width="8.85546875" customWidth="1"/>
    <col min="38" max="38" width="12" customWidth="1"/>
    <col min="39" max="39" width="8.28515625" customWidth="1"/>
    <col min="40" max="40" width="8.5703125" customWidth="1"/>
    <col min="41" max="41" width="12.7109375" customWidth="1"/>
    <col min="44" max="44" width="13.7109375" customWidth="1"/>
  </cols>
  <sheetData>
    <row r="1" spans="1:46" ht="15.75" thickBot="1" x14ac:dyDescent="0.3"/>
    <row r="2" spans="1:46" ht="15.75" thickBot="1" x14ac:dyDescent="0.3">
      <c r="B2" s="133" t="s">
        <v>246</v>
      </c>
      <c r="C2" s="122"/>
      <c r="D2" s="122"/>
      <c r="E2" s="122"/>
      <c r="F2" s="123"/>
      <c r="G2" t="s">
        <v>206</v>
      </c>
      <c r="W2" s="21" t="s">
        <v>164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</row>
    <row r="3" spans="1:46" ht="15.75" thickBot="1" x14ac:dyDescent="0.3">
      <c r="B3" s="180" t="s">
        <v>1</v>
      </c>
      <c r="C3" s="181" t="s">
        <v>0</v>
      </c>
      <c r="D3" s="181" t="s">
        <v>162</v>
      </c>
      <c r="E3" s="153" t="s">
        <v>189</v>
      </c>
      <c r="F3" s="154" t="s">
        <v>139</v>
      </c>
      <c r="G3" s="48"/>
      <c r="H3" s="46" t="s">
        <v>248</v>
      </c>
      <c r="I3" s="46" t="s">
        <v>177</v>
      </c>
      <c r="J3" s="46" t="s">
        <v>166</v>
      </c>
      <c r="K3" s="46" t="s">
        <v>167</v>
      </c>
      <c r="L3" s="46" t="s">
        <v>168</v>
      </c>
      <c r="M3" s="46" t="s">
        <v>169</v>
      </c>
      <c r="N3" s="46" t="s">
        <v>170</v>
      </c>
      <c r="O3" s="46" t="s">
        <v>171</v>
      </c>
      <c r="P3" s="46" t="s">
        <v>172</v>
      </c>
      <c r="Q3" s="46" t="s">
        <v>165</v>
      </c>
      <c r="R3" s="46" t="s">
        <v>176</v>
      </c>
      <c r="S3" s="46" t="s">
        <v>173</v>
      </c>
      <c r="T3" s="46" t="s">
        <v>174</v>
      </c>
      <c r="U3" s="46" t="s">
        <v>175</v>
      </c>
      <c r="W3" s="1" t="s">
        <v>1</v>
      </c>
      <c r="X3" s="1" t="s">
        <v>162</v>
      </c>
      <c r="Y3" s="46" t="s">
        <v>163</v>
      </c>
      <c r="Z3" s="46" t="s">
        <v>239</v>
      </c>
      <c r="AA3" s="46" t="s">
        <v>178</v>
      </c>
      <c r="AB3" s="46" t="s">
        <v>247</v>
      </c>
      <c r="AC3" s="46" t="s">
        <v>249</v>
      </c>
      <c r="AD3" s="46" t="s">
        <v>250</v>
      </c>
      <c r="AE3" s="46" t="s">
        <v>251</v>
      </c>
      <c r="AF3" s="46" t="s">
        <v>252</v>
      </c>
      <c r="AG3" s="46" t="s">
        <v>253</v>
      </c>
      <c r="AH3" s="46" t="s">
        <v>260</v>
      </c>
      <c r="AI3" s="46" t="s">
        <v>261</v>
      </c>
      <c r="AJ3" s="46" t="s">
        <v>178</v>
      </c>
      <c r="AK3" s="46" t="s">
        <v>247</v>
      </c>
      <c r="AL3" s="46" t="s">
        <v>262</v>
      </c>
      <c r="AM3" s="46" t="s">
        <v>263</v>
      </c>
      <c r="AN3" s="46" t="s">
        <v>155</v>
      </c>
      <c r="AO3" s="46" t="s">
        <v>264</v>
      </c>
      <c r="AP3" s="46" t="s">
        <v>265</v>
      </c>
      <c r="AQ3" s="46" t="s">
        <v>266</v>
      </c>
      <c r="AR3" s="46" t="s">
        <v>267</v>
      </c>
      <c r="AS3" s="46" t="s">
        <v>268</v>
      </c>
      <c r="AT3" s="46" t="s">
        <v>269</v>
      </c>
    </row>
    <row r="4" spans="1:46" x14ac:dyDescent="0.25">
      <c r="A4" t="s">
        <v>224</v>
      </c>
      <c r="B4" s="158">
        <v>220.005</v>
      </c>
      <c r="C4" s="56">
        <v>0.55900000000000005</v>
      </c>
      <c r="D4" s="56">
        <v>1166.08</v>
      </c>
      <c r="E4" s="95">
        <v>0.24340000000000001</v>
      </c>
      <c r="F4" s="157" t="s">
        <v>240</v>
      </c>
      <c r="G4" s="8"/>
      <c r="H4" s="8"/>
      <c r="I4" s="8">
        <f>1/200.76</f>
        <v>4.9810719266786211E-3</v>
      </c>
      <c r="J4" s="8">
        <v>1749.3548931883499</v>
      </c>
      <c r="K4">
        <v>-369.06930000711998</v>
      </c>
      <c r="L4">
        <v>5423856.3488769103</v>
      </c>
      <c r="M4">
        <v>-2.2128385216835</v>
      </c>
      <c r="N4">
        <v>-269503.24793356902</v>
      </c>
      <c r="O4">
        <v>73145.021531826002</v>
      </c>
      <c r="P4">
        <v>5.34368649509278</v>
      </c>
      <c r="Q4">
        <f t="shared" ref="Q4:Q35" si="0">1.0055*SQRT(B4)/(J4+K4*B4^(1/6)+L4*EXP(M4*B4^(1/3))+P4*SQRT(B4)+(N4+O4*B4^(1/3))/EXP(B4^(1/3)))</f>
        <v>1.111797139696912E-2</v>
      </c>
      <c r="R4">
        <f>((0.378421/10^9)^3)*6.022140857*10^(26)/44.0095</f>
        <v>7.415324519602722E-4</v>
      </c>
      <c r="S4">
        <f t="shared" ref="S4:S35" si="1">-19.572881+219.73999/(B4*I4)^(0.25)-1015.3226/(B4*I4)^(0.5)+2471.0125/(B4*I4)^(0.75)-3375.1717/(B4*I4)^(1)+2491.6597/(B4*I4)^(1.25)-787.26086/(B4*I4)^(1.5)+14.085455/(B4*I4)^(2.5)-0.34664158/(B4*I4)^(5.5)</f>
        <v>-0.57551639679133415</v>
      </c>
      <c r="T4">
        <f>Q4*S4*R4</f>
        <v>-4.7447508886829208E-6</v>
      </c>
      <c r="U4">
        <f t="shared" ref="U4:U35" si="2">0.09436059794459*(0.360603235428487*((B4/216.592)*(D4/1178.53)^3)+(((D4/1178.53)^2)+(D4/1178.53)^(8.06282737481277))/((B4/216.592)-0.121550806591497))</f>
        <v>0.23365015212163398</v>
      </c>
      <c r="W4" s="8">
        <v>220.005</v>
      </c>
      <c r="X4" s="8">
        <v>1166.08</v>
      </c>
      <c r="Y4" s="59">
        <v>0.24340000000000001</v>
      </c>
      <c r="Z4">
        <f>Q4+X4*T4+U4</f>
        <v>0.23923536440232773</v>
      </c>
      <c r="AA4">
        <f>100*(Z4-Y4)/Y4</f>
        <v>-1.7110253071784194</v>
      </c>
      <c r="AB4">
        <f>ABS(AA4)</f>
        <v>1.7110253071784194</v>
      </c>
      <c r="AO4">
        <f>0.001/((0.537-EXP(6.726-0.0433*W4))*(44.095/X4-0.0295))</f>
        <v>0.25255713682139191</v>
      </c>
      <c r="AP4">
        <f t="shared" ref="AP4:AP35" si="3">100*(AO4-Y4)/Y4</f>
        <v>3.7621761797008664</v>
      </c>
      <c r="AQ4">
        <f>ABS(AP4)</f>
        <v>3.7621761797008664</v>
      </c>
      <c r="AR4">
        <f>0.001/((18.56+0.014*W4)*((1/X4)-(7.41/10000)+(0.033/100000)*W4))</f>
        <v>0.24427323679213503</v>
      </c>
      <c r="AS4">
        <f>100*(AR4-Y4)/Y4</f>
        <v>0.35876614303000154</v>
      </c>
      <c r="AT4">
        <f>ABS(AS4)</f>
        <v>0.35876614303000154</v>
      </c>
    </row>
    <row r="5" spans="1:46" x14ac:dyDescent="0.25">
      <c r="A5" t="s">
        <v>293</v>
      </c>
      <c r="B5" s="158">
        <v>220.005</v>
      </c>
      <c r="C5" s="56">
        <v>0.57299999999999995</v>
      </c>
      <c r="D5" s="56">
        <v>1166.1099999999999</v>
      </c>
      <c r="E5" s="95">
        <v>0.24349999999999999</v>
      </c>
      <c r="F5" s="157" t="s">
        <v>241</v>
      </c>
      <c r="G5" s="8"/>
      <c r="H5" s="8"/>
      <c r="I5" s="8">
        <f t="shared" ref="I5:I68" si="4">1/200.76</f>
        <v>4.9810719266786211E-3</v>
      </c>
      <c r="J5" s="8">
        <v>1749.3548931883499</v>
      </c>
      <c r="K5">
        <v>-369.06930000711998</v>
      </c>
      <c r="L5">
        <v>5423856.3488769103</v>
      </c>
      <c r="M5">
        <v>-2.2128385216835</v>
      </c>
      <c r="N5">
        <v>-269503.24793356902</v>
      </c>
      <c r="O5">
        <v>73145.021531826002</v>
      </c>
      <c r="P5">
        <v>5.34368649509278</v>
      </c>
      <c r="Q5">
        <f t="shared" si="0"/>
        <v>1.111797139696912E-2</v>
      </c>
      <c r="R5">
        <f t="shared" ref="R5:R68" si="5">((0.378421/10^9)^3)*6.022140857*10^(26)/44.0095</f>
        <v>7.415324519602722E-4</v>
      </c>
      <c r="S5">
        <f t="shared" si="1"/>
        <v>-0.57551639679133415</v>
      </c>
      <c r="T5">
        <f t="shared" ref="T5:T68" si="6">Q5*S5*R5</f>
        <v>-4.7447508886829208E-6</v>
      </c>
      <c r="U5">
        <f t="shared" si="2"/>
        <v>0.23367814663712208</v>
      </c>
      <c r="W5" s="8">
        <v>220.005</v>
      </c>
      <c r="X5" s="8">
        <v>1166.1099999999999</v>
      </c>
      <c r="Y5" s="59">
        <v>0.24349999999999999</v>
      </c>
      <c r="Z5">
        <f t="shared" ref="Z5:Z68" si="7">Q5+X5*T5+U5</f>
        <v>0.23926321657528915</v>
      </c>
      <c r="AA5">
        <f t="shared" ref="AA5:AA68" si="8">100*(Z5-Y5)/Y5</f>
        <v>-1.7399521251379235</v>
      </c>
      <c r="AB5">
        <f t="shared" ref="AB5:AB68" si="9">ABS(AA5)</f>
        <v>1.7399521251379235</v>
      </c>
      <c r="AO5">
        <f t="shared" ref="AO5:AO35" si="10">0.001/((0.537-EXP(6.726-0.0433*W5))*(44.095/X5-0.0295))</f>
        <v>0.25258669005876871</v>
      </c>
      <c r="AP5">
        <f t="shared" si="3"/>
        <v>3.7317002294738071</v>
      </c>
      <c r="AQ5">
        <f t="shared" ref="AQ5:AQ68" si="11">ABS(AP5)</f>
        <v>3.7317002294738071</v>
      </c>
      <c r="AR5">
        <f t="shared" ref="AR5:AR68" si="12">0.001/((18.56+0.014*W5)*((1/X5)-(7.41/10000)+(0.033/100000)*W5))</f>
        <v>0.24430172823714907</v>
      </c>
      <c r="AS5">
        <f t="shared" ref="AS5:AS15" si="13">100*(AR5-Y5)/Y5</f>
        <v>0.329251842771696</v>
      </c>
      <c r="AT5">
        <f t="shared" ref="AT5:AT68" si="14">ABS(AS5)</f>
        <v>0.329251842771696</v>
      </c>
    </row>
    <row r="6" spans="1:46" x14ac:dyDescent="0.25">
      <c r="B6" s="158">
        <v>220.005</v>
      </c>
      <c r="C6" s="56">
        <v>0.58099999999999996</v>
      </c>
      <c r="D6" s="56">
        <v>1166.1199999999999</v>
      </c>
      <c r="E6" s="95">
        <v>0.24390000000000001</v>
      </c>
      <c r="F6" s="157"/>
      <c r="G6" s="8"/>
      <c r="H6" s="8"/>
      <c r="I6" s="8">
        <f t="shared" si="4"/>
        <v>4.9810719266786211E-3</v>
      </c>
      <c r="J6" s="8">
        <v>1749.3548931883499</v>
      </c>
      <c r="K6">
        <v>-369.06930000711998</v>
      </c>
      <c r="L6">
        <v>5423856.3488769103</v>
      </c>
      <c r="M6">
        <v>-2.2128385216835</v>
      </c>
      <c r="N6">
        <v>-269503.24793356902</v>
      </c>
      <c r="O6">
        <v>73145.021531826002</v>
      </c>
      <c r="P6">
        <v>5.34368649509278</v>
      </c>
      <c r="Q6">
        <f t="shared" si="0"/>
        <v>1.111797139696912E-2</v>
      </c>
      <c r="R6">
        <f t="shared" si="5"/>
        <v>7.415324519602722E-4</v>
      </c>
      <c r="S6">
        <f t="shared" si="1"/>
        <v>-0.57551639679133415</v>
      </c>
      <c r="T6">
        <f t="shared" si="6"/>
        <v>-4.7447508886829208E-6</v>
      </c>
      <c r="U6">
        <f t="shared" si="2"/>
        <v>0.23368747901366138</v>
      </c>
      <c r="W6" s="8">
        <v>220.005</v>
      </c>
      <c r="X6" s="8">
        <v>1166.1199999999999</v>
      </c>
      <c r="Y6" s="59">
        <v>0.24390000000000001</v>
      </c>
      <c r="Z6">
        <f t="shared" si="7"/>
        <v>0.23927250150431958</v>
      </c>
      <c r="AA6">
        <f t="shared" si="8"/>
        <v>-1.8972933561625343</v>
      </c>
      <c r="AB6">
        <f t="shared" si="9"/>
        <v>1.8972933561625343</v>
      </c>
      <c r="AO6">
        <f t="shared" si="10"/>
        <v>0.25259654233695783</v>
      </c>
      <c r="AP6">
        <f t="shared" si="3"/>
        <v>3.5656180143328511</v>
      </c>
      <c r="AQ6">
        <f t="shared" si="11"/>
        <v>3.5656180143328511</v>
      </c>
      <c r="AR6">
        <f t="shared" si="12"/>
        <v>0.24431122653667822</v>
      </c>
      <c r="AS6">
        <f t="shared" si="13"/>
        <v>0.16860456608372956</v>
      </c>
      <c r="AT6">
        <f t="shared" si="14"/>
        <v>0.16860456608372956</v>
      </c>
    </row>
    <row r="7" spans="1:46" x14ac:dyDescent="0.25">
      <c r="B7" s="158">
        <v>220.005</v>
      </c>
      <c r="C7" s="56">
        <v>0.58099999999999996</v>
      </c>
      <c r="D7" s="56">
        <v>1166.1199999999999</v>
      </c>
      <c r="E7" s="95">
        <v>0.24360000000000001</v>
      </c>
      <c r="F7" s="159" t="s">
        <v>304</v>
      </c>
      <c r="H7" s="8"/>
      <c r="I7" s="8">
        <f t="shared" si="4"/>
        <v>4.9810719266786211E-3</v>
      </c>
      <c r="J7" s="8">
        <v>1749.3548931883499</v>
      </c>
      <c r="K7">
        <v>-369.06930000711998</v>
      </c>
      <c r="L7">
        <v>5423856.3488769103</v>
      </c>
      <c r="M7">
        <v>-2.2128385216835</v>
      </c>
      <c r="N7">
        <v>-269503.24793356902</v>
      </c>
      <c r="O7">
        <v>73145.021531826002</v>
      </c>
      <c r="P7">
        <v>5.34368649509278</v>
      </c>
      <c r="Q7">
        <f t="shared" si="0"/>
        <v>1.111797139696912E-2</v>
      </c>
      <c r="R7">
        <f t="shared" si="5"/>
        <v>7.415324519602722E-4</v>
      </c>
      <c r="S7">
        <f t="shared" si="1"/>
        <v>-0.57551639679133415</v>
      </c>
      <c r="T7">
        <f t="shared" si="6"/>
        <v>-4.7447508886829208E-6</v>
      </c>
      <c r="U7">
        <f t="shared" si="2"/>
        <v>0.23368747901366138</v>
      </c>
      <c r="W7" s="8">
        <v>220.005</v>
      </c>
      <c r="X7" s="8">
        <v>1166.1199999999999</v>
      </c>
      <c r="Y7" s="59">
        <v>0.24360000000000001</v>
      </c>
      <c r="Z7">
        <f t="shared" si="7"/>
        <v>0.23927250150431958</v>
      </c>
      <c r="AA7">
        <f t="shared" si="8"/>
        <v>-1.7764772149755443</v>
      </c>
      <c r="AB7">
        <f t="shared" si="9"/>
        <v>1.7764772149755443</v>
      </c>
      <c r="AO7">
        <f t="shared" si="10"/>
        <v>0.25259654233695783</v>
      </c>
      <c r="AP7">
        <f t="shared" si="3"/>
        <v>3.69316187888252</v>
      </c>
      <c r="AQ7">
        <f t="shared" si="11"/>
        <v>3.69316187888252</v>
      </c>
      <c r="AR7">
        <f t="shared" si="12"/>
        <v>0.24431122653667822</v>
      </c>
      <c r="AS7">
        <f t="shared" si="13"/>
        <v>0.29196491653456941</v>
      </c>
      <c r="AT7">
        <f t="shared" si="14"/>
        <v>0.29196491653456941</v>
      </c>
    </row>
    <row r="8" spans="1:46" x14ac:dyDescent="0.25">
      <c r="B8" s="158">
        <v>220.005</v>
      </c>
      <c r="C8" s="56">
        <v>0.60399999999999998</v>
      </c>
      <c r="D8" s="56">
        <v>1166.18</v>
      </c>
      <c r="E8" s="95">
        <v>0.24440000000000001</v>
      </c>
      <c r="F8" s="157" t="s">
        <v>305</v>
      </c>
      <c r="G8" s="8"/>
      <c r="H8" s="8"/>
      <c r="I8" s="8">
        <f t="shared" si="4"/>
        <v>4.9810719266786211E-3</v>
      </c>
      <c r="J8" s="8">
        <v>1749.3548931883499</v>
      </c>
      <c r="K8">
        <v>-369.06930000711998</v>
      </c>
      <c r="L8">
        <v>5423856.3488769103</v>
      </c>
      <c r="M8">
        <v>-2.2128385216835</v>
      </c>
      <c r="N8">
        <v>-269503.24793356902</v>
      </c>
      <c r="O8">
        <v>73145.021531826002</v>
      </c>
      <c r="P8">
        <v>5.34368649509278</v>
      </c>
      <c r="Q8">
        <f t="shared" si="0"/>
        <v>1.111797139696912E-2</v>
      </c>
      <c r="R8">
        <f t="shared" si="5"/>
        <v>7.415324519602722E-4</v>
      </c>
      <c r="S8">
        <f t="shared" si="1"/>
        <v>-0.57551639679133415</v>
      </c>
      <c r="T8">
        <f t="shared" si="6"/>
        <v>-4.7447508886829208E-6</v>
      </c>
      <c r="U8">
        <f t="shared" si="2"/>
        <v>0.23374348242383858</v>
      </c>
      <c r="W8" s="8">
        <v>220.005</v>
      </c>
      <c r="X8" s="8">
        <v>1166.18</v>
      </c>
      <c r="Y8" s="59">
        <v>0.24440000000000001</v>
      </c>
      <c r="Z8">
        <f t="shared" si="7"/>
        <v>0.23932822022944344</v>
      </c>
      <c r="AA8">
        <f t="shared" si="8"/>
        <v>-2.0751963054650413</v>
      </c>
      <c r="AB8">
        <f t="shared" si="9"/>
        <v>2.0751963054650413</v>
      </c>
      <c r="AO8">
        <f t="shared" si="10"/>
        <v>0.2526556686000917</v>
      </c>
      <c r="AP8">
        <f t="shared" si="3"/>
        <v>3.3779331424270427</v>
      </c>
      <c r="AQ8">
        <f t="shared" si="11"/>
        <v>3.3779331424270427</v>
      </c>
      <c r="AR8">
        <f t="shared" si="12"/>
        <v>0.24436822842502331</v>
      </c>
      <c r="AS8">
        <f t="shared" si="13"/>
        <v>-1.2999826095209142E-2</v>
      </c>
      <c r="AT8">
        <f t="shared" si="14"/>
        <v>1.2999826095209142E-2</v>
      </c>
    </row>
    <row r="9" spans="1:46" x14ac:dyDescent="0.25">
      <c r="B9" s="158">
        <v>220.005</v>
      </c>
      <c r="C9" s="56">
        <v>1.0349999999999999</v>
      </c>
      <c r="D9" s="56">
        <v>1167.1300000000001</v>
      </c>
      <c r="E9" s="95">
        <v>0.24349999999999999</v>
      </c>
      <c r="F9" s="157"/>
      <c r="G9" s="8"/>
      <c r="H9" s="8"/>
      <c r="I9" s="8">
        <f t="shared" si="4"/>
        <v>4.9810719266786211E-3</v>
      </c>
      <c r="J9" s="8">
        <v>1749.3548931883499</v>
      </c>
      <c r="K9">
        <v>-369.06930000711998</v>
      </c>
      <c r="L9">
        <v>5423856.3488769103</v>
      </c>
      <c r="M9">
        <v>-2.2128385216835</v>
      </c>
      <c r="N9">
        <v>-269503.24793356902</v>
      </c>
      <c r="O9">
        <v>73145.021531826002</v>
      </c>
      <c r="P9">
        <v>5.34368649509278</v>
      </c>
      <c r="Q9">
        <f t="shared" si="0"/>
        <v>1.111797139696912E-2</v>
      </c>
      <c r="R9">
        <f t="shared" si="5"/>
        <v>7.415324519602722E-4</v>
      </c>
      <c r="S9">
        <f t="shared" si="1"/>
        <v>-0.57551639679133415</v>
      </c>
      <c r="T9">
        <f t="shared" si="6"/>
        <v>-4.7447508886829208E-6</v>
      </c>
      <c r="U9">
        <f t="shared" si="2"/>
        <v>0.23463229710482253</v>
      </c>
      <c r="W9" s="8">
        <v>220.005</v>
      </c>
      <c r="X9" s="8">
        <v>1167.1300000000001</v>
      </c>
      <c r="Y9" s="59">
        <v>0.24349999999999999</v>
      </c>
      <c r="Z9">
        <f t="shared" si="7"/>
        <v>0.24021252739708315</v>
      </c>
      <c r="AA9">
        <f t="shared" si="8"/>
        <v>-1.3500914180356638</v>
      </c>
      <c r="AB9">
        <f t="shared" si="9"/>
        <v>1.3500914180356638</v>
      </c>
      <c r="AE9" s="13"/>
      <c r="AO9">
        <f t="shared" si="10"/>
        <v>0.25359472051972953</v>
      </c>
      <c r="AP9">
        <f t="shared" si="3"/>
        <v>4.1456757781230138</v>
      </c>
      <c r="AQ9">
        <f t="shared" si="11"/>
        <v>4.1456757781230138</v>
      </c>
      <c r="AR9">
        <f t="shared" si="12"/>
        <v>0.24527352914468645</v>
      </c>
      <c r="AS9">
        <f t="shared" si="13"/>
        <v>0.72834872471722922</v>
      </c>
      <c r="AT9">
        <f t="shared" si="14"/>
        <v>0.72834872471722922</v>
      </c>
    </row>
    <row r="10" spans="1:46" x14ac:dyDescent="0.25">
      <c r="B10" s="158">
        <v>220.005</v>
      </c>
      <c r="C10" s="56">
        <v>2.528</v>
      </c>
      <c r="D10" s="56">
        <v>1170.4000000000001</v>
      </c>
      <c r="E10" s="95">
        <v>0.24679999999999999</v>
      </c>
      <c r="F10" s="157"/>
      <c r="G10" s="8"/>
      <c r="H10" s="8"/>
      <c r="I10" s="8">
        <f t="shared" si="4"/>
        <v>4.9810719266786211E-3</v>
      </c>
      <c r="J10" s="8">
        <v>1749.3548931883499</v>
      </c>
      <c r="K10">
        <v>-369.06930000711998</v>
      </c>
      <c r="L10">
        <v>5423856.3488769103</v>
      </c>
      <c r="M10">
        <v>-2.2128385216835</v>
      </c>
      <c r="N10">
        <v>-269503.24793356902</v>
      </c>
      <c r="O10">
        <v>73145.021531826002</v>
      </c>
      <c r="P10">
        <v>5.34368649509278</v>
      </c>
      <c r="Q10">
        <f t="shared" si="0"/>
        <v>1.111797139696912E-2</v>
      </c>
      <c r="R10">
        <f t="shared" si="5"/>
        <v>7.415324519602722E-4</v>
      </c>
      <c r="S10">
        <f t="shared" si="1"/>
        <v>-0.57551639679133415</v>
      </c>
      <c r="T10">
        <f t="shared" si="6"/>
        <v>-4.7447508886829208E-6</v>
      </c>
      <c r="U10">
        <f t="shared" si="2"/>
        <v>0.23772201682288654</v>
      </c>
      <c r="W10" s="8">
        <v>220.005</v>
      </c>
      <c r="X10" s="8">
        <v>1170.4000000000001</v>
      </c>
      <c r="Y10" s="59">
        <v>0.24679999999999999</v>
      </c>
      <c r="Z10">
        <f t="shared" si="7"/>
        <v>0.24328673177974117</v>
      </c>
      <c r="AA10">
        <f t="shared" si="8"/>
        <v>-1.4235284522928788</v>
      </c>
      <c r="AB10">
        <f t="shared" si="9"/>
        <v>1.4235284522928788</v>
      </c>
      <c r="AO10">
        <f t="shared" si="10"/>
        <v>0.25686909110734663</v>
      </c>
      <c r="AP10">
        <f t="shared" si="3"/>
        <v>4.079858633446773</v>
      </c>
      <c r="AQ10">
        <f t="shared" si="11"/>
        <v>4.079858633446773</v>
      </c>
      <c r="AR10">
        <f t="shared" si="12"/>
        <v>0.24843004272793048</v>
      </c>
      <c r="AS10">
        <f t="shared" si="13"/>
        <v>0.660471121527752</v>
      </c>
      <c r="AT10">
        <f t="shared" si="14"/>
        <v>0.660471121527752</v>
      </c>
    </row>
    <row r="11" spans="1:46" x14ac:dyDescent="0.25">
      <c r="B11" s="158">
        <v>220.005</v>
      </c>
      <c r="C11" s="56">
        <v>5.0209999999999999</v>
      </c>
      <c r="D11" s="56">
        <v>1175.67</v>
      </c>
      <c r="E11" s="95">
        <v>0.25319999999999998</v>
      </c>
      <c r="F11" s="157"/>
      <c r="G11" s="8"/>
      <c r="H11" s="8"/>
      <c r="I11" s="8">
        <f t="shared" si="4"/>
        <v>4.9810719266786211E-3</v>
      </c>
      <c r="J11" s="8">
        <v>1749.3548931883499</v>
      </c>
      <c r="K11">
        <v>-369.06930000711998</v>
      </c>
      <c r="L11">
        <v>5423856.3488769103</v>
      </c>
      <c r="M11">
        <v>-2.2128385216835</v>
      </c>
      <c r="N11">
        <v>-269503.24793356902</v>
      </c>
      <c r="O11">
        <v>73145.021531826002</v>
      </c>
      <c r="P11">
        <v>5.34368649509278</v>
      </c>
      <c r="Q11">
        <f t="shared" si="0"/>
        <v>1.111797139696912E-2</v>
      </c>
      <c r="R11">
        <f t="shared" si="5"/>
        <v>7.415324519602722E-4</v>
      </c>
      <c r="S11">
        <f t="shared" si="1"/>
        <v>-0.57551639679133415</v>
      </c>
      <c r="T11">
        <f t="shared" si="6"/>
        <v>-4.7447508886829208E-6</v>
      </c>
      <c r="U11">
        <f t="shared" si="2"/>
        <v>0.24280191481619506</v>
      </c>
      <c r="W11" s="8">
        <v>220.005</v>
      </c>
      <c r="X11" s="8">
        <v>1175.67</v>
      </c>
      <c r="Y11" s="59">
        <v>0.25319999999999998</v>
      </c>
      <c r="Z11">
        <f t="shared" si="7"/>
        <v>0.24834162493586634</v>
      </c>
      <c r="AA11">
        <f t="shared" si="8"/>
        <v>-1.9187895198000162</v>
      </c>
      <c r="AB11">
        <f t="shared" si="9"/>
        <v>1.9187895198000162</v>
      </c>
      <c r="AO11">
        <f t="shared" si="10"/>
        <v>0.26228737387423018</v>
      </c>
      <c r="AP11">
        <f t="shared" si="3"/>
        <v>3.5890102188902837</v>
      </c>
      <c r="AQ11">
        <f t="shared" si="11"/>
        <v>3.5890102188902837</v>
      </c>
      <c r="AR11">
        <f t="shared" si="12"/>
        <v>0.25365271969099562</v>
      </c>
      <c r="AS11">
        <f t="shared" si="13"/>
        <v>0.17879924604883093</v>
      </c>
      <c r="AT11">
        <f t="shared" si="14"/>
        <v>0.17879924604883093</v>
      </c>
    </row>
    <row r="12" spans="1:46" x14ac:dyDescent="0.25">
      <c r="B12" s="158">
        <v>220.005</v>
      </c>
      <c r="C12" s="56">
        <v>7.423</v>
      </c>
      <c r="D12" s="56">
        <v>1180.54</v>
      </c>
      <c r="E12" s="95">
        <v>0.25779999999999997</v>
      </c>
      <c r="F12" s="157"/>
      <c r="G12" s="8"/>
      <c r="H12" s="8"/>
      <c r="I12" s="8">
        <f t="shared" si="4"/>
        <v>4.9810719266786211E-3</v>
      </c>
      <c r="J12" s="8">
        <v>1749.3548931883499</v>
      </c>
      <c r="K12">
        <v>-369.06930000711998</v>
      </c>
      <c r="L12">
        <v>5423856.3488769103</v>
      </c>
      <c r="M12">
        <v>-2.2128385216835</v>
      </c>
      <c r="N12">
        <v>-269503.24793356902</v>
      </c>
      <c r="O12">
        <v>73145.021531826002</v>
      </c>
      <c r="P12">
        <v>5.34368649509278</v>
      </c>
      <c r="Q12">
        <f t="shared" si="0"/>
        <v>1.111797139696912E-2</v>
      </c>
      <c r="R12">
        <f t="shared" si="5"/>
        <v>7.415324519602722E-4</v>
      </c>
      <c r="S12">
        <f t="shared" si="1"/>
        <v>-0.57551639679133415</v>
      </c>
      <c r="T12">
        <f t="shared" si="6"/>
        <v>-4.7447508886829208E-6</v>
      </c>
      <c r="U12">
        <f t="shared" si="2"/>
        <v>0.24760886663987244</v>
      </c>
      <c r="W12" s="8">
        <v>220.005</v>
      </c>
      <c r="X12" s="8">
        <v>1180.54</v>
      </c>
      <c r="Y12" s="59">
        <v>0.25779999999999997</v>
      </c>
      <c r="Z12">
        <f t="shared" si="7"/>
        <v>0.25312546982271583</v>
      </c>
      <c r="AA12">
        <f t="shared" si="8"/>
        <v>-1.8132390136866339</v>
      </c>
      <c r="AB12">
        <f t="shared" si="9"/>
        <v>1.8132390136866339</v>
      </c>
      <c r="AO12">
        <f t="shared" si="10"/>
        <v>0.26745598781592339</v>
      </c>
      <c r="AP12">
        <f t="shared" si="3"/>
        <v>3.7455344514830946</v>
      </c>
      <c r="AQ12">
        <f t="shared" si="11"/>
        <v>3.7455344514830946</v>
      </c>
      <c r="AR12">
        <f t="shared" si="12"/>
        <v>0.25863406593728322</v>
      </c>
      <c r="AS12">
        <f t="shared" si="13"/>
        <v>0.32353217117270988</v>
      </c>
      <c r="AT12">
        <f t="shared" si="14"/>
        <v>0.32353217117270988</v>
      </c>
    </row>
    <row r="13" spans="1:46" x14ac:dyDescent="0.25">
      <c r="B13" s="158">
        <v>220.005</v>
      </c>
      <c r="C13" s="56">
        <v>9.7270000000000003</v>
      </c>
      <c r="D13" s="56">
        <v>1185.05</v>
      </c>
      <c r="E13" s="95">
        <v>0.26350000000000001</v>
      </c>
      <c r="F13" s="157"/>
      <c r="G13" s="8"/>
      <c r="H13" s="8"/>
      <c r="I13" s="8">
        <f t="shared" si="4"/>
        <v>4.9810719266786211E-3</v>
      </c>
      <c r="J13" s="8">
        <v>1749.3548931883499</v>
      </c>
      <c r="K13">
        <v>-369.06930000711998</v>
      </c>
      <c r="L13">
        <v>5423856.3488769103</v>
      </c>
      <c r="M13">
        <v>-2.2128385216835</v>
      </c>
      <c r="N13">
        <v>-269503.24793356902</v>
      </c>
      <c r="O13">
        <v>73145.021531826002</v>
      </c>
      <c r="P13">
        <v>5.34368649509278</v>
      </c>
      <c r="Q13">
        <f t="shared" si="0"/>
        <v>1.111797139696912E-2</v>
      </c>
      <c r="R13">
        <f t="shared" si="5"/>
        <v>7.415324519602722E-4</v>
      </c>
      <c r="S13">
        <f t="shared" si="1"/>
        <v>-0.57551639679133415</v>
      </c>
      <c r="T13">
        <f t="shared" si="6"/>
        <v>-4.7447508886829208E-6</v>
      </c>
      <c r="U13">
        <f t="shared" si="2"/>
        <v>0.25215926729660909</v>
      </c>
      <c r="W13" s="8">
        <v>220.005</v>
      </c>
      <c r="X13" s="8">
        <v>1185.05</v>
      </c>
      <c r="Y13" s="59">
        <v>0.26350000000000001</v>
      </c>
      <c r="Z13">
        <f t="shared" si="7"/>
        <v>0.25765447165294453</v>
      </c>
      <c r="AA13">
        <f t="shared" si="8"/>
        <v>-2.2184168300020812</v>
      </c>
      <c r="AB13">
        <f t="shared" si="9"/>
        <v>2.2184168300020812</v>
      </c>
      <c r="AO13">
        <f t="shared" si="10"/>
        <v>0.27238750133553385</v>
      </c>
      <c r="AP13">
        <f t="shared" si="3"/>
        <v>3.372865781986278</v>
      </c>
      <c r="AQ13">
        <f t="shared" si="11"/>
        <v>3.372865781986278</v>
      </c>
      <c r="AR13">
        <f t="shared" si="12"/>
        <v>0.26338628782723211</v>
      </c>
      <c r="AS13">
        <f t="shared" si="13"/>
        <v>-4.3154524769601188E-2</v>
      </c>
      <c r="AT13">
        <f t="shared" si="14"/>
        <v>4.3154524769601188E-2</v>
      </c>
    </row>
    <row r="14" spans="1:46" x14ac:dyDescent="0.25">
      <c r="B14" s="158">
        <v>220.005</v>
      </c>
      <c r="C14" s="56">
        <v>12.58</v>
      </c>
      <c r="D14" s="56">
        <v>1190.43</v>
      </c>
      <c r="E14" s="95">
        <v>0.26910000000000001</v>
      </c>
      <c r="F14" s="157"/>
      <c r="G14" s="8"/>
      <c r="H14" s="8"/>
      <c r="I14" s="8">
        <f t="shared" si="4"/>
        <v>4.9810719266786211E-3</v>
      </c>
      <c r="J14" s="8">
        <v>1749.3548931883499</v>
      </c>
      <c r="K14">
        <v>-369.06930000711998</v>
      </c>
      <c r="L14">
        <v>5423856.3488769103</v>
      </c>
      <c r="M14">
        <v>-2.2128385216835</v>
      </c>
      <c r="N14">
        <v>-269503.24793356902</v>
      </c>
      <c r="O14">
        <v>73145.021531826002</v>
      </c>
      <c r="P14">
        <v>5.34368649509278</v>
      </c>
      <c r="Q14">
        <f t="shared" si="0"/>
        <v>1.111797139696912E-2</v>
      </c>
      <c r="R14">
        <f t="shared" si="5"/>
        <v>7.415324519602722E-4</v>
      </c>
      <c r="S14">
        <f t="shared" si="1"/>
        <v>-0.57551639679133415</v>
      </c>
      <c r="T14">
        <f t="shared" si="6"/>
        <v>-4.7447508886829208E-6</v>
      </c>
      <c r="U14">
        <f t="shared" si="2"/>
        <v>0.25771469906764105</v>
      </c>
      <c r="W14" s="8">
        <v>220.005</v>
      </c>
      <c r="X14" s="8">
        <v>1190.43</v>
      </c>
      <c r="Y14" s="59">
        <v>0.26910000000000001</v>
      </c>
      <c r="Z14">
        <f t="shared" si="7"/>
        <v>0.26318437666419536</v>
      </c>
      <c r="AA14">
        <f t="shared" si="8"/>
        <v>-2.1982992700871953</v>
      </c>
      <c r="AB14">
        <f t="shared" si="9"/>
        <v>2.1982992700871953</v>
      </c>
      <c r="AO14">
        <f t="shared" si="10"/>
        <v>0.27846151353221071</v>
      </c>
      <c r="AP14">
        <f t="shared" si="3"/>
        <v>3.4788233118583083</v>
      </c>
      <c r="AQ14">
        <f t="shared" si="11"/>
        <v>3.4788233118583083</v>
      </c>
      <c r="AR14">
        <f t="shared" si="12"/>
        <v>0.26923864683770055</v>
      </c>
      <c r="AS14">
        <f t="shared" si="13"/>
        <v>5.1522422036618394E-2</v>
      </c>
      <c r="AT14">
        <f t="shared" si="14"/>
        <v>5.1522422036618394E-2</v>
      </c>
    </row>
    <row r="15" spans="1:46" x14ac:dyDescent="0.25">
      <c r="B15" s="158">
        <v>220.005</v>
      </c>
      <c r="C15" s="56">
        <v>13.87</v>
      </c>
      <c r="D15" s="56">
        <v>1192.79</v>
      </c>
      <c r="E15" s="95">
        <v>0.27200000000000002</v>
      </c>
      <c r="F15" s="157"/>
      <c r="G15" s="8"/>
      <c r="H15" s="8"/>
      <c r="I15" s="8">
        <f t="shared" si="4"/>
        <v>4.9810719266786211E-3</v>
      </c>
      <c r="J15" s="8">
        <v>1749.3548931883499</v>
      </c>
      <c r="K15">
        <v>-369.06930000711998</v>
      </c>
      <c r="L15">
        <v>5423856.3488769103</v>
      </c>
      <c r="M15">
        <v>-2.2128385216835</v>
      </c>
      <c r="N15">
        <v>-269503.24793356902</v>
      </c>
      <c r="O15">
        <v>73145.021531826002</v>
      </c>
      <c r="P15">
        <v>5.34368649509278</v>
      </c>
      <c r="Q15">
        <f t="shared" si="0"/>
        <v>1.111797139696912E-2</v>
      </c>
      <c r="R15">
        <f t="shared" si="5"/>
        <v>7.415324519602722E-4</v>
      </c>
      <c r="S15">
        <f t="shared" si="1"/>
        <v>-0.57551639679133415</v>
      </c>
      <c r="T15">
        <f t="shared" si="6"/>
        <v>-4.7447508886829208E-6</v>
      </c>
      <c r="U15">
        <f t="shared" si="2"/>
        <v>0.26019620121373288</v>
      </c>
      <c r="W15" s="8">
        <v>220.005</v>
      </c>
      <c r="X15" s="8">
        <v>1192.79</v>
      </c>
      <c r="Y15" s="59">
        <v>0.27200000000000002</v>
      </c>
      <c r="Z15">
        <f t="shared" si="7"/>
        <v>0.26565468119818991</v>
      </c>
      <c r="AA15">
        <f t="shared" si="8"/>
        <v>-2.3328377947831274</v>
      </c>
      <c r="AB15">
        <f t="shared" si="9"/>
        <v>2.3328377947831274</v>
      </c>
      <c r="AO15">
        <f t="shared" si="10"/>
        <v>0.28119424732902482</v>
      </c>
      <c r="AP15">
        <f t="shared" si="3"/>
        <v>3.3802379886120573</v>
      </c>
      <c r="AQ15">
        <f t="shared" si="11"/>
        <v>3.3802379886120573</v>
      </c>
      <c r="AR15">
        <f t="shared" si="12"/>
        <v>0.27187136077106944</v>
      </c>
      <c r="AS15">
        <f t="shared" si="13"/>
        <v>-4.7293834165655385E-2</v>
      </c>
      <c r="AT15">
        <f t="shared" si="14"/>
        <v>4.7293834165655385E-2</v>
      </c>
    </row>
    <row r="16" spans="1:46" x14ac:dyDescent="0.25">
      <c r="B16" s="158">
        <v>220.005</v>
      </c>
      <c r="C16" s="56">
        <v>13.87</v>
      </c>
      <c r="D16" s="56">
        <v>1192.79</v>
      </c>
      <c r="E16" s="95">
        <v>0.27289999999999998</v>
      </c>
      <c r="F16" s="157"/>
      <c r="G16" s="8"/>
      <c r="H16" s="8"/>
      <c r="I16" s="8">
        <f t="shared" si="4"/>
        <v>4.9810719266786211E-3</v>
      </c>
      <c r="J16" s="8">
        <v>1749.3548931883499</v>
      </c>
      <c r="K16">
        <v>-369.06930000711998</v>
      </c>
      <c r="L16">
        <v>5423856.3488769103</v>
      </c>
      <c r="M16">
        <v>-2.2128385216835</v>
      </c>
      <c r="N16">
        <v>-269503.24793356902</v>
      </c>
      <c r="O16">
        <v>73145.021531826002</v>
      </c>
      <c r="P16">
        <v>5.34368649509278</v>
      </c>
      <c r="Q16">
        <f t="shared" si="0"/>
        <v>1.111797139696912E-2</v>
      </c>
      <c r="R16">
        <f t="shared" si="5"/>
        <v>7.415324519602722E-4</v>
      </c>
      <c r="S16">
        <f t="shared" si="1"/>
        <v>-0.57551639679133415</v>
      </c>
      <c r="T16">
        <f t="shared" si="6"/>
        <v>-4.7447508886829208E-6</v>
      </c>
      <c r="U16">
        <f t="shared" si="2"/>
        <v>0.26019620121373288</v>
      </c>
      <c r="W16" s="8">
        <v>220.005</v>
      </c>
      <c r="X16" s="8">
        <v>1192.79</v>
      </c>
      <c r="Y16" s="59">
        <v>0.27289999999999998</v>
      </c>
      <c r="Z16">
        <f t="shared" si="7"/>
        <v>0.26565468119818991</v>
      </c>
      <c r="AA16">
        <f t="shared" si="8"/>
        <v>-2.654935434888261</v>
      </c>
      <c r="AB16">
        <f t="shared" si="9"/>
        <v>2.654935434888261</v>
      </c>
      <c r="AO16">
        <f t="shared" si="10"/>
        <v>0.28119424732902482</v>
      </c>
      <c r="AP16">
        <f t="shared" si="3"/>
        <v>3.0392991311926862</v>
      </c>
      <c r="AQ16">
        <f t="shared" si="11"/>
        <v>3.0392991311926862</v>
      </c>
      <c r="AR16">
        <f t="shared" si="12"/>
        <v>0.27187136077106944</v>
      </c>
      <c r="AS16">
        <f t="shared" ref="AS16:AS76" si="15">100*(AR16-Y16)/Y16</f>
        <v>-0.37692899557733206</v>
      </c>
      <c r="AT16">
        <f t="shared" si="14"/>
        <v>0.37692899557733206</v>
      </c>
    </row>
    <row r="17" spans="1:46" x14ac:dyDescent="0.25">
      <c r="B17" s="160">
        <v>220.005</v>
      </c>
      <c r="C17" s="86">
        <v>15.03</v>
      </c>
      <c r="D17" s="86">
        <v>1194.8900000000001</v>
      </c>
      <c r="E17" s="96">
        <v>0.27400000000000002</v>
      </c>
      <c r="F17" s="157"/>
      <c r="G17" s="8"/>
      <c r="H17" s="8"/>
      <c r="I17" s="8">
        <f t="shared" si="4"/>
        <v>4.9810719266786211E-3</v>
      </c>
      <c r="J17" s="8">
        <v>1749.3548931883499</v>
      </c>
      <c r="K17">
        <v>-369.06930000711998</v>
      </c>
      <c r="L17">
        <v>5423856.3488769103</v>
      </c>
      <c r="M17">
        <v>-2.2128385216835</v>
      </c>
      <c r="N17">
        <v>-269503.24793356902</v>
      </c>
      <c r="O17">
        <v>73145.021531826002</v>
      </c>
      <c r="P17">
        <v>5.34368649509278</v>
      </c>
      <c r="Q17">
        <f t="shared" si="0"/>
        <v>1.111797139696912E-2</v>
      </c>
      <c r="R17">
        <f t="shared" si="5"/>
        <v>7.415324519602722E-4</v>
      </c>
      <c r="S17">
        <f t="shared" si="1"/>
        <v>-0.57551639679133415</v>
      </c>
      <c r="T17">
        <f t="shared" si="6"/>
        <v>-4.7447508886829208E-6</v>
      </c>
      <c r="U17">
        <f t="shared" si="2"/>
        <v>0.26242752096124949</v>
      </c>
      <c r="W17" s="57">
        <v>220.005</v>
      </c>
      <c r="X17" s="57">
        <v>1194.8900000000001</v>
      </c>
      <c r="Y17" s="74">
        <v>0.27400000000000002</v>
      </c>
      <c r="Z17" s="25">
        <f t="shared" si="7"/>
        <v>0.26787603696884027</v>
      </c>
      <c r="AA17" s="25">
        <f t="shared" si="8"/>
        <v>-2.235023004072902</v>
      </c>
      <c r="AB17" s="25">
        <f t="shared" si="9"/>
        <v>2.235023004072902</v>
      </c>
      <c r="AO17">
        <f t="shared" si="10"/>
        <v>0.28366208544822591</v>
      </c>
      <c r="AP17">
        <f t="shared" si="3"/>
        <v>3.526308557746674</v>
      </c>
      <c r="AQ17">
        <f t="shared" si="11"/>
        <v>3.526308557746674</v>
      </c>
      <c r="AR17">
        <f t="shared" si="12"/>
        <v>0.27424871613353119</v>
      </c>
      <c r="AS17">
        <f t="shared" si="15"/>
        <v>9.0772311507725648E-2</v>
      </c>
      <c r="AT17">
        <f t="shared" si="14"/>
        <v>9.0772311507725648E-2</v>
      </c>
    </row>
    <row r="18" spans="1:46" x14ac:dyDescent="0.25">
      <c r="A18" t="s">
        <v>223</v>
      </c>
      <c r="B18" s="158">
        <v>230.005</v>
      </c>
      <c r="C18" s="56">
        <v>0.872</v>
      </c>
      <c r="D18" s="56">
        <v>1128.6099999999999</v>
      </c>
      <c r="E18" s="95">
        <v>0.20269999999999999</v>
      </c>
      <c r="F18" s="157"/>
      <c r="I18" s="8">
        <f t="shared" si="4"/>
        <v>4.9810719266786211E-3</v>
      </c>
      <c r="J18" s="8">
        <v>1749.3548931883499</v>
      </c>
      <c r="K18">
        <v>-369.06930000711998</v>
      </c>
      <c r="L18">
        <v>5423856.3488769103</v>
      </c>
      <c r="M18">
        <v>-2.2128385216835</v>
      </c>
      <c r="N18">
        <v>-269503.24793356902</v>
      </c>
      <c r="O18">
        <v>73145.021531826002</v>
      </c>
      <c r="P18">
        <v>5.34368649509278</v>
      </c>
      <c r="Q18">
        <f t="shared" si="0"/>
        <v>1.160613807171842E-2</v>
      </c>
      <c r="R18">
        <f t="shared" si="5"/>
        <v>7.415324519602722E-4</v>
      </c>
      <c r="S18">
        <f t="shared" si="1"/>
        <v>-0.34517135805488219</v>
      </c>
      <c r="T18">
        <f t="shared" si="6"/>
        <v>-2.9706579312577815E-6</v>
      </c>
      <c r="U18">
        <f t="shared" si="2"/>
        <v>0.19454058776153743</v>
      </c>
      <c r="W18" s="8">
        <v>230.005</v>
      </c>
      <c r="X18" s="8">
        <v>1128.6099999999999</v>
      </c>
      <c r="Y18" s="15">
        <v>0.20269999999999999</v>
      </c>
      <c r="Z18">
        <f t="shared" si="7"/>
        <v>0.20279401158545901</v>
      </c>
      <c r="AA18">
        <f t="shared" si="8"/>
        <v>4.6379667222012609E-2</v>
      </c>
      <c r="AB18">
        <f t="shared" si="9"/>
        <v>4.6379667222012609E-2</v>
      </c>
      <c r="AO18">
        <f t="shared" si="10"/>
        <v>0.21000321644413505</v>
      </c>
      <c r="AP18">
        <f t="shared" si="3"/>
        <v>3.6029681520153249</v>
      </c>
      <c r="AQ18">
        <f t="shared" si="11"/>
        <v>3.6029681520153249</v>
      </c>
      <c r="AR18">
        <f t="shared" si="12"/>
        <v>0.20780308799148803</v>
      </c>
      <c r="AS18">
        <f t="shared" si="15"/>
        <v>2.5175569765604524</v>
      </c>
      <c r="AT18">
        <f t="shared" si="14"/>
        <v>2.5175569765604524</v>
      </c>
    </row>
    <row r="19" spans="1:46" x14ac:dyDescent="0.25">
      <c r="A19" t="s">
        <v>292</v>
      </c>
      <c r="B19" s="158">
        <v>230.005</v>
      </c>
      <c r="C19" s="56">
        <v>0.88100000000000001</v>
      </c>
      <c r="D19" s="56">
        <v>1128.6300000000001</v>
      </c>
      <c r="E19" s="95">
        <v>0.2039</v>
      </c>
      <c r="F19" s="157"/>
      <c r="I19" s="8">
        <f t="shared" si="4"/>
        <v>4.9810719266786211E-3</v>
      </c>
      <c r="J19" s="8">
        <v>1749.3548931883499</v>
      </c>
      <c r="K19">
        <v>-369.06930000711998</v>
      </c>
      <c r="L19">
        <v>5423856.3488769103</v>
      </c>
      <c r="M19">
        <v>-2.2128385216835</v>
      </c>
      <c r="N19">
        <v>-269503.24793356902</v>
      </c>
      <c r="O19">
        <v>73145.021531826002</v>
      </c>
      <c r="P19">
        <v>5.34368649509278</v>
      </c>
      <c r="Q19">
        <f t="shared" si="0"/>
        <v>1.160613807171842E-2</v>
      </c>
      <c r="R19">
        <f t="shared" si="5"/>
        <v>7.415324519602722E-4</v>
      </c>
      <c r="S19">
        <f t="shared" si="1"/>
        <v>-0.34517135805488219</v>
      </c>
      <c r="T19">
        <f t="shared" si="6"/>
        <v>-2.9706579312577815E-6</v>
      </c>
      <c r="U19">
        <f t="shared" si="2"/>
        <v>0.19455565061226801</v>
      </c>
      <c r="W19" s="8">
        <v>230.005</v>
      </c>
      <c r="X19" s="8">
        <v>1128.6300000000001</v>
      </c>
      <c r="Y19" s="15">
        <v>0.2039</v>
      </c>
      <c r="Z19">
        <f t="shared" si="7"/>
        <v>0.20280901502303095</v>
      </c>
      <c r="AA19">
        <f t="shared" si="8"/>
        <v>-0.53505884108339896</v>
      </c>
      <c r="AB19">
        <f t="shared" si="9"/>
        <v>0.53505884108339896</v>
      </c>
      <c r="AO19">
        <f t="shared" si="10"/>
        <v>0.21001841005334243</v>
      </c>
      <c r="AP19">
        <f t="shared" si="3"/>
        <v>3.0006915416098248</v>
      </c>
      <c r="AQ19">
        <f t="shared" si="11"/>
        <v>3.0006915416098248</v>
      </c>
      <c r="AR19">
        <f t="shared" si="12"/>
        <v>0.20781785622804744</v>
      </c>
      <c r="AS19">
        <f t="shared" si="15"/>
        <v>1.9214596508324862</v>
      </c>
      <c r="AT19">
        <f t="shared" si="14"/>
        <v>1.9214596508324862</v>
      </c>
    </row>
    <row r="20" spans="1:46" x14ac:dyDescent="0.25">
      <c r="B20" s="158">
        <v>230.005</v>
      </c>
      <c r="C20" s="56">
        <v>0.88100000000000001</v>
      </c>
      <c r="D20" s="56">
        <v>1128.6300000000001</v>
      </c>
      <c r="E20" s="95">
        <v>0.2039</v>
      </c>
      <c r="F20" s="157"/>
      <c r="I20" s="8">
        <f t="shared" si="4"/>
        <v>4.9810719266786211E-3</v>
      </c>
      <c r="J20" s="8">
        <v>1749.3548931883499</v>
      </c>
      <c r="K20">
        <v>-369.06930000711998</v>
      </c>
      <c r="L20">
        <v>5423856.3488769103</v>
      </c>
      <c r="M20">
        <v>-2.2128385216835</v>
      </c>
      <c r="N20">
        <v>-269503.24793356902</v>
      </c>
      <c r="O20">
        <v>73145.021531826002</v>
      </c>
      <c r="P20">
        <v>5.34368649509278</v>
      </c>
      <c r="Q20">
        <f t="shared" si="0"/>
        <v>1.160613807171842E-2</v>
      </c>
      <c r="R20">
        <f t="shared" si="5"/>
        <v>7.415324519602722E-4</v>
      </c>
      <c r="S20">
        <f t="shared" si="1"/>
        <v>-0.34517135805488219</v>
      </c>
      <c r="T20">
        <f t="shared" si="6"/>
        <v>-2.9706579312577815E-6</v>
      </c>
      <c r="U20">
        <f t="shared" si="2"/>
        <v>0.19455565061226801</v>
      </c>
      <c r="W20" s="8">
        <v>230.005</v>
      </c>
      <c r="X20" s="8">
        <v>1128.6300000000001</v>
      </c>
      <c r="Y20" s="15">
        <v>0.2039</v>
      </c>
      <c r="Z20">
        <f t="shared" si="7"/>
        <v>0.20280901502303095</v>
      </c>
      <c r="AA20">
        <f t="shared" si="8"/>
        <v>-0.53505884108339896</v>
      </c>
      <c r="AB20">
        <f t="shared" si="9"/>
        <v>0.53505884108339896</v>
      </c>
      <c r="AO20">
        <f t="shared" si="10"/>
        <v>0.21001841005334243</v>
      </c>
      <c r="AP20">
        <f t="shared" si="3"/>
        <v>3.0006915416098248</v>
      </c>
      <c r="AQ20">
        <f t="shared" si="11"/>
        <v>3.0006915416098248</v>
      </c>
      <c r="AR20">
        <f t="shared" si="12"/>
        <v>0.20781785622804744</v>
      </c>
      <c r="AS20">
        <f t="shared" si="15"/>
        <v>1.9214596508324862</v>
      </c>
      <c r="AT20">
        <f t="shared" si="14"/>
        <v>1.9214596508324862</v>
      </c>
    </row>
    <row r="21" spans="1:46" x14ac:dyDescent="0.25">
      <c r="B21" s="158">
        <v>230.005</v>
      </c>
      <c r="C21" s="56">
        <v>0.9</v>
      </c>
      <c r="D21" s="56">
        <v>1128.69</v>
      </c>
      <c r="E21" s="95">
        <v>0.2026</v>
      </c>
      <c r="F21" s="157"/>
      <c r="I21" s="8">
        <f t="shared" si="4"/>
        <v>4.9810719266786211E-3</v>
      </c>
      <c r="J21" s="8">
        <v>1749.3548931883499</v>
      </c>
      <c r="K21">
        <v>-369.06930000711998</v>
      </c>
      <c r="L21">
        <v>5423856.3488769103</v>
      </c>
      <c r="M21">
        <v>-2.2128385216835</v>
      </c>
      <c r="N21">
        <v>-269503.24793356902</v>
      </c>
      <c r="O21">
        <v>73145.021531826002</v>
      </c>
      <c r="P21">
        <v>5.34368649509278</v>
      </c>
      <c r="Q21">
        <f t="shared" si="0"/>
        <v>1.160613807171842E-2</v>
      </c>
      <c r="R21">
        <f t="shared" si="5"/>
        <v>7.415324519602722E-4</v>
      </c>
      <c r="S21">
        <f t="shared" si="1"/>
        <v>-0.34517135805488219</v>
      </c>
      <c r="T21">
        <f t="shared" si="6"/>
        <v>-2.9706579312577815E-6</v>
      </c>
      <c r="U21">
        <f t="shared" si="2"/>
        <v>0.19460084746628392</v>
      </c>
      <c r="W21" s="8">
        <v>230.005</v>
      </c>
      <c r="X21" s="8">
        <v>1128.69</v>
      </c>
      <c r="Y21" s="15">
        <v>0.2026</v>
      </c>
      <c r="Z21">
        <f t="shared" si="7"/>
        <v>0.20285403363757099</v>
      </c>
      <c r="AA21">
        <f t="shared" si="8"/>
        <v>0.12538679050887602</v>
      </c>
      <c r="AB21">
        <f t="shared" si="9"/>
        <v>0.12538679050887602</v>
      </c>
      <c r="AO21">
        <f t="shared" si="10"/>
        <v>0.21006400084246876</v>
      </c>
      <c r="AP21">
        <f t="shared" si="3"/>
        <v>3.6841070298463769</v>
      </c>
      <c r="AQ21">
        <f t="shared" si="11"/>
        <v>3.6841070298463769</v>
      </c>
      <c r="AR21">
        <f t="shared" si="12"/>
        <v>0.20786217039325353</v>
      </c>
      <c r="AS21">
        <f t="shared" si="15"/>
        <v>2.5973200361567241</v>
      </c>
      <c r="AT21">
        <f t="shared" si="14"/>
        <v>2.5973200361567241</v>
      </c>
    </row>
    <row r="22" spans="1:46" x14ac:dyDescent="0.25">
      <c r="B22" s="158">
        <v>230.005</v>
      </c>
      <c r="C22" s="56">
        <v>2.5070000000000001</v>
      </c>
      <c r="D22" s="56">
        <v>1132.97</v>
      </c>
      <c r="E22" s="95">
        <v>0.2049</v>
      </c>
      <c r="F22" s="157"/>
      <c r="I22" s="8">
        <f t="shared" si="4"/>
        <v>4.9810719266786211E-3</v>
      </c>
      <c r="J22" s="8">
        <v>1749.3548931883499</v>
      </c>
      <c r="K22">
        <v>-369.06930000711998</v>
      </c>
      <c r="L22">
        <v>5423856.3488769103</v>
      </c>
      <c r="M22">
        <v>-2.2128385216835</v>
      </c>
      <c r="N22">
        <v>-269503.24793356902</v>
      </c>
      <c r="O22">
        <v>73145.021531826002</v>
      </c>
      <c r="P22">
        <v>5.34368649509278</v>
      </c>
      <c r="Q22">
        <f t="shared" si="0"/>
        <v>1.160613807171842E-2</v>
      </c>
      <c r="R22">
        <f t="shared" si="5"/>
        <v>7.415324519602722E-4</v>
      </c>
      <c r="S22">
        <f t="shared" si="1"/>
        <v>-0.34517135805488219</v>
      </c>
      <c r="T22">
        <f t="shared" si="6"/>
        <v>-2.9706579312577815E-6</v>
      </c>
      <c r="U22">
        <f t="shared" si="2"/>
        <v>0.19785724879874386</v>
      </c>
      <c r="W22" s="8">
        <v>230.005</v>
      </c>
      <c r="X22" s="8">
        <v>1132.97</v>
      </c>
      <c r="Y22" s="15">
        <v>0.2049</v>
      </c>
      <c r="Z22">
        <f t="shared" si="7"/>
        <v>0.20609772055408515</v>
      </c>
      <c r="AA22">
        <f t="shared" si="8"/>
        <v>0.58453906983169945</v>
      </c>
      <c r="AB22">
        <f t="shared" si="9"/>
        <v>0.58453906983169945</v>
      </c>
      <c r="AO22">
        <f t="shared" si="10"/>
        <v>0.21335515774716174</v>
      </c>
      <c r="AP22">
        <f t="shared" si="3"/>
        <v>4.1264801108646854</v>
      </c>
      <c r="AQ22">
        <f t="shared" si="11"/>
        <v>4.1264801108646854</v>
      </c>
      <c r="AR22">
        <f t="shared" si="12"/>
        <v>0.21106026935473396</v>
      </c>
      <c r="AS22">
        <f t="shared" si="15"/>
        <v>3.0064760149994925</v>
      </c>
      <c r="AT22">
        <f t="shared" si="14"/>
        <v>3.0064760149994925</v>
      </c>
    </row>
    <row r="23" spans="1:46" x14ac:dyDescent="0.25">
      <c r="B23" s="158">
        <v>230.005</v>
      </c>
      <c r="C23" s="56">
        <v>5.0179999999999998</v>
      </c>
      <c r="D23" s="56">
        <v>1139.3399999999999</v>
      </c>
      <c r="E23" s="95">
        <v>0.2104</v>
      </c>
      <c r="F23" s="157"/>
      <c r="I23" s="8">
        <f t="shared" si="4"/>
        <v>4.9810719266786211E-3</v>
      </c>
      <c r="J23" s="8">
        <v>1749.3548931883499</v>
      </c>
      <c r="K23">
        <v>-369.06930000711998</v>
      </c>
      <c r="L23">
        <v>5423856.3488769103</v>
      </c>
      <c r="M23">
        <v>-2.2128385216835</v>
      </c>
      <c r="N23">
        <v>-269503.24793356902</v>
      </c>
      <c r="O23">
        <v>73145.021531826002</v>
      </c>
      <c r="P23">
        <v>5.34368649509278</v>
      </c>
      <c r="Q23">
        <f t="shared" si="0"/>
        <v>1.160613807171842E-2</v>
      </c>
      <c r="R23">
        <f t="shared" si="5"/>
        <v>7.415324519602722E-4</v>
      </c>
      <c r="S23">
        <f t="shared" si="1"/>
        <v>-0.34517135805488219</v>
      </c>
      <c r="T23">
        <f t="shared" si="6"/>
        <v>-2.9706579312577815E-6</v>
      </c>
      <c r="U23">
        <f t="shared" si="2"/>
        <v>0.20282410083032126</v>
      </c>
      <c r="W23" s="8">
        <v>230.005</v>
      </c>
      <c r="X23" s="8">
        <v>1139.3399999999999</v>
      </c>
      <c r="Y23" s="15">
        <v>0.2104</v>
      </c>
      <c r="Z23">
        <f t="shared" si="7"/>
        <v>0.21104564949464044</v>
      </c>
      <c r="AA23">
        <f t="shared" si="8"/>
        <v>0.30686763053252747</v>
      </c>
      <c r="AB23">
        <f t="shared" si="9"/>
        <v>0.30686763053252747</v>
      </c>
      <c r="AO23">
        <f t="shared" si="10"/>
        <v>0.21840022585782731</v>
      </c>
      <c r="AP23">
        <f t="shared" si="3"/>
        <v>3.8023887156973899</v>
      </c>
      <c r="AQ23">
        <f t="shared" si="11"/>
        <v>3.8023887156973899</v>
      </c>
      <c r="AR23">
        <f t="shared" si="12"/>
        <v>0.21595924449806525</v>
      </c>
      <c r="AS23">
        <f t="shared" si="15"/>
        <v>2.6422264724644706</v>
      </c>
      <c r="AT23">
        <f t="shared" si="14"/>
        <v>2.6422264724644706</v>
      </c>
    </row>
    <row r="24" spans="1:46" x14ac:dyDescent="0.25">
      <c r="B24" s="158">
        <v>230.005</v>
      </c>
      <c r="C24" s="56">
        <v>7.4770000000000003</v>
      </c>
      <c r="D24" s="56">
        <v>1145.26</v>
      </c>
      <c r="E24" s="95">
        <v>0.2109</v>
      </c>
      <c r="F24" s="157"/>
      <c r="I24" s="8">
        <f t="shared" si="4"/>
        <v>4.9810719266786211E-3</v>
      </c>
      <c r="J24" s="8">
        <v>1749.3548931883499</v>
      </c>
      <c r="K24">
        <v>-369.06930000711998</v>
      </c>
      <c r="L24">
        <v>5423856.3488769103</v>
      </c>
      <c r="M24">
        <v>-2.2128385216835</v>
      </c>
      <c r="N24">
        <v>-269503.24793356902</v>
      </c>
      <c r="O24">
        <v>73145.021531826002</v>
      </c>
      <c r="P24">
        <v>5.34368649509278</v>
      </c>
      <c r="Q24">
        <f t="shared" si="0"/>
        <v>1.160613807171842E-2</v>
      </c>
      <c r="R24">
        <f t="shared" si="5"/>
        <v>7.415324519602722E-4</v>
      </c>
      <c r="S24">
        <f t="shared" si="1"/>
        <v>-0.34517135805488219</v>
      </c>
      <c r="T24">
        <f t="shared" si="6"/>
        <v>-2.9706579312577815E-6</v>
      </c>
      <c r="U24">
        <f t="shared" si="2"/>
        <v>0.20757265209211148</v>
      </c>
      <c r="W24" s="8">
        <v>230.005</v>
      </c>
      <c r="X24" s="8">
        <v>1145.26</v>
      </c>
      <c r="Y24" s="15">
        <v>0.2109</v>
      </c>
      <c r="Z24">
        <f t="shared" si="7"/>
        <v>0.21577661446147761</v>
      </c>
      <c r="AA24">
        <f t="shared" si="8"/>
        <v>2.31228755878502</v>
      </c>
      <c r="AB24">
        <f t="shared" si="9"/>
        <v>2.31228755878502</v>
      </c>
      <c r="AO24">
        <f t="shared" si="10"/>
        <v>0.2232537733964966</v>
      </c>
      <c r="AP24">
        <f t="shared" si="3"/>
        <v>5.8576450433838767</v>
      </c>
      <c r="AQ24">
        <f t="shared" si="11"/>
        <v>5.8576450433838767</v>
      </c>
      <c r="AR24">
        <f t="shared" si="12"/>
        <v>0.22066831639868589</v>
      </c>
      <c r="AS24">
        <f t="shared" si="15"/>
        <v>4.6317289704532429</v>
      </c>
      <c r="AT24">
        <f t="shared" si="14"/>
        <v>4.6317289704532429</v>
      </c>
    </row>
    <row r="25" spans="1:46" x14ac:dyDescent="0.25">
      <c r="B25" s="160">
        <v>230.005</v>
      </c>
      <c r="C25" s="86">
        <v>10.603999999999999</v>
      </c>
      <c r="D25" s="86">
        <v>1152.44</v>
      </c>
      <c r="E25" s="96">
        <v>0.21579999999999999</v>
      </c>
      <c r="F25" s="157"/>
      <c r="I25" s="8">
        <f t="shared" si="4"/>
        <v>4.9810719266786211E-3</v>
      </c>
      <c r="J25" s="8">
        <v>1749.3548931883499</v>
      </c>
      <c r="K25">
        <v>-369.06930000711998</v>
      </c>
      <c r="L25">
        <v>5423856.3488769103</v>
      </c>
      <c r="M25">
        <v>-2.2128385216835</v>
      </c>
      <c r="N25">
        <v>-269503.24793356902</v>
      </c>
      <c r="O25">
        <v>73145.021531826002</v>
      </c>
      <c r="P25">
        <v>5.34368649509278</v>
      </c>
      <c r="Q25">
        <f t="shared" si="0"/>
        <v>1.160613807171842E-2</v>
      </c>
      <c r="R25">
        <f t="shared" si="5"/>
        <v>7.415324519602722E-4</v>
      </c>
      <c r="S25">
        <f t="shared" si="1"/>
        <v>-0.34517135805488219</v>
      </c>
      <c r="T25">
        <f t="shared" si="6"/>
        <v>-2.9706579312577815E-6</v>
      </c>
      <c r="U25">
        <f t="shared" si="2"/>
        <v>0.21350882610074137</v>
      </c>
      <c r="W25" s="57">
        <v>230.005</v>
      </c>
      <c r="X25" s="57">
        <v>1152.44</v>
      </c>
      <c r="Y25" s="60">
        <v>0.21579999999999999</v>
      </c>
      <c r="Z25" s="25">
        <f t="shared" si="7"/>
        <v>0.22169145914616106</v>
      </c>
      <c r="AA25" s="25">
        <f t="shared" si="8"/>
        <v>2.7300552113814045</v>
      </c>
      <c r="AB25" s="25">
        <f t="shared" si="9"/>
        <v>2.7300552113814045</v>
      </c>
      <c r="AO25">
        <f t="shared" si="10"/>
        <v>0.22936561766954977</v>
      </c>
      <c r="AP25">
        <f t="shared" si="3"/>
        <v>6.2861991054447541</v>
      </c>
      <c r="AQ25">
        <f t="shared" si="11"/>
        <v>6.2861991054447541</v>
      </c>
      <c r="AR25">
        <f t="shared" si="12"/>
        <v>0.22659275636517009</v>
      </c>
      <c r="AS25">
        <f t="shared" si="15"/>
        <v>5.00127727765065</v>
      </c>
      <c r="AT25">
        <f t="shared" si="14"/>
        <v>5.00127727765065</v>
      </c>
    </row>
    <row r="26" spans="1:46" x14ac:dyDescent="0.25">
      <c r="A26" t="s">
        <v>222</v>
      </c>
      <c r="B26" s="158">
        <v>240.00399999999999</v>
      </c>
      <c r="C26" s="56">
        <v>1.2549999999999999</v>
      </c>
      <c r="D26" s="56">
        <v>1088.72</v>
      </c>
      <c r="E26" s="95">
        <v>0.17219999999999999</v>
      </c>
      <c r="F26" s="157"/>
      <c r="I26" s="8">
        <f t="shared" si="4"/>
        <v>4.9810719266786211E-3</v>
      </c>
      <c r="J26" s="8">
        <v>1749.3548931883499</v>
      </c>
      <c r="K26">
        <v>-369.06930000711998</v>
      </c>
      <c r="L26">
        <v>5423856.3488769103</v>
      </c>
      <c r="M26">
        <v>-2.2128385216835</v>
      </c>
      <c r="N26">
        <v>-269503.24793356902</v>
      </c>
      <c r="O26">
        <v>73145.021531826002</v>
      </c>
      <c r="P26">
        <v>5.34368649509278</v>
      </c>
      <c r="Q26">
        <f t="shared" si="0"/>
        <v>1.2093918573251891E-2</v>
      </c>
      <c r="R26">
        <f t="shared" si="5"/>
        <v>7.415324519602722E-4</v>
      </c>
      <c r="S26">
        <f t="shared" si="1"/>
        <v>-0.15603701541443193</v>
      </c>
      <c r="T26">
        <f t="shared" si="6"/>
        <v>-1.3993451180368835E-6</v>
      </c>
      <c r="U26">
        <f t="shared" si="2"/>
        <v>0.16183037492422617</v>
      </c>
      <c r="W26" s="8">
        <v>240.00399999999999</v>
      </c>
      <c r="X26" s="8">
        <v>1088.72</v>
      </c>
      <c r="Y26" s="15">
        <v>0.17219999999999999</v>
      </c>
      <c r="Z26">
        <f t="shared" si="7"/>
        <v>0.17240079848056894</v>
      </c>
      <c r="AA26">
        <f t="shared" si="8"/>
        <v>0.11660771229323333</v>
      </c>
      <c r="AB26">
        <f t="shared" si="9"/>
        <v>0.11660771229323333</v>
      </c>
      <c r="AO26">
        <f t="shared" si="10"/>
        <v>0.17772884504711811</v>
      </c>
      <c r="AP26">
        <f t="shared" si="3"/>
        <v>3.2107114094762599</v>
      </c>
      <c r="AQ26">
        <f t="shared" si="11"/>
        <v>3.2107114094762599</v>
      </c>
      <c r="AR26">
        <f t="shared" si="12"/>
        <v>0.17771072669875365</v>
      </c>
      <c r="AS26">
        <f t="shared" si="15"/>
        <v>3.2001897205305805</v>
      </c>
      <c r="AT26">
        <f t="shared" si="14"/>
        <v>3.2001897205305805</v>
      </c>
    </row>
    <row r="27" spans="1:46" x14ac:dyDescent="0.25">
      <c r="A27" t="s">
        <v>291</v>
      </c>
      <c r="B27" s="158">
        <v>240.00399999999999</v>
      </c>
      <c r="C27" s="56">
        <v>1.2649999999999999</v>
      </c>
      <c r="D27" s="56">
        <v>1088.75</v>
      </c>
      <c r="E27" s="95">
        <v>0.17199999999999999</v>
      </c>
      <c r="F27" s="157"/>
      <c r="I27" s="8">
        <f t="shared" si="4"/>
        <v>4.9810719266786211E-3</v>
      </c>
      <c r="J27" s="8">
        <v>1749.3548931883499</v>
      </c>
      <c r="K27">
        <v>-369.06930000711998</v>
      </c>
      <c r="L27">
        <v>5423856.3488769103</v>
      </c>
      <c r="M27">
        <v>-2.2128385216835</v>
      </c>
      <c r="N27">
        <v>-269503.24793356902</v>
      </c>
      <c r="O27">
        <v>73145.021531826002</v>
      </c>
      <c r="P27">
        <v>5.34368649509278</v>
      </c>
      <c r="Q27">
        <f t="shared" si="0"/>
        <v>1.2093918573251891E-2</v>
      </c>
      <c r="R27">
        <f t="shared" si="5"/>
        <v>7.415324519602722E-4</v>
      </c>
      <c r="S27">
        <f t="shared" si="1"/>
        <v>-0.15603701541443193</v>
      </c>
      <c r="T27">
        <f t="shared" si="6"/>
        <v>-1.3993451180368835E-6</v>
      </c>
      <c r="U27">
        <f t="shared" si="2"/>
        <v>0.1618485470873737</v>
      </c>
      <c r="W27" s="8">
        <v>240.00399999999999</v>
      </c>
      <c r="X27" s="8">
        <v>1088.75</v>
      </c>
      <c r="Y27" s="15">
        <v>0.17199999999999999</v>
      </c>
      <c r="Z27">
        <f t="shared" si="7"/>
        <v>0.17241892866336295</v>
      </c>
      <c r="AA27">
        <f t="shared" si="8"/>
        <v>0.24356317637381442</v>
      </c>
      <c r="AB27">
        <f t="shared" si="9"/>
        <v>0.24356317637381442</v>
      </c>
      <c r="AO27">
        <f t="shared" si="10"/>
        <v>0.17774687558996791</v>
      </c>
      <c r="AP27">
        <f t="shared" si="3"/>
        <v>3.3412067383534421</v>
      </c>
      <c r="AQ27">
        <f t="shared" si="11"/>
        <v>3.3412067383534421</v>
      </c>
      <c r="AR27">
        <f t="shared" si="12"/>
        <v>0.17772824889942349</v>
      </c>
      <c r="AS27">
        <f t="shared" si="15"/>
        <v>3.330377267106686</v>
      </c>
      <c r="AT27">
        <f t="shared" si="14"/>
        <v>3.330377267106686</v>
      </c>
    </row>
    <row r="28" spans="1:46" x14ac:dyDescent="0.25">
      <c r="B28" s="158">
        <v>240.00399999999999</v>
      </c>
      <c r="C28" s="56">
        <v>1.278</v>
      </c>
      <c r="D28" s="56">
        <v>1088.8</v>
      </c>
      <c r="E28" s="95">
        <v>0.17199999999999999</v>
      </c>
      <c r="F28" s="157"/>
      <c r="I28" s="8">
        <f t="shared" si="4"/>
        <v>4.9810719266786211E-3</v>
      </c>
      <c r="J28" s="8">
        <v>1749.3548931883499</v>
      </c>
      <c r="K28">
        <v>-369.06930000711998</v>
      </c>
      <c r="L28">
        <v>5423856.3488769103</v>
      </c>
      <c r="M28">
        <v>-2.2128385216835</v>
      </c>
      <c r="N28">
        <v>-269503.24793356902</v>
      </c>
      <c r="O28">
        <v>73145.021531826002</v>
      </c>
      <c r="P28">
        <v>5.34368649509278</v>
      </c>
      <c r="Q28">
        <f t="shared" si="0"/>
        <v>1.2093918573251891E-2</v>
      </c>
      <c r="R28">
        <f t="shared" si="5"/>
        <v>7.415324519602722E-4</v>
      </c>
      <c r="S28">
        <f t="shared" si="1"/>
        <v>-0.15603701541443193</v>
      </c>
      <c r="T28">
        <f t="shared" si="6"/>
        <v>-1.3993451180368835E-6</v>
      </c>
      <c r="U28">
        <f t="shared" si="2"/>
        <v>0.16187883945377696</v>
      </c>
      <c r="W28" s="8">
        <v>240.00399999999999</v>
      </c>
      <c r="X28" s="8">
        <v>1088.8</v>
      </c>
      <c r="Y28" s="15">
        <v>0.17199999999999999</v>
      </c>
      <c r="Z28">
        <f t="shared" si="7"/>
        <v>0.1724491510625103</v>
      </c>
      <c r="AA28">
        <f t="shared" si="8"/>
        <v>0.2611343386687856</v>
      </c>
      <c r="AB28">
        <f t="shared" si="9"/>
        <v>0.2611343386687856</v>
      </c>
      <c r="AO28">
        <f t="shared" si="10"/>
        <v>0.1777769324168692</v>
      </c>
      <c r="AP28">
        <f t="shared" si="3"/>
        <v>3.3586816377146622</v>
      </c>
      <c r="AQ28">
        <f t="shared" si="11"/>
        <v>3.3586816377146622</v>
      </c>
      <c r="AR28">
        <f t="shared" si="12"/>
        <v>0.17775745810038476</v>
      </c>
      <c r="AS28">
        <f t="shared" si="15"/>
        <v>3.3473593606888241</v>
      </c>
      <c r="AT28">
        <f t="shared" si="14"/>
        <v>3.3473593606888241</v>
      </c>
    </row>
    <row r="29" spans="1:46" x14ac:dyDescent="0.25">
      <c r="B29" s="158">
        <v>240.00399999999999</v>
      </c>
      <c r="C29" s="56">
        <v>1.2969999999999999</v>
      </c>
      <c r="D29" s="56">
        <v>1088.8599999999999</v>
      </c>
      <c r="E29" s="95">
        <v>0.1724</v>
      </c>
      <c r="F29" s="157"/>
      <c r="I29" s="8">
        <f t="shared" si="4"/>
        <v>4.9810719266786211E-3</v>
      </c>
      <c r="J29" s="8">
        <v>1749.3548931883499</v>
      </c>
      <c r="K29">
        <v>-369.06930000711998</v>
      </c>
      <c r="L29">
        <v>5423856.3488769103</v>
      </c>
      <c r="M29">
        <v>-2.2128385216835</v>
      </c>
      <c r="N29">
        <v>-269503.24793356902</v>
      </c>
      <c r="O29">
        <v>73145.021531826002</v>
      </c>
      <c r="P29">
        <v>5.34368649509278</v>
      </c>
      <c r="Q29">
        <f t="shared" si="0"/>
        <v>1.2093918573251891E-2</v>
      </c>
      <c r="R29">
        <f t="shared" si="5"/>
        <v>7.415324519602722E-4</v>
      </c>
      <c r="S29">
        <f t="shared" si="1"/>
        <v>-0.15603701541443193</v>
      </c>
      <c r="T29">
        <f t="shared" si="6"/>
        <v>-1.3993451180368835E-6</v>
      </c>
      <c r="U29">
        <f t="shared" si="2"/>
        <v>0.16191519925147191</v>
      </c>
      <c r="W29" s="8">
        <v>240.00399999999999</v>
      </c>
      <c r="X29" s="8">
        <v>1088.8599999999999</v>
      </c>
      <c r="Y29" s="15">
        <v>0.1724</v>
      </c>
      <c r="Z29">
        <f t="shared" si="7"/>
        <v>0.17248542689949817</v>
      </c>
      <c r="AA29">
        <f t="shared" si="8"/>
        <v>4.9551565834205308E-2</v>
      </c>
      <c r="AB29">
        <f t="shared" si="9"/>
        <v>4.9551565834205308E-2</v>
      </c>
      <c r="AO29">
        <f t="shared" si="10"/>
        <v>0.17781301038407146</v>
      </c>
      <c r="AP29">
        <f t="shared" si="3"/>
        <v>3.1397972065379727</v>
      </c>
      <c r="AQ29">
        <f t="shared" si="11"/>
        <v>3.1397972065379727</v>
      </c>
      <c r="AR29">
        <f t="shared" si="12"/>
        <v>0.17779251827430995</v>
      </c>
      <c r="AS29">
        <f t="shared" si="15"/>
        <v>3.1279108319663278</v>
      </c>
      <c r="AT29">
        <f t="shared" si="14"/>
        <v>3.1279108319663278</v>
      </c>
    </row>
    <row r="30" spans="1:46" x14ac:dyDescent="0.25">
      <c r="B30" s="158">
        <v>240.00399999999999</v>
      </c>
      <c r="C30" s="56">
        <v>2.508</v>
      </c>
      <c r="D30" s="56">
        <v>1092.8399999999999</v>
      </c>
      <c r="E30" s="95">
        <v>0.17510000000000001</v>
      </c>
      <c r="F30" s="157"/>
      <c r="I30" s="8">
        <f t="shared" si="4"/>
        <v>4.9810719266786211E-3</v>
      </c>
      <c r="J30" s="8">
        <v>1749.3548931883499</v>
      </c>
      <c r="K30">
        <v>-369.06930000711998</v>
      </c>
      <c r="L30">
        <v>5423856.3488769103</v>
      </c>
      <c r="M30">
        <v>-2.2128385216835</v>
      </c>
      <c r="N30">
        <v>-269503.24793356902</v>
      </c>
      <c r="O30">
        <v>73145.021531826002</v>
      </c>
      <c r="P30">
        <v>5.34368649509278</v>
      </c>
      <c r="Q30">
        <f t="shared" si="0"/>
        <v>1.2093918573251891E-2</v>
      </c>
      <c r="R30">
        <f t="shared" si="5"/>
        <v>7.415324519602722E-4</v>
      </c>
      <c r="S30">
        <f t="shared" si="1"/>
        <v>-0.15603701541443193</v>
      </c>
      <c r="T30">
        <f t="shared" si="6"/>
        <v>-1.3993451180368835E-6</v>
      </c>
      <c r="U30">
        <f t="shared" si="2"/>
        <v>0.16434904001667683</v>
      </c>
      <c r="W30" s="8">
        <v>240.00399999999999</v>
      </c>
      <c r="X30" s="8">
        <v>1092.8399999999999</v>
      </c>
      <c r="Y30" s="15">
        <v>0.17510000000000001</v>
      </c>
      <c r="Z30">
        <f t="shared" si="7"/>
        <v>0.17491369827113329</v>
      </c>
      <c r="AA30">
        <f t="shared" si="8"/>
        <v>-0.10639733230537796</v>
      </c>
      <c r="AB30">
        <f t="shared" si="9"/>
        <v>0.10639733230537796</v>
      </c>
      <c r="AO30">
        <f t="shared" si="10"/>
        <v>0.18023023862934504</v>
      </c>
      <c r="AP30">
        <f t="shared" si="3"/>
        <v>2.9298907077927066</v>
      </c>
      <c r="AQ30">
        <f t="shared" si="11"/>
        <v>2.9298907077927066</v>
      </c>
      <c r="AR30">
        <f t="shared" si="12"/>
        <v>0.18014064372898841</v>
      </c>
      <c r="AS30">
        <f t="shared" si="15"/>
        <v>2.8787228606444368</v>
      </c>
      <c r="AT30">
        <f t="shared" si="14"/>
        <v>2.8787228606444368</v>
      </c>
    </row>
    <row r="31" spans="1:46" x14ac:dyDescent="0.25">
      <c r="B31" s="158">
        <v>240.00399999999999</v>
      </c>
      <c r="C31" s="56">
        <v>2.5139999999999998</v>
      </c>
      <c r="D31" s="56">
        <v>1092.8599999999999</v>
      </c>
      <c r="E31" s="95">
        <v>0.17460000000000001</v>
      </c>
      <c r="F31" s="157"/>
      <c r="I31" s="8">
        <f t="shared" si="4"/>
        <v>4.9810719266786211E-3</v>
      </c>
      <c r="J31" s="8">
        <v>1749.3548931883499</v>
      </c>
      <c r="K31">
        <v>-369.06930000711998</v>
      </c>
      <c r="L31">
        <v>5423856.3488769103</v>
      </c>
      <c r="M31">
        <v>-2.2128385216835</v>
      </c>
      <c r="N31">
        <v>-269503.24793356902</v>
      </c>
      <c r="O31">
        <v>73145.021531826002</v>
      </c>
      <c r="P31">
        <v>5.34368649509278</v>
      </c>
      <c r="Q31">
        <f t="shared" si="0"/>
        <v>1.2093918573251891E-2</v>
      </c>
      <c r="R31">
        <f t="shared" si="5"/>
        <v>7.415324519602722E-4</v>
      </c>
      <c r="S31">
        <f t="shared" si="1"/>
        <v>-0.15603701541443193</v>
      </c>
      <c r="T31">
        <f t="shared" si="6"/>
        <v>-1.3993451180368835E-6</v>
      </c>
      <c r="U31">
        <f t="shared" si="2"/>
        <v>0.1643613804478409</v>
      </c>
      <c r="W31" s="8">
        <v>240.00399999999999</v>
      </c>
      <c r="X31" s="8">
        <v>1092.8599999999999</v>
      </c>
      <c r="Y31" s="15">
        <v>0.17460000000000001</v>
      </c>
      <c r="Z31">
        <f t="shared" si="7"/>
        <v>0.17492601071539501</v>
      </c>
      <c r="AA31">
        <f t="shared" si="8"/>
        <v>0.18671862279210119</v>
      </c>
      <c r="AB31">
        <f t="shared" si="9"/>
        <v>0.18671862279210119</v>
      </c>
      <c r="AO31">
        <f t="shared" si="10"/>
        <v>0.18024250640373929</v>
      </c>
      <c r="AP31">
        <f t="shared" si="3"/>
        <v>3.2316760617063478</v>
      </c>
      <c r="AQ31">
        <f t="shared" si="11"/>
        <v>3.2316760617063478</v>
      </c>
      <c r="AR31">
        <f t="shared" si="12"/>
        <v>0.18015255622260609</v>
      </c>
      <c r="AS31">
        <f t="shared" si="15"/>
        <v>3.1801582030962692</v>
      </c>
      <c r="AT31">
        <f t="shared" si="14"/>
        <v>3.1801582030962692</v>
      </c>
    </row>
    <row r="32" spans="1:46" x14ac:dyDescent="0.25">
      <c r="B32" s="158">
        <v>240.00399999999999</v>
      </c>
      <c r="C32" s="56">
        <v>5.0190000000000001</v>
      </c>
      <c r="D32" s="56">
        <v>1100.71</v>
      </c>
      <c r="E32" s="95">
        <v>0.1799</v>
      </c>
      <c r="F32" s="157"/>
      <c r="I32" s="8">
        <f t="shared" si="4"/>
        <v>4.9810719266786211E-3</v>
      </c>
      <c r="J32" s="8">
        <v>1749.3548931883499</v>
      </c>
      <c r="K32">
        <v>-369.06930000711998</v>
      </c>
      <c r="L32">
        <v>5423856.3488769103</v>
      </c>
      <c r="M32">
        <v>-2.2128385216835</v>
      </c>
      <c r="N32">
        <v>-269503.24793356902</v>
      </c>
      <c r="O32">
        <v>73145.021531826002</v>
      </c>
      <c r="P32">
        <v>5.34368649509278</v>
      </c>
      <c r="Q32">
        <f t="shared" si="0"/>
        <v>1.2093918573251891E-2</v>
      </c>
      <c r="R32">
        <f t="shared" si="5"/>
        <v>7.415324519602722E-4</v>
      </c>
      <c r="S32">
        <f t="shared" si="1"/>
        <v>-0.15603701541443193</v>
      </c>
      <c r="T32">
        <f t="shared" si="6"/>
        <v>-1.3993451180368835E-6</v>
      </c>
      <c r="U32">
        <f t="shared" si="2"/>
        <v>0.16929170905734403</v>
      </c>
      <c r="W32" s="8">
        <v>240.00399999999999</v>
      </c>
      <c r="X32" s="8">
        <v>1100.71</v>
      </c>
      <c r="Y32" s="15">
        <v>0.1799</v>
      </c>
      <c r="Z32">
        <f t="shared" si="7"/>
        <v>0.17984535446572153</v>
      </c>
      <c r="AA32">
        <f t="shared" si="8"/>
        <v>-3.0375505435505629E-2</v>
      </c>
      <c r="AB32">
        <f t="shared" si="9"/>
        <v>3.0375505435505629E-2</v>
      </c>
      <c r="AO32">
        <f t="shared" si="10"/>
        <v>0.1851537789425374</v>
      </c>
      <c r="AP32">
        <f t="shared" si="3"/>
        <v>2.9203885172525825</v>
      </c>
      <c r="AQ32">
        <f t="shared" si="11"/>
        <v>2.9203885172525825</v>
      </c>
      <c r="AR32">
        <f t="shared" si="12"/>
        <v>0.18491788894446404</v>
      </c>
      <c r="AS32">
        <f t="shared" si="15"/>
        <v>2.7892656722979616</v>
      </c>
      <c r="AT32">
        <f t="shared" si="14"/>
        <v>2.7892656722979616</v>
      </c>
    </row>
    <row r="33" spans="1:46" x14ac:dyDescent="0.25">
      <c r="B33" s="158">
        <v>240.00399999999999</v>
      </c>
      <c r="C33" s="56">
        <v>7.5270000000000001</v>
      </c>
      <c r="D33" s="56">
        <v>1108.06</v>
      </c>
      <c r="E33" s="95">
        <v>0.1822</v>
      </c>
      <c r="F33" s="157"/>
      <c r="I33" s="8">
        <f t="shared" si="4"/>
        <v>4.9810719266786211E-3</v>
      </c>
      <c r="J33" s="8">
        <v>1749.3548931883499</v>
      </c>
      <c r="K33">
        <v>-369.06930000711998</v>
      </c>
      <c r="L33">
        <v>5423856.3488769103</v>
      </c>
      <c r="M33">
        <v>-2.2128385216835</v>
      </c>
      <c r="N33">
        <v>-269503.24793356902</v>
      </c>
      <c r="O33">
        <v>73145.021531826002</v>
      </c>
      <c r="P33">
        <v>5.34368649509278</v>
      </c>
      <c r="Q33">
        <f t="shared" si="0"/>
        <v>1.2093918573251891E-2</v>
      </c>
      <c r="R33">
        <f t="shared" si="5"/>
        <v>7.415324519602722E-4</v>
      </c>
      <c r="S33">
        <f t="shared" si="1"/>
        <v>-0.15603701541443193</v>
      </c>
      <c r="T33">
        <f t="shared" si="6"/>
        <v>-1.3993451180368835E-6</v>
      </c>
      <c r="U33">
        <f t="shared" si="2"/>
        <v>0.17406885264432775</v>
      </c>
      <c r="W33" s="8">
        <v>240.00399999999999</v>
      </c>
      <c r="X33" s="8">
        <v>1108.06</v>
      </c>
      <c r="Y33" s="15">
        <v>0.1822</v>
      </c>
      <c r="Z33">
        <f t="shared" si="7"/>
        <v>0.1846122128660877</v>
      </c>
      <c r="AA33">
        <f t="shared" si="8"/>
        <v>1.3239368090492307</v>
      </c>
      <c r="AB33">
        <f t="shared" si="9"/>
        <v>1.3239368090492307</v>
      </c>
      <c r="AO33">
        <f t="shared" si="10"/>
        <v>0.18993298940607262</v>
      </c>
      <c r="AP33">
        <f t="shared" si="3"/>
        <v>4.2442312876359036</v>
      </c>
      <c r="AQ33">
        <f t="shared" si="11"/>
        <v>4.2442312876359036</v>
      </c>
      <c r="AR33">
        <f t="shared" si="12"/>
        <v>0.18954799490837765</v>
      </c>
      <c r="AS33">
        <f t="shared" si="15"/>
        <v>4.0329280507012335</v>
      </c>
      <c r="AT33">
        <f t="shared" si="14"/>
        <v>4.0329280507012335</v>
      </c>
    </row>
    <row r="34" spans="1:46" x14ac:dyDescent="0.25">
      <c r="B34" s="160">
        <v>240.00399999999999</v>
      </c>
      <c r="C34" s="86">
        <v>11.05</v>
      </c>
      <c r="D34" s="86">
        <v>1117.7</v>
      </c>
      <c r="E34" s="96">
        <v>0.1883</v>
      </c>
      <c r="F34" s="157"/>
      <c r="I34" s="8">
        <f t="shared" si="4"/>
        <v>4.9810719266786211E-3</v>
      </c>
      <c r="J34" s="8">
        <v>1749.3548931883499</v>
      </c>
      <c r="K34">
        <v>-369.06930000711998</v>
      </c>
      <c r="L34">
        <v>5423856.3488769103</v>
      </c>
      <c r="M34">
        <v>-2.2128385216835</v>
      </c>
      <c r="N34">
        <v>-269503.24793356902</v>
      </c>
      <c r="O34">
        <v>73145.021531826002</v>
      </c>
      <c r="P34">
        <v>5.34368649509278</v>
      </c>
      <c r="Q34">
        <f t="shared" si="0"/>
        <v>1.2093918573251891E-2</v>
      </c>
      <c r="R34">
        <f t="shared" si="5"/>
        <v>7.415324519602722E-4</v>
      </c>
      <c r="S34">
        <f t="shared" si="1"/>
        <v>-0.15603701541443193</v>
      </c>
      <c r="T34">
        <f t="shared" si="6"/>
        <v>-1.3993451180368835E-6</v>
      </c>
      <c r="U34">
        <f t="shared" si="2"/>
        <v>0.18058015206921896</v>
      </c>
      <c r="W34" s="57">
        <v>240.00399999999999</v>
      </c>
      <c r="X34" s="57">
        <v>1117.7</v>
      </c>
      <c r="Y34" s="60">
        <v>0.1883</v>
      </c>
      <c r="Z34" s="25">
        <f t="shared" si="7"/>
        <v>0.19111002260404103</v>
      </c>
      <c r="AA34" s="25">
        <f t="shared" si="8"/>
        <v>1.4923115263096309</v>
      </c>
      <c r="AB34" s="25">
        <f t="shared" si="9"/>
        <v>1.4923115263096309</v>
      </c>
      <c r="AO34">
        <f t="shared" si="10"/>
        <v>0.19648368512190134</v>
      </c>
      <c r="AP34">
        <f t="shared" si="3"/>
        <v>4.3460887530012462</v>
      </c>
      <c r="AQ34">
        <f t="shared" si="11"/>
        <v>4.3460887530012462</v>
      </c>
      <c r="AR34">
        <f t="shared" si="12"/>
        <v>0.19588298700501297</v>
      </c>
      <c r="AS34">
        <f t="shared" si="15"/>
        <v>4.027077538509281</v>
      </c>
      <c r="AT34">
        <f t="shared" si="14"/>
        <v>4.027077538509281</v>
      </c>
    </row>
    <row r="35" spans="1:46" x14ac:dyDescent="0.25">
      <c r="A35" t="s">
        <v>221</v>
      </c>
      <c r="B35" s="158">
        <v>260.005</v>
      </c>
      <c r="C35" s="56">
        <v>2.383</v>
      </c>
      <c r="D35" s="56">
        <v>998.58</v>
      </c>
      <c r="E35" s="95">
        <v>0.12470000000000001</v>
      </c>
      <c r="F35" s="157"/>
      <c r="I35" s="8">
        <f t="shared" si="4"/>
        <v>4.9810719266786211E-3</v>
      </c>
      <c r="J35" s="8">
        <v>1749.3548931883499</v>
      </c>
      <c r="K35">
        <v>-369.06930000711998</v>
      </c>
      <c r="L35">
        <v>5423856.3488769103</v>
      </c>
      <c r="M35">
        <v>-2.2128385216835</v>
      </c>
      <c r="N35">
        <v>-269503.24793356902</v>
      </c>
      <c r="O35">
        <v>73145.021531826002</v>
      </c>
      <c r="P35">
        <v>5.34368649509278</v>
      </c>
      <c r="Q35">
        <f t="shared" si="0"/>
        <v>1.3067073346101975E-2</v>
      </c>
      <c r="R35">
        <f t="shared" si="5"/>
        <v>7.415324519602722E-4</v>
      </c>
      <c r="S35">
        <f t="shared" si="1"/>
        <v>0.12932438353417317</v>
      </c>
      <c r="T35">
        <f t="shared" si="6"/>
        <v>1.2531091688494151E-6</v>
      </c>
      <c r="U35">
        <f t="shared" si="2"/>
        <v>0.11063394448962532</v>
      </c>
      <c r="W35" s="8">
        <v>260.005</v>
      </c>
      <c r="X35" s="8">
        <v>998.58</v>
      </c>
      <c r="Y35" s="15">
        <v>0.12470000000000001</v>
      </c>
      <c r="Z35">
        <f t="shared" si="7"/>
        <v>0.12495234758955695</v>
      </c>
      <c r="AA35">
        <f t="shared" si="8"/>
        <v>0.20236374463267434</v>
      </c>
      <c r="AB35">
        <f t="shared" si="9"/>
        <v>0.20236374463267434</v>
      </c>
      <c r="AO35">
        <f t="shared" si="10"/>
        <v>0.12964254960100052</v>
      </c>
      <c r="AP35">
        <f t="shared" si="3"/>
        <v>3.9635522060950419</v>
      </c>
      <c r="AQ35">
        <f t="shared" si="11"/>
        <v>3.9635522060950419</v>
      </c>
      <c r="AR35">
        <f t="shared" si="12"/>
        <v>0.13010347648064077</v>
      </c>
      <c r="AS35">
        <f t="shared" si="15"/>
        <v>4.3331808184769587</v>
      </c>
      <c r="AT35">
        <f t="shared" si="14"/>
        <v>4.3331808184769587</v>
      </c>
    </row>
    <row r="36" spans="1:46" x14ac:dyDescent="0.25">
      <c r="A36" t="s">
        <v>289</v>
      </c>
      <c r="B36" s="158">
        <v>260.005</v>
      </c>
      <c r="C36" s="56">
        <v>2.4020000000000001</v>
      </c>
      <c r="D36" s="56">
        <v>998.69</v>
      </c>
      <c r="E36" s="95">
        <v>0.12540000000000001</v>
      </c>
      <c r="F36" s="157"/>
      <c r="I36" s="8">
        <f t="shared" si="4"/>
        <v>4.9810719266786211E-3</v>
      </c>
      <c r="J36" s="8">
        <v>1749.3548931883499</v>
      </c>
      <c r="K36">
        <v>-369.06930000711998</v>
      </c>
      <c r="L36">
        <v>5423856.3488769103</v>
      </c>
      <c r="M36">
        <v>-2.2128385216835</v>
      </c>
      <c r="N36">
        <v>-269503.24793356902</v>
      </c>
      <c r="O36">
        <v>73145.021531826002</v>
      </c>
      <c r="P36">
        <v>5.34368649509278</v>
      </c>
      <c r="Q36">
        <f t="shared" ref="Q36:Q67" si="16">1.0055*SQRT(B36)/(J36+K36*B36^(1/6)+L36*EXP(M36*B36^(1/3))+P36*SQRT(B36)+(N36+O36*B36^(1/3))/EXP(B36^(1/3)))</f>
        <v>1.3067073346101975E-2</v>
      </c>
      <c r="R36">
        <f t="shared" si="5"/>
        <v>7.415324519602722E-4</v>
      </c>
      <c r="S36">
        <f t="shared" ref="S36:S67" si="17">-19.572881+219.73999/(B36*I36)^(0.25)-1015.3226/(B36*I36)^(0.5)+2471.0125/(B36*I36)^(0.75)-3375.1717/(B36*I36)^(1)+2491.6597/(B36*I36)^(1.25)-787.26086/(B36*I36)^(1.5)+14.085455/(B36*I36)^(2.5)-0.34664158/(B36*I36)^(5.5)</f>
        <v>0.12932438353417317</v>
      </c>
      <c r="T36">
        <f t="shared" si="6"/>
        <v>1.2531091688494151E-6</v>
      </c>
      <c r="U36">
        <f t="shared" ref="U36:U67" si="18">0.09436059794459*(0.360603235428487*((B36/216.592)*(D36/1178.53)^3)+(((D36/1178.53)^2)+(D36/1178.53)^(8.06282737481277))/((B36/216.592)-0.121550806591497))</f>
        <v>0.11067642269198878</v>
      </c>
      <c r="W36" s="8">
        <v>260.005</v>
      </c>
      <c r="X36" s="8">
        <v>998.69</v>
      </c>
      <c r="Y36" s="15">
        <v>0.12540000000000001</v>
      </c>
      <c r="Z36">
        <f t="shared" si="7"/>
        <v>0.12499496363392898</v>
      </c>
      <c r="AA36">
        <f t="shared" si="8"/>
        <v>-0.32299550723367787</v>
      </c>
      <c r="AB36">
        <f t="shared" si="9"/>
        <v>0.32299550723367787</v>
      </c>
      <c r="AO36">
        <f t="shared" ref="AO36:AO67" si="19">0.001/((0.537-EXP(6.726-0.0433*W36))*(44.095/X36-0.0295))</f>
        <v>0.12968558186709409</v>
      </c>
      <c r="AP36">
        <f t="shared" ref="AP36:AP67" si="20">100*(AO36-Y36)/Y36</f>
        <v>3.4175293995965497</v>
      </c>
      <c r="AQ36">
        <f t="shared" si="11"/>
        <v>3.4175293995965497</v>
      </c>
      <c r="AR36">
        <f t="shared" si="12"/>
        <v>0.13014493842341573</v>
      </c>
      <c r="AS36">
        <f t="shared" si="15"/>
        <v>3.7838424429152493</v>
      </c>
      <c r="AT36">
        <f t="shared" si="14"/>
        <v>3.7838424429152493</v>
      </c>
    </row>
    <row r="37" spans="1:46" x14ac:dyDescent="0.25">
      <c r="B37" s="158">
        <v>260.005</v>
      </c>
      <c r="C37" s="56">
        <v>2.4209999999999998</v>
      </c>
      <c r="D37" s="56">
        <v>998.8</v>
      </c>
      <c r="E37" s="95">
        <v>0.125</v>
      </c>
      <c r="F37" s="157"/>
      <c r="I37" s="8">
        <f t="shared" si="4"/>
        <v>4.9810719266786211E-3</v>
      </c>
      <c r="J37" s="8">
        <v>1749.3548931883499</v>
      </c>
      <c r="K37">
        <v>-369.06930000711998</v>
      </c>
      <c r="L37">
        <v>5423856.3488769103</v>
      </c>
      <c r="M37">
        <v>-2.2128385216835</v>
      </c>
      <c r="N37">
        <v>-269503.24793356902</v>
      </c>
      <c r="O37">
        <v>73145.021531826002</v>
      </c>
      <c r="P37">
        <v>5.34368649509278</v>
      </c>
      <c r="Q37">
        <f t="shared" si="16"/>
        <v>1.3067073346101975E-2</v>
      </c>
      <c r="R37">
        <f t="shared" si="5"/>
        <v>7.415324519602722E-4</v>
      </c>
      <c r="S37">
        <f t="shared" si="17"/>
        <v>0.12932438353417317</v>
      </c>
      <c r="T37">
        <f t="shared" si="6"/>
        <v>1.2531091688494151E-6</v>
      </c>
      <c r="U37">
        <f t="shared" si="18"/>
        <v>0.11071892012788845</v>
      </c>
      <c r="W37" s="8">
        <v>260.005</v>
      </c>
      <c r="X37" s="8">
        <v>998.8</v>
      </c>
      <c r="Y37" s="15">
        <v>0.125</v>
      </c>
      <c r="Z37">
        <f t="shared" si="7"/>
        <v>0.12503759891183722</v>
      </c>
      <c r="AA37">
        <f t="shared" si="8"/>
        <v>3.0079129469773314E-2</v>
      </c>
      <c r="AB37">
        <f t="shared" si="9"/>
        <v>3.0079129469773314E-2</v>
      </c>
      <c r="AO37">
        <f t="shared" si="19"/>
        <v>0.12972863322216713</v>
      </c>
      <c r="AP37">
        <f t="shared" si="20"/>
        <v>3.7829065777337023</v>
      </c>
      <c r="AQ37">
        <f t="shared" si="11"/>
        <v>3.7829065777337023</v>
      </c>
      <c r="AR37">
        <f t="shared" si="12"/>
        <v>0.13018641765983846</v>
      </c>
      <c r="AS37">
        <f t="shared" si="15"/>
        <v>4.1491341278707683</v>
      </c>
      <c r="AT37">
        <f t="shared" si="14"/>
        <v>4.1491341278707683</v>
      </c>
    </row>
    <row r="38" spans="1:46" x14ac:dyDescent="0.25">
      <c r="B38" s="158">
        <v>260.005</v>
      </c>
      <c r="C38" s="56">
        <v>2.4500000000000002</v>
      </c>
      <c r="D38" s="56">
        <v>998.97</v>
      </c>
      <c r="E38" s="95">
        <v>0.12479999999999999</v>
      </c>
      <c r="F38" s="157"/>
      <c r="I38" s="8">
        <f t="shared" si="4"/>
        <v>4.9810719266786211E-3</v>
      </c>
      <c r="J38" s="8">
        <v>1749.3548931883499</v>
      </c>
      <c r="K38">
        <v>-369.06930000711998</v>
      </c>
      <c r="L38">
        <v>5423856.3488769103</v>
      </c>
      <c r="M38">
        <v>-2.2128385216835</v>
      </c>
      <c r="N38">
        <v>-269503.24793356902</v>
      </c>
      <c r="O38">
        <v>73145.021531826002</v>
      </c>
      <c r="P38">
        <v>5.34368649509278</v>
      </c>
      <c r="Q38">
        <f t="shared" si="16"/>
        <v>1.3067073346101975E-2</v>
      </c>
      <c r="R38">
        <f t="shared" si="5"/>
        <v>7.415324519602722E-4</v>
      </c>
      <c r="S38">
        <f t="shared" si="17"/>
        <v>0.12932438353417317</v>
      </c>
      <c r="T38">
        <f t="shared" si="6"/>
        <v>1.2531091688494151E-6</v>
      </c>
      <c r="U38">
        <f t="shared" si="18"/>
        <v>0.11078463583977714</v>
      </c>
      <c r="W38" s="8">
        <v>260.005</v>
      </c>
      <c r="X38" s="8">
        <v>998.97</v>
      </c>
      <c r="Y38" s="15">
        <v>0.12479999999999999</v>
      </c>
      <c r="Z38">
        <f t="shared" si="7"/>
        <v>0.12510352765228461</v>
      </c>
      <c r="AA38">
        <f t="shared" si="8"/>
        <v>0.24321125984344</v>
      </c>
      <c r="AB38">
        <f t="shared" si="9"/>
        <v>0.24321125984344</v>
      </c>
      <c r="AO38">
        <f t="shared" si="19"/>
        <v>0.1297952047110075</v>
      </c>
      <c r="AP38">
        <f t="shared" si="20"/>
        <v>4.0025678774098603</v>
      </c>
      <c r="AQ38">
        <f t="shared" si="11"/>
        <v>4.0025678774098603</v>
      </c>
      <c r="AR38">
        <f t="shared" si="12"/>
        <v>0.13025055597507398</v>
      </c>
      <c r="AS38">
        <f t="shared" si="15"/>
        <v>4.3674326723349282</v>
      </c>
      <c r="AT38">
        <f t="shared" si="14"/>
        <v>4.3674326723349282</v>
      </c>
    </row>
    <row r="39" spans="1:46" x14ac:dyDescent="0.25">
      <c r="B39" s="158">
        <v>260.005</v>
      </c>
      <c r="C39" s="56">
        <v>2.532</v>
      </c>
      <c r="D39" s="56">
        <v>999.42</v>
      </c>
      <c r="E39" s="95">
        <v>0.12570000000000001</v>
      </c>
      <c r="F39" s="157"/>
      <c r="I39" s="8">
        <f t="shared" si="4"/>
        <v>4.9810719266786211E-3</v>
      </c>
      <c r="J39" s="8">
        <v>1749.3548931883499</v>
      </c>
      <c r="K39">
        <v>-369.06930000711998</v>
      </c>
      <c r="L39">
        <v>5423856.3488769103</v>
      </c>
      <c r="M39">
        <v>-2.2128385216835</v>
      </c>
      <c r="N39">
        <v>-269503.24793356902</v>
      </c>
      <c r="O39">
        <v>73145.021531826002</v>
      </c>
      <c r="P39">
        <v>5.34368649509278</v>
      </c>
      <c r="Q39">
        <f t="shared" si="16"/>
        <v>1.3067073346101975E-2</v>
      </c>
      <c r="R39">
        <f t="shared" si="5"/>
        <v>7.415324519602722E-4</v>
      </c>
      <c r="S39">
        <f t="shared" si="17"/>
        <v>0.12932438353417317</v>
      </c>
      <c r="T39">
        <f t="shared" si="6"/>
        <v>1.2531091688494151E-6</v>
      </c>
      <c r="U39">
        <f t="shared" si="18"/>
        <v>0.11095881136048623</v>
      </c>
      <c r="W39" s="8">
        <v>260.005</v>
      </c>
      <c r="X39" s="8">
        <v>999.42</v>
      </c>
      <c r="Y39" s="15">
        <v>0.12570000000000001</v>
      </c>
      <c r="Z39">
        <f t="shared" si="7"/>
        <v>0.1252782670721197</v>
      </c>
      <c r="AA39">
        <f t="shared" si="8"/>
        <v>-0.33550750030255239</v>
      </c>
      <c r="AB39">
        <f t="shared" si="9"/>
        <v>0.33550750030255239</v>
      </c>
      <c r="AO39">
        <f t="shared" si="19"/>
        <v>0.12997164393108249</v>
      </c>
      <c r="AP39">
        <f t="shared" si="20"/>
        <v>3.3982847502645028</v>
      </c>
      <c r="AQ39">
        <f t="shared" si="11"/>
        <v>3.3982847502645028</v>
      </c>
      <c r="AR39">
        <f t="shared" si="12"/>
        <v>0.13042053366945863</v>
      </c>
      <c r="AS39">
        <f t="shared" si="15"/>
        <v>3.7553967139686764</v>
      </c>
      <c r="AT39">
        <f t="shared" si="14"/>
        <v>3.7553967139686764</v>
      </c>
    </row>
    <row r="40" spans="1:46" x14ac:dyDescent="0.25">
      <c r="B40" s="158">
        <v>260.005</v>
      </c>
      <c r="C40" s="56">
        <v>3.4129999999999998</v>
      </c>
      <c r="D40" s="56">
        <v>1004.29</v>
      </c>
      <c r="E40" s="95">
        <v>0.1278</v>
      </c>
      <c r="F40" s="157"/>
      <c r="I40" s="8">
        <f t="shared" si="4"/>
        <v>4.9810719266786211E-3</v>
      </c>
      <c r="J40" s="8">
        <v>1749.3548931883499</v>
      </c>
      <c r="K40">
        <v>-369.06930000711998</v>
      </c>
      <c r="L40">
        <v>5423856.3488769103</v>
      </c>
      <c r="M40">
        <v>-2.2128385216835</v>
      </c>
      <c r="N40">
        <v>-269503.24793356902</v>
      </c>
      <c r="O40">
        <v>73145.021531826002</v>
      </c>
      <c r="P40">
        <v>5.34368649509278</v>
      </c>
      <c r="Q40">
        <f t="shared" si="16"/>
        <v>1.3067073346101975E-2</v>
      </c>
      <c r="R40">
        <f t="shared" si="5"/>
        <v>7.415324519602722E-4</v>
      </c>
      <c r="S40">
        <f t="shared" si="17"/>
        <v>0.12932438353417317</v>
      </c>
      <c r="T40">
        <f t="shared" si="6"/>
        <v>1.2531091688494151E-6</v>
      </c>
      <c r="U40">
        <f t="shared" si="18"/>
        <v>0.11286460250899398</v>
      </c>
      <c r="W40" s="8">
        <v>260.005</v>
      </c>
      <c r="X40" s="8">
        <v>1004.29</v>
      </c>
      <c r="Y40" s="15">
        <v>0.1278</v>
      </c>
      <c r="Z40">
        <f t="shared" si="7"/>
        <v>0.12719016086227974</v>
      </c>
      <c r="AA40">
        <f t="shared" si="8"/>
        <v>-0.47718242388126197</v>
      </c>
      <c r="AB40">
        <f t="shared" si="9"/>
        <v>0.47718242388126197</v>
      </c>
      <c r="AO40">
        <f t="shared" si="19"/>
        <v>0.13190182044287652</v>
      </c>
      <c r="AP40">
        <f t="shared" si="20"/>
        <v>3.2095621618752106</v>
      </c>
      <c r="AQ40">
        <f t="shared" si="11"/>
        <v>3.2095621618752106</v>
      </c>
      <c r="AR40">
        <f t="shared" si="12"/>
        <v>0.13227881906016381</v>
      </c>
      <c r="AS40">
        <f t="shared" si="15"/>
        <v>3.5045532552142515</v>
      </c>
      <c r="AT40">
        <f t="shared" si="14"/>
        <v>3.5045532552142515</v>
      </c>
    </row>
    <row r="41" spans="1:46" x14ac:dyDescent="0.25">
      <c r="B41" s="158">
        <v>260.005</v>
      </c>
      <c r="C41" s="56">
        <v>5.0339999999999998</v>
      </c>
      <c r="D41" s="56">
        <v>1012.72</v>
      </c>
      <c r="E41" s="95">
        <v>0.13089999999999999</v>
      </c>
      <c r="F41" s="157"/>
      <c r="I41" s="8">
        <f t="shared" si="4"/>
        <v>4.9810719266786211E-3</v>
      </c>
      <c r="J41" s="8">
        <v>1749.3548931883499</v>
      </c>
      <c r="K41">
        <v>-369.06930000711998</v>
      </c>
      <c r="L41">
        <v>5423856.3488769103</v>
      </c>
      <c r="M41">
        <v>-2.2128385216835</v>
      </c>
      <c r="N41">
        <v>-269503.24793356902</v>
      </c>
      <c r="O41">
        <v>73145.021531826002</v>
      </c>
      <c r="P41">
        <v>5.34368649509278</v>
      </c>
      <c r="Q41">
        <f t="shared" si="16"/>
        <v>1.3067073346101975E-2</v>
      </c>
      <c r="R41">
        <f t="shared" si="5"/>
        <v>7.415324519602722E-4</v>
      </c>
      <c r="S41">
        <f t="shared" si="17"/>
        <v>0.12932438353417317</v>
      </c>
      <c r="T41">
        <f t="shared" si="6"/>
        <v>1.2531091688494151E-6</v>
      </c>
      <c r="U41">
        <f t="shared" si="18"/>
        <v>0.11625580157077293</v>
      </c>
      <c r="W41" s="8">
        <v>260.005</v>
      </c>
      <c r="X41" s="8">
        <v>1012.72</v>
      </c>
      <c r="Y41" s="15">
        <v>0.13089999999999999</v>
      </c>
      <c r="Z41">
        <f t="shared" si="7"/>
        <v>0.1305919236343521</v>
      </c>
      <c r="AA41">
        <f t="shared" si="8"/>
        <v>-0.23535245656828979</v>
      </c>
      <c r="AB41">
        <f t="shared" si="9"/>
        <v>0.23535245656828979</v>
      </c>
      <c r="AO41">
        <f t="shared" si="19"/>
        <v>0.13533515643478869</v>
      </c>
      <c r="AP41">
        <f t="shared" si="20"/>
        <v>3.3882020128255927</v>
      </c>
      <c r="AQ41">
        <f t="shared" si="11"/>
        <v>3.3882020128255927</v>
      </c>
      <c r="AR41">
        <f t="shared" si="12"/>
        <v>0.13557883159256906</v>
      </c>
      <c r="AS41">
        <f t="shared" si="15"/>
        <v>3.5743556856906586</v>
      </c>
      <c r="AT41">
        <f t="shared" si="14"/>
        <v>3.5743556856906586</v>
      </c>
    </row>
    <row r="42" spans="1:46" x14ac:dyDescent="0.25">
      <c r="B42" s="158">
        <v>260.005</v>
      </c>
      <c r="C42" s="56">
        <v>6.4409999999999998</v>
      </c>
      <c r="D42" s="56">
        <v>1019.51</v>
      </c>
      <c r="E42" s="95">
        <v>0.13320000000000001</v>
      </c>
      <c r="F42" s="157"/>
      <c r="I42" s="8">
        <f t="shared" si="4"/>
        <v>4.9810719266786211E-3</v>
      </c>
      <c r="J42" s="8">
        <v>1749.3548931883499</v>
      </c>
      <c r="K42">
        <v>-369.06930000711998</v>
      </c>
      <c r="L42">
        <v>5423856.3488769103</v>
      </c>
      <c r="M42">
        <v>-2.2128385216835</v>
      </c>
      <c r="N42">
        <v>-269503.24793356902</v>
      </c>
      <c r="O42">
        <v>73145.021531826002</v>
      </c>
      <c r="P42">
        <v>5.34368649509278</v>
      </c>
      <c r="Q42">
        <f t="shared" si="16"/>
        <v>1.3067073346101975E-2</v>
      </c>
      <c r="R42">
        <f t="shared" si="5"/>
        <v>7.415324519602722E-4</v>
      </c>
      <c r="S42">
        <f t="shared" si="17"/>
        <v>0.12932438353417317</v>
      </c>
      <c r="T42">
        <f t="shared" si="6"/>
        <v>1.2531091688494151E-6</v>
      </c>
      <c r="U42">
        <f t="shared" si="18"/>
        <v>0.11907526703188062</v>
      </c>
      <c r="W42" s="8">
        <v>260.005</v>
      </c>
      <c r="X42" s="8">
        <v>1019.51</v>
      </c>
      <c r="Y42" s="15">
        <v>0.13320000000000001</v>
      </c>
      <c r="Z42">
        <f t="shared" si="7"/>
        <v>0.13341989770671625</v>
      </c>
      <c r="AA42">
        <f t="shared" si="8"/>
        <v>0.16508836840558389</v>
      </c>
      <c r="AB42">
        <f t="shared" si="9"/>
        <v>0.16508836840558389</v>
      </c>
      <c r="AO42">
        <f t="shared" si="19"/>
        <v>0.138189125311378</v>
      </c>
      <c r="AP42">
        <f t="shared" si="20"/>
        <v>3.7455895731065985</v>
      </c>
      <c r="AQ42">
        <f t="shared" si="11"/>
        <v>3.7455895731065985</v>
      </c>
      <c r="AR42">
        <f t="shared" si="12"/>
        <v>0.13831668184151874</v>
      </c>
      <c r="AS42">
        <f t="shared" si="15"/>
        <v>3.8413527338729181</v>
      </c>
      <c r="AT42">
        <f t="shared" si="14"/>
        <v>3.8413527338729181</v>
      </c>
    </row>
    <row r="43" spans="1:46" x14ac:dyDescent="0.25">
      <c r="B43" s="158">
        <v>260.005</v>
      </c>
      <c r="C43" s="56">
        <v>8.1189999999999998</v>
      </c>
      <c r="D43" s="56">
        <v>1027.0899999999999</v>
      </c>
      <c r="E43" s="95">
        <v>0.13639999999999999</v>
      </c>
      <c r="F43" s="157"/>
      <c r="I43" s="8">
        <f t="shared" si="4"/>
        <v>4.9810719266786211E-3</v>
      </c>
      <c r="J43" s="8">
        <v>1749.3548931883499</v>
      </c>
      <c r="K43">
        <v>-369.06930000711998</v>
      </c>
      <c r="L43">
        <v>5423856.3488769103</v>
      </c>
      <c r="M43">
        <v>-2.2128385216835</v>
      </c>
      <c r="N43">
        <v>-269503.24793356902</v>
      </c>
      <c r="O43">
        <v>73145.021531826002</v>
      </c>
      <c r="P43">
        <v>5.34368649509278</v>
      </c>
      <c r="Q43">
        <f t="shared" si="16"/>
        <v>1.3067073346101975E-2</v>
      </c>
      <c r="R43">
        <f t="shared" si="5"/>
        <v>7.415324519602722E-4</v>
      </c>
      <c r="S43">
        <f t="shared" si="17"/>
        <v>0.12932438353417317</v>
      </c>
      <c r="T43">
        <f t="shared" si="6"/>
        <v>1.2531091688494151E-6</v>
      </c>
      <c r="U43">
        <f t="shared" si="18"/>
        <v>0.12231918704187654</v>
      </c>
      <c r="W43" s="8">
        <v>260.005</v>
      </c>
      <c r="X43" s="8">
        <v>1027.0899999999999</v>
      </c>
      <c r="Y43" s="15">
        <v>0.13639999999999999</v>
      </c>
      <c r="Z43">
        <f t="shared" si="7"/>
        <v>0.13667331628421206</v>
      </c>
      <c r="AA43">
        <f t="shared" si="8"/>
        <v>0.20037850748685207</v>
      </c>
      <c r="AB43">
        <f t="shared" si="9"/>
        <v>0.20037850748685207</v>
      </c>
      <c r="AO43">
        <f t="shared" si="19"/>
        <v>0.14147304573124866</v>
      </c>
      <c r="AP43">
        <f t="shared" si="20"/>
        <v>3.719241738452105</v>
      </c>
      <c r="AQ43">
        <f t="shared" si="11"/>
        <v>3.719241738452105</v>
      </c>
      <c r="AR43">
        <f t="shared" si="12"/>
        <v>0.14146106190768959</v>
      </c>
      <c r="AS43">
        <f t="shared" si="15"/>
        <v>3.710455944053956</v>
      </c>
      <c r="AT43">
        <f t="shared" si="14"/>
        <v>3.710455944053956</v>
      </c>
    </row>
    <row r="44" spans="1:46" x14ac:dyDescent="0.25">
      <c r="B44" s="158">
        <v>260.005</v>
      </c>
      <c r="C44" s="56">
        <v>10.86</v>
      </c>
      <c r="D44" s="56">
        <v>1038.47</v>
      </c>
      <c r="E44" s="95">
        <v>0.1414</v>
      </c>
      <c r="F44" s="157"/>
      <c r="I44" s="8">
        <f t="shared" si="4"/>
        <v>4.9810719266786211E-3</v>
      </c>
      <c r="J44" s="8">
        <v>1749.3548931883499</v>
      </c>
      <c r="K44">
        <v>-369.06930000711998</v>
      </c>
      <c r="L44">
        <v>5423856.3488769103</v>
      </c>
      <c r="M44">
        <v>-2.2128385216835</v>
      </c>
      <c r="N44">
        <v>-269503.24793356902</v>
      </c>
      <c r="O44">
        <v>73145.021531826002</v>
      </c>
      <c r="P44">
        <v>5.34368649509278</v>
      </c>
      <c r="Q44">
        <f t="shared" si="16"/>
        <v>1.3067073346101975E-2</v>
      </c>
      <c r="R44">
        <f t="shared" si="5"/>
        <v>7.415324519602722E-4</v>
      </c>
      <c r="S44">
        <f t="shared" si="17"/>
        <v>0.12932438353417317</v>
      </c>
      <c r="T44">
        <f t="shared" si="6"/>
        <v>1.2531091688494151E-6</v>
      </c>
      <c r="U44">
        <f t="shared" si="18"/>
        <v>0.12738887848408181</v>
      </c>
      <c r="W44" s="8">
        <v>260.005</v>
      </c>
      <c r="X44" s="8">
        <v>1038.47</v>
      </c>
      <c r="Y44" s="15">
        <v>0.1414</v>
      </c>
      <c r="Z44">
        <f t="shared" si="7"/>
        <v>0.14175726810875883</v>
      </c>
      <c r="AA44">
        <f t="shared" si="8"/>
        <v>0.25266485767951147</v>
      </c>
      <c r="AB44">
        <f t="shared" si="9"/>
        <v>0.25266485767951147</v>
      </c>
      <c r="AO44">
        <f t="shared" si="19"/>
        <v>0.1466081278826929</v>
      </c>
      <c r="AP44">
        <f t="shared" si="20"/>
        <v>3.6832587572085558</v>
      </c>
      <c r="AQ44">
        <f t="shared" si="11"/>
        <v>3.6832587572085558</v>
      </c>
      <c r="AR44">
        <f t="shared" si="12"/>
        <v>0.14636527248493203</v>
      </c>
      <c r="AS44">
        <f t="shared" si="15"/>
        <v>3.511508122299881</v>
      </c>
      <c r="AT44">
        <f t="shared" si="14"/>
        <v>3.511508122299881</v>
      </c>
    </row>
    <row r="45" spans="1:46" x14ac:dyDescent="0.25">
      <c r="B45" s="160">
        <v>260.005</v>
      </c>
      <c r="C45" s="86">
        <v>14.8</v>
      </c>
      <c r="D45" s="86">
        <v>1053.07</v>
      </c>
      <c r="E45" s="96">
        <v>0.14810000000000001</v>
      </c>
      <c r="F45" s="157"/>
      <c r="I45" s="8">
        <f t="shared" si="4"/>
        <v>4.9810719266786211E-3</v>
      </c>
      <c r="J45" s="8">
        <v>1749.3548931883499</v>
      </c>
      <c r="K45">
        <v>-369.06930000711998</v>
      </c>
      <c r="L45">
        <v>5423856.3488769103</v>
      </c>
      <c r="M45">
        <v>-2.2128385216835</v>
      </c>
      <c r="N45">
        <v>-269503.24793356902</v>
      </c>
      <c r="O45">
        <v>73145.021531826002</v>
      </c>
      <c r="P45">
        <v>5.34368649509278</v>
      </c>
      <c r="Q45">
        <f t="shared" si="16"/>
        <v>1.3067073346101975E-2</v>
      </c>
      <c r="R45">
        <f t="shared" si="5"/>
        <v>7.415324519602722E-4</v>
      </c>
      <c r="S45">
        <f t="shared" si="17"/>
        <v>0.12932438353417317</v>
      </c>
      <c r="T45">
        <f t="shared" si="6"/>
        <v>1.2531091688494151E-6</v>
      </c>
      <c r="U45">
        <f t="shared" si="18"/>
        <v>0.13426438006296082</v>
      </c>
      <c r="W45" s="57">
        <v>260.005</v>
      </c>
      <c r="X45" s="57">
        <v>1053.07</v>
      </c>
      <c r="Y45" s="60">
        <v>0.14810000000000001</v>
      </c>
      <c r="Z45" s="25">
        <f t="shared" si="7"/>
        <v>0.14865106508150305</v>
      </c>
      <c r="AA45" s="25">
        <f t="shared" si="8"/>
        <v>0.37208985921880067</v>
      </c>
      <c r="AB45" s="25">
        <f t="shared" si="9"/>
        <v>0.37208985921880067</v>
      </c>
      <c r="AO45">
        <f t="shared" si="19"/>
        <v>0.15358371412150137</v>
      </c>
      <c r="AP45">
        <f t="shared" si="20"/>
        <v>3.7027104128976132</v>
      </c>
      <c r="AQ45">
        <f t="shared" si="11"/>
        <v>3.7027104128976132</v>
      </c>
      <c r="AR45">
        <f t="shared" si="12"/>
        <v>0.15300259380756656</v>
      </c>
      <c r="AS45">
        <f t="shared" si="15"/>
        <v>3.3103266762772123</v>
      </c>
      <c r="AT45">
        <f t="shared" si="14"/>
        <v>3.3103266762772123</v>
      </c>
    </row>
    <row r="46" spans="1:46" x14ac:dyDescent="0.25">
      <c r="A46" t="s">
        <v>220</v>
      </c>
      <c r="B46" s="158">
        <v>280.01499999999999</v>
      </c>
      <c r="C46" s="56">
        <v>4.0940000000000003</v>
      </c>
      <c r="D46" s="56">
        <v>882.55</v>
      </c>
      <c r="E46" s="97">
        <v>8.8800000000000004E-2</v>
      </c>
      <c r="F46" s="161"/>
      <c r="I46" s="8">
        <f t="shared" si="4"/>
        <v>4.9810719266786211E-3</v>
      </c>
      <c r="J46" s="8">
        <v>1749.3548931883499</v>
      </c>
      <c r="K46">
        <v>-369.06930000711998</v>
      </c>
      <c r="L46">
        <v>5423856.3488769103</v>
      </c>
      <c r="M46">
        <v>-2.2128385216835</v>
      </c>
      <c r="N46">
        <v>-269503.24793356902</v>
      </c>
      <c r="O46">
        <v>73145.021531826002</v>
      </c>
      <c r="P46">
        <v>5.34368649509278</v>
      </c>
      <c r="Q46">
        <f t="shared" si="16"/>
        <v>1.4035001611637338E-2</v>
      </c>
      <c r="R46">
        <f t="shared" si="5"/>
        <v>7.415324519602722E-4</v>
      </c>
      <c r="S46">
        <f t="shared" si="17"/>
        <v>0.32610023790539772</v>
      </c>
      <c r="T46">
        <f t="shared" si="6"/>
        <v>3.3938586025147307E-6</v>
      </c>
      <c r="U46">
        <f t="shared" si="18"/>
        <v>7.1476155030855706E-2</v>
      </c>
      <c r="W46" s="8">
        <v>280.01499999999999</v>
      </c>
      <c r="X46" s="8">
        <v>882.55</v>
      </c>
      <c r="Y46" s="63">
        <v>8.8800000000000004E-2</v>
      </c>
      <c r="Z46">
        <f t="shared" si="7"/>
        <v>8.8506406552142425E-2</v>
      </c>
      <c r="AA46">
        <f t="shared" si="8"/>
        <v>-0.33062325209186838</v>
      </c>
      <c r="AB46">
        <f t="shared" si="9"/>
        <v>0.33062325209186838</v>
      </c>
      <c r="AO46">
        <f t="shared" si="19"/>
        <v>9.177531279693546E-2</v>
      </c>
      <c r="AP46">
        <f t="shared" si="20"/>
        <v>3.350577474026414</v>
      </c>
      <c r="AQ46">
        <f t="shared" si="11"/>
        <v>3.350577474026414</v>
      </c>
      <c r="AR46">
        <f t="shared" si="12"/>
        <v>9.1816153676457221E-2</v>
      </c>
      <c r="AS46">
        <f t="shared" si="15"/>
        <v>3.3965694554698391</v>
      </c>
      <c r="AT46">
        <f t="shared" si="14"/>
        <v>3.3965694554698391</v>
      </c>
    </row>
    <row r="47" spans="1:46" x14ac:dyDescent="0.25">
      <c r="A47" t="s">
        <v>290</v>
      </c>
      <c r="B47" s="158">
        <v>280.01499999999999</v>
      </c>
      <c r="C47" s="56">
        <v>4.1470000000000002</v>
      </c>
      <c r="D47" s="56">
        <v>883.25</v>
      </c>
      <c r="E47" s="97">
        <v>8.8499999999999995E-2</v>
      </c>
      <c r="F47" s="161"/>
      <c r="I47" s="8">
        <f t="shared" si="4"/>
        <v>4.9810719266786211E-3</v>
      </c>
      <c r="J47" s="8">
        <v>1749.3548931883499</v>
      </c>
      <c r="K47">
        <v>-369.06930000711998</v>
      </c>
      <c r="L47">
        <v>5423856.3488769103</v>
      </c>
      <c r="M47">
        <v>-2.2128385216835</v>
      </c>
      <c r="N47">
        <v>-269503.24793356902</v>
      </c>
      <c r="O47">
        <v>73145.021531826002</v>
      </c>
      <c r="P47">
        <v>5.34368649509278</v>
      </c>
      <c r="Q47">
        <f t="shared" si="16"/>
        <v>1.4035001611637338E-2</v>
      </c>
      <c r="R47">
        <f t="shared" si="5"/>
        <v>7.415324519602722E-4</v>
      </c>
      <c r="S47">
        <f t="shared" si="17"/>
        <v>0.32610023790539772</v>
      </c>
      <c r="T47">
        <f>Q47*S47*R47</f>
        <v>3.3938586025147307E-6</v>
      </c>
      <c r="U47">
        <f t="shared" si="18"/>
        <v>7.16420188038423E-2</v>
      </c>
      <c r="W47" s="8">
        <v>280.01499999999999</v>
      </c>
      <c r="X47" s="8">
        <v>883.25</v>
      </c>
      <c r="Y47" s="63">
        <v>8.8499999999999995E-2</v>
      </c>
      <c r="Z47">
        <f t="shared" si="7"/>
        <v>8.8674646026150772E-2</v>
      </c>
      <c r="AA47">
        <f t="shared" si="8"/>
        <v>0.1973401425432503</v>
      </c>
      <c r="AB47">
        <f t="shared" si="9"/>
        <v>0.1973401425432503</v>
      </c>
      <c r="AO47">
        <f t="shared" si="19"/>
        <v>9.1953246604853586E-2</v>
      </c>
      <c r="AP47">
        <f t="shared" si="20"/>
        <v>3.9019735648063176</v>
      </c>
      <c r="AQ47">
        <f t="shared" si="11"/>
        <v>3.9019735648063176</v>
      </c>
      <c r="AR47">
        <f t="shared" si="12"/>
        <v>9.1986651698444014E-2</v>
      </c>
      <c r="AS47">
        <f t="shared" si="15"/>
        <v>3.9397194332700773</v>
      </c>
      <c r="AT47">
        <f t="shared" si="14"/>
        <v>3.9397194332700773</v>
      </c>
    </row>
    <row r="48" spans="1:46" x14ac:dyDescent="0.25">
      <c r="B48" s="158">
        <v>280.01499999999999</v>
      </c>
      <c r="C48" s="56">
        <v>4.1920000000000002</v>
      </c>
      <c r="D48" s="56">
        <v>883.83</v>
      </c>
      <c r="E48" s="97">
        <v>8.8800000000000004E-2</v>
      </c>
      <c r="F48" s="161"/>
      <c r="I48" s="8">
        <f t="shared" si="4"/>
        <v>4.9810719266786211E-3</v>
      </c>
      <c r="J48" s="8">
        <v>1749.3548931883499</v>
      </c>
      <c r="K48">
        <v>-369.06930000711998</v>
      </c>
      <c r="L48">
        <v>5423856.3488769103</v>
      </c>
      <c r="M48">
        <v>-2.2128385216835</v>
      </c>
      <c r="N48">
        <v>-269503.24793356902</v>
      </c>
      <c r="O48">
        <v>73145.021531826002</v>
      </c>
      <c r="P48">
        <v>5.34368649509278</v>
      </c>
      <c r="Q48">
        <f t="shared" si="16"/>
        <v>1.4035001611637338E-2</v>
      </c>
      <c r="R48">
        <f t="shared" si="5"/>
        <v>7.415324519602722E-4</v>
      </c>
      <c r="S48">
        <f t="shared" si="17"/>
        <v>0.32610023790539772</v>
      </c>
      <c r="T48">
        <f t="shared" si="6"/>
        <v>3.3938586025147307E-6</v>
      </c>
      <c r="U48">
        <f t="shared" si="18"/>
        <v>7.1779758015058828E-2</v>
      </c>
      <c r="W48" s="8">
        <v>280.01499999999999</v>
      </c>
      <c r="X48" s="8">
        <v>883.83</v>
      </c>
      <c r="Y48" s="63">
        <v>8.8800000000000004E-2</v>
      </c>
      <c r="Z48">
        <f t="shared" si="7"/>
        <v>8.8814353675356755E-2</v>
      </c>
      <c r="AA48">
        <f t="shared" si="8"/>
        <v>1.616404882517045E-2</v>
      </c>
      <c r="AB48">
        <f t="shared" si="9"/>
        <v>1.616404882517045E-2</v>
      </c>
      <c r="AO48">
        <f t="shared" si="19"/>
        <v>9.2100986373671936E-2</v>
      </c>
      <c r="AP48">
        <f t="shared" si="20"/>
        <v>3.7173269973783021</v>
      </c>
      <c r="AQ48">
        <f t="shared" si="11"/>
        <v>3.7173269973783021</v>
      </c>
      <c r="AR48">
        <f t="shared" si="12"/>
        <v>9.2128196313631297E-2</v>
      </c>
      <c r="AS48">
        <f t="shared" si="15"/>
        <v>3.7479688216568614</v>
      </c>
      <c r="AT48">
        <f t="shared" si="14"/>
        <v>3.7479688216568614</v>
      </c>
    </row>
    <row r="49" spans="1:46" x14ac:dyDescent="0.25">
      <c r="B49" s="158">
        <v>280.01499999999999</v>
      </c>
      <c r="C49" s="56">
        <v>4.2460000000000004</v>
      </c>
      <c r="D49" s="56">
        <v>884.7</v>
      </c>
      <c r="E49" s="97">
        <v>8.8999999999999996E-2</v>
      </c>
      <c r="F49" s="161"/>
      <c r="I49" s="8">
        <f t="shared" si="4"/>
        <v>4.9810719266786211E-3</v>
      </c>
      <c r="J49" s="8">
        <v>1749.3548931883499</v>
      </c>
      <c r="K49">
        <v>-369.06930000711998</v>
      </c>
      <c r="L49">
        <v>5423856.3488769103</v>
      </c>
      <c r="M49">
        <v>-2.2128385216835</v>
      </c>
      <c r="N49">
        <v>-269503.24793356902</v>
      </c>
      <c r="O49">
        <v>73145.021531826002</v>
      </c>
      <c r="P49">
        <v>5.34368649509278</v>
      </c>
      <c r="Q49">
        <f t="shared" si="16"/>
        <v>1.4035001611637338E-2</v>
      </c>
      <c r="R49">
        <f t="shared" si="5"/>
        <v>7.415324519602722E-4</v>
      </c>
      <c r="S49">
        <f t="shared" si="17"/>
        <v>0.32610023790539772</v>
      </c>
      <c r="T49">
        <f t="shared" si="6"/>
        <v>3.3938586025147307E-6</v>
      </c>
      <c r="U49">
        <f t="shared" si="18"/>
        <v>7.1986894137493512E-2</v>
      </c>
      <c r="W49" s="8">
        <v>280.01499999999999</v>
      </c>
      <c r="X49" s="8">
        <v>884.7</v>
      </c>
      <c r="Y49" s="63">
        <v>8.8999999999999996E-2</v>
      </c>
      <c r="Z49">
        <f t="shared" si="7"/>
        <v>8.9024442454775629E-2</v>
      </c>
      <c r="AA49">
        <f t="shared" si="8"/>
        <v>2.7463432332172289E-2</v>
      </c>
      <c r="AB49">
        <f t="shared" si="9"/>
        <v>2.7463432332172289E-2</v>
      </c>
      <c r="AO49">
        <f t="shared" si="19"/>
        <v>9.2323122764427751E-2</v>
      </c>
      <c r="AP49">
        <f t="shared" si="20"/>
        <v>3.733845802727815</v>
      </c>
      <c r="AQ49">
        <f t="shared" si="11"/>
        <v>3.733845802727815</v>
      </c>
      <c r="AR49">
        <f t="shared" si="12"/>
        <v>9.2340981753103277E-2</v>
      </c>
      <c r="AS49">
        <f t="shared" si="15"/>
        <v>3.7539120821385179</v>
      </c>
      <c r="AT49">
        <f t="shared" si="14"/>
        <v>3.7539120821385179</v>
      </c>
    </row>
    <row r="50" spans="1:46" x14ac:dyDescent="0.25">
      <c r="B50" s="158">
        <v>280.01499999999999</v>
      </c>
      <c r="C50" s="56">
        <v>5.0229999999999997</v>
      </c>
      <c r="D50" s="56">
        <v>894.1</v>
      </c>
      <c r="E50" s="97">
        <v>9.1399999999999995E-2</v>
      </c>
      <c r="F50" s="161"/>
      <c r="I50" s="8">
        <f t="shared" si="4"/>
        <v>4.9810719266786211E-3</v>
      </c>
      <c r="J50" s="8">
        <v>1749.3548931883499</v>
      </c>
      <c r="K50">
        <v>-369.06930000711998</v>
      </c>
      <c r="L50">
        <v>5423856.3488769103</v>
      </c>
      <c r="M50">
        <v>-2.2128385216835</v>
      </c>
      <c r="N50">
        <v>-269503.24793356902</v>
      </c>
      <c r="O50">
        <v>73145.021531826002</v>
      </c>
      <c r="P50">
        <v>5.34368649509278</v>
      </c>
      <c r="Q50">
        <f t="shared" si="16"/>
        <v>1.4035001611637338E-2</v>
      </c>
      <c r="R50">
        <f t="shared" si="5"/>
        <v>7.415324519602722E-4</v>
      </c>
      <c r="S50">
        <f t="shared" si="17"/>
        <v>0.32610023790539772</v>
      </c>
      <c r="T50">
        <f t="shared" si="6"/>
        <v>3.3938586025147307E-6</v>
      </c>
      <c r="U50">
        <f t="shared" si="18"/>
        <v>7.4265999150476672E-2</v>
      </c>
      <c r="W50" s="8">
        <v>280.01499999999999</v>
      </c>
      <c r="X50" s="8">
        <v>894.1</v>
      </c>
      <c r="Y50" s="63">
        <v>9.1399999999999995E-2</v>
      </c>
      <c r="Z50">
        <f t="shared" si="7"/>
        <v>9.1335449738622426E-2</v>
      </c>
      <c r="AA50">
        <f t="shared" si="8"/>
        <v>-7.0623918356202325E-2</v>
      </c>
      <c r="AB50">
        <f t="shared" si="9"/>
        <v>7.0623918356202325E-2</v>
      </c>
      <c r="AO50">
        <f t="shared" si="19"/>
        <v>9.4764254548640806E-2</v>
      </c>
      <c r="AP50">
        <f t="shared" si="20"/>
        <v>3.6808036637207993</v>
      </c>
      <c r="AQ50">
        <f t="shared" si="11"/>
        <v>3.6808036637207993</v>
      </c>
      <c r="AR50">
        <f t="shared" si="12"/>
        <v>9.4676497313724753E-2</v>
      </c>
      <c r="AS50">
        <f t="shared" si="15"/>
        <v>3.5847891835062997</v>
      </c>
      <c r="AT50">
        <f t="shared" si="14"/>
        <v>3.5847891835062997</v>
      </c>
    </row>
    <row r="51" spans="1:46" x14ac:dyDescent="0.25">
      <c r="B51" s="158">
        <v>280.01499999999999</v>
      </c>
      <c r="C51" s="56">
        <v>5.766</v>
      </c>
      <c r="D51" s="56">
        <v>902.2</v>
      </c>
      <c r="E51" s="97">
        <v>9.35E-2</v>
      </c>
      <c r="F51" s="161"/>
      <c r="I51" s="8">
        <f t="shared" si="4"/>
        <v>4.9810719266786211E-3</v>
      </c>
      <c r="J51" s="8">
        <v>1749.3548931883499</v>
      </c>
      <c r="K51">
        <v>-369.06930000711998</v>
      </c>
      <c r="L51">
        <v>5423856.3488769103</v>
      </c>
      <c r="M51">
        <v>-2.2128385216835</v>
      </c>
      <c r="N51">
        <v>-269503.24793356902</v>
      </c>
      <c r="O51">
        <v>73145.021531826002</v>
      </c>
      <c r="P51">
        <v>5.34368649509278</v>
      </c>
      <c r="Q51">
        <f t="shared" si="16"/>
        <v>1.4035001611637338E-2</v>
      </c>
      <c r="R51">
        <f t="shared" si="5"/>
        <v>7.415324519602722E-4</v>
      </c>
      <c r="S51">
        <f t="shared" si="17"/>
        <v>0.32610023790539772</v>
      </c>
      <c r="T51">
        <f t="shared" si="6"/>
        <v>3.3938586025147307E-6</v>
      </c>
      <c r="U51">
        <f t="shared" si="18"/>
        <v>7.6292093751179971E-2</v>
      </c>
      <c r="W51" s="8">
        <v>280.01499999999999</v>
      </c>
      <c r="X51" s="8">
        <v>902.2</v>
      </c>
      <c r="Y51" s="63">
        <v>9.35E-2</v>
      </c>
      <c r="Z51">
        <f t="shared" si="7"/>
        <v>9.3389034594006104E-2</v>
      </c>
      <c r="AA51">
        <f t="shared" si="8"/>
        <v>-0.11867957860309714</v>
      </c>
      <c r="AB51">
        <f t="shared" si="9"/>
        <v>0.11867957860309714</v>
      </c>
      <c r="AO51">
        <f t="shared" si="19"/>
        <v>9.6929907735036583E-2</v>
      </c>
      <c r="AP51">
        <f t="shared" si="20"/>
        <v>3.6683505187557039</v>
      </c>
      <c r="AQ51">
        <f t="shared" si="11"/>
        <v>3.6683505187557039</v>
      </c>
      <c r="AR51">
        <f t="shared" si="12"/>
        <v>9.6744080776380165E-2</v>
      </c>
      <c r="AS51">
        <f t="shared" si="15"/>
        <v>3.469605108427984</v>
      </c>
      <c r="AT51">
        <f t="shared" si="14"/>
        <v>3.469605108427984</v>
      </c>
    </row>
    <row r="52" spans="1:46" x14ac:dyDescent="0.25">
      <c r="B52" s="158">
        <v>280.01499999999999</v>
      </c>
      <c r="C52" s="56">
        <v>7.4779999999999998</v>
      </c>
      <c r="D52" s="56">
        <v>918.36</v>
      </c>
      <c r="E52" s="97">
        <v>9.7900000000000001E-2</v>
      </c>
      <c r="F52" s="161"/>
      <c r="I52" s="8">
        <f t="shared" si="4"/>
        <v>4.9810719266786211E-3</v>
      </c>
      <c r="J52" s="8">
        <v>1749.3548931883499</v>
      </c>
      <c r="K52">
        <v>-369.06930000711998</v>
      </c>
      <c r="L52">
        <v>5423856.3488769103</v>
      </c>
      <c r="M52">
        <v>-2.2128385216835</v>
      </c>
      <c r="N52">
        <v>-269503.24793356902</v>
      </c>
      <c r="O52">
        <v>73145.021531826002</v>
      </c>
      <c r="P52">
        <v>5.34368649509278</v>
      </c>
      <c r="Q52">
        <f t="shared" si="16"/>
        <v>1.4035001611637338E-2</v>
      </c>
      <c r="R52">
        <f t="shared" si="5"/>
        <v>7.415324519602722E-4</v>
      </c>
      <c r="S52">
        <f t="shared" si="17"/>
        <v>0.32610023790539772</v>
      </c>
      <c r="T52">
        <f t="shared" si="6"/>
        <v>3.3938586025147307E-6</v>
      </c>
      <c r="U52">
        <f t="shared" si="18"/>
        <v>8.0516157165097205E-2</v>
      </c>
      <c r="W52" s="8">
        <v>280.01499999999999</v>
      </c>
      <c r="X52" s="8">
        <v>918.36</v>
      </c>
      <c r="Y52" s="63">
        <v>9.7900000000000001E-2</v>
      </c>
      <c r="Z52">
        <f t="shared" si="7"/>
        <v>9.7667942762939969E-2</v>
      </c>
      <c r="AA52">
        <f t="shared" si="8"/>
        <v>-0.23703497146070696</v>
      </c>
      <c r="AB52">
        <f t="shared" si="9"/>
        <v>0.23703497146070696</v>
      </c>
      <c r="AO52">
        <f t="shared" si="19"/>
        <v>0.10143237349905694</v>
      </c>
      <c r="AP52">
        <f t="shared" si="20"/>
        <v>3.6081445342767515</v>
      </c>
      <c r="AQ52">
        <f t="shared" si="11"/>
        <v>3.6081445342767515</v>
      </c>
      <c r="AR52">
        <f t="shared" si="12"/>
        <v>0.10102955390269253</v>
      </c>
      <c r="AS52">
        <f t="shared" si="15"/>
        <v>3.1966842724132025</v>
      </c>
      <c r="AT52">
        <f t="shared" si="14"/>
        <v>3.1966842724132025</v>
      </c>
    </row>
    <row r="53" spans="1:46" x14ac:dyDescent="0.25">
      <c r="B53" s="160">
        <v>280.01499999999999</v>
      </c>
      <c r="C53" s="86">
        <v>11.05</v>
      </c>
      <c r="D53" s="86">
        <v>945.46</v>
      </c>
      <c r="E53" s="98">
        <v>0.1051</v>
      </c>
      <c r="F53" s="161"/>
      <c r="I53" s="8">
        <f t="shared" si="4"/>
        <v>4.9810719266786211E-3</v>
      </c>
      <c r="J53" s="8">
        <v>1749.3548931883499</v>
      </c>
      <c r="K53">
        <v>-369.06930000711998</v>
      </c>
      <c r="L53">
        <v>5423856.3488769103</v>
      </c>
      <c r="M53">
        <v>-2.2128385216835</v>
      </c>
      <c r="N53">
        <v>-269503.24793356902</v>
      </c>
      <c r="O53">
        <v>73145.021531826002</v>
      </c>
      <c r="P53">
        <v>5.34368649509278</v>
      </c>
      <c r="Q53">
        <f t="shared" si="16"/>
        <v>1.4035001611637338E-2</v>
      </c>
      <c r="R53">
        <f t="shared" si="5"/>
        <v>7.415324519602722E-4</v>
      </c>
      <c r="S53">
        <f t="shared" si="17"/>
        <v>0.32610023790539772</v>
      </c>
      <c r="T53">
        <f t="shared" si="6"/>
        <v>3.3938586025147307E-6</v>
      </c>
      <c r="U53">
        <f t="shared" si="18"/>
        <v>8.8192730039840309E-2</v>
      </c>
      <c r="W53" s="57">
        <v>280.01499999999999</v>
      </c>
      <c r="X53" s="57">
        <v>945.46</v>
      </c>
      <c r="Y53" s="64">
        <v>0.1051</v>
      </c>
      <c r="Z53" s="25">
        <f t="shared" si="7"/>
        <v>0.10543648920581122</v>
      </c>
      <c r="AA53" s="25">
        <f t="shared" si="8"/>
        <v>0.32016099506301099</v>
      </c>
      <c r="AB53" s="25">
        <f t="shared" si="9"/>
        <v>0.32016099506301099</v>
      </c>
      <c r="AO53">
        <f t="shared" si="19"/>
        <v>0.10957757641496663</v>
      </c>
      <c r="AP53">
        <f t="shared" si="20"/>
        <v>4.2603010608626333</v>
      </c>
      <c r="AQ53">
        <f t="shared" si="11"/>
        <v>4.2603010608626333</v>
      </c>
      <c r="AR53">
        <f t="shared" si="12"/>
        <v>0.10873755054511462</v>
      </c>
      <c r="AS53">
        <f t="shared" si="15"/>
        <v>3.4610376261794706</v>
      </c>
      <c r="AT53">
        <f t="shared" si="14"/>
        <v>3.4610376261794706</v>
      </c>
    </row>
    <row r="54" spans="1:46" x14ac:dyDescent="0.25">
      <c r="A54" t="s">
        <v>219</v>
      </c>
      <c r="B54" s="158">
        <v>300.01499999999999</v>
      </c>
      <c r="C54" s="56">
        <v>6.7919999999999998</v>
      </c>
      <c r="D54" s="56">
        <v>687.9</v>
      </c>
      <c r="E54" s="95">
        <v>5.4199999999999998E-2</v>
      </c>
      <c r="F54" s="157"/>
      <c r="I54" s="8">
        <f t="shared" si="4"/>
        <v>4.9810719266786211E-3</v>
      </c>
      <c r="J54" s="8">
        <v>1749.3548931883499</v>
      </c>
      <c r="K54">
        <v>-369.06930000711998</v>
      </c>
      <c r="L54">
        <v>5423856.3488769103</v>
      </c>
      <c r="M54">
        <v>-2.2128385216835</v>
      </c>
      <c r="N54">
        <v>-269503.24793356902</v>
      </c>
      <c r="O54">
        <v>73145.021531826002</v>
      </c>
      <c r="P54">
        <v>5.34368649509278</v>
      </c>
      <c r="Q54">
        <f t="shared" si="16"/>
        <v>1.4994502608314505E-2</v>
      </c>
      <c r="R54">
        <f t="shared" si="5"/>
        <v>7.415324519602722E-4</v>
      </c>
      <c r="S54">
        <f t="shared" si="17"/>
        <v>0.46243033489475199</v>
      </c>
      <c r="T54">
        <f t="shared" si="6"/>
        <v>5.1417214067887674E-6</v>
      </c>
      <c r="U54">
        <f t="shared" si="18"/>
        <v>3.5787312595832094E-2</v>
      </c>
      <c r="W54" s="8">
        <v>300.01499999999999</v>
      </c>
      <c r="X54" s="8">
        <v>687.9</v>
      </c>
      <c r="Y54" s="15">
        <v>5.4199999999999998E-2</v>
      </c>
      <c r="Z54">
        <f t="shared" si="7"/>
        <v>5.4318805359876592E-2</v>
      </c>
      <c r="AA54">
        <f t="shared" si="8"/>
        <v>0.21919808095312437</v>
      </c>
      <c r="AB54">
        <f t="shared" si="9"/>
        <v>0.21919808095312437</v>
      </c>
      <c r="AO54">
        <f t="shared" si="19"/>
        <v>5.401069324628726E-2</v>
      </c>
      <c r="AP54">
        <f t="shared" si="20"/>
        <v>-0.34927445334453555</v>
      </c>
      <c r="AQ54">
        <f t="shared" si="11"/>
        <v>0.34927445334453555</v>
      </c>
      <c r="AR54">
        <f t="shared" si="12"/>
        <v>5.4128466035863299E-2</v>
      </c>
      <c r="AS54">
        <f t="shared" si="15"/>
        <v>-0.13198148364704734</v>
      </c>
      <c r="AT54">
        <f t="shared" si="14"/>
        <v>0.13198148364704734</v>
      </c>
    </row>
    <row r="55" spans="1:46" x14ac:dyDescent="0.25">
      <c r="A55" t="s">
        <v>278</v>
      </c>
      <c r="B55" s="158">
        <v>300.01499999999999</v>
      </c>
      <c r="C55" s="56">
        <v>7.0279999999999996</v>
      </c>
      <c r="D55" s="56">
        <v>707.76</v>
      </c>
      <c r="E55" s="95">
        <v>5.6500000000000002E-2</v>
      </c>
      <c r="F55" s="157"/>
      <c r="I55" s="8">
        <f t="shared" si="4"/>
        <v>4.9810719266786211E-3</v>
      </c>
      <c r="J55" s="8">
        <v>1749.3548931883499</v>
      </c>
      <c r="K55">
        <v>-369.06930000711998</v>
      </c>
      <c r="L55">
        <v>5423856.3488769103</v>
      </c>
      <c r="M55">
        <v>-2.2128385216835</v>
      </c>
      <c r="N55">
        <v>-269503.24793356902</v>
      </c>
      <c r="O55">
        <v>73145.021531826002</v>
      </c>
      <c r="P55">
        <v>5.34368649509278</v>
      </c>
      <c r="Q55">
        <f t="shared" si="16"/>
        <v>1.4994502608314505E-2</v>
      </c>
      <c r="R55">
        <f t="shared" si="5"/>
        <v>7.415324519602722E-4</v>
      </c>
      <c r="S55">
        <f t="shared" si="17"/>
        <v>0.46243033489475199</v>
      </c>
      <c r="T55">
        <f t="shared" si="6"/>
        <v>5.1417214067887674E-6</v>
      </c>
      <c r="U55">
        <f t="shared" si="18"/>
        <v>3.8363908784291641E-2</v>
      </c>
      <c r="W55" s="8">
        <v>300.01499999999999</v>
      </c>
      <c r="X55" s="8">
        <v>707.76</v>
      </c>
      <c r="Y55" s="15">
        <v>5.6500000000000002E-2</v>
      </c>
      <c r="Z55">
        <f t="shared" si="7"/>
        <v>5.6997516135474963E-2</v>
      </c>
      <c r="AA55">
        <f t="shared" si="8"/>
        <v>0.8805595318140903</v>
      </c>
      <c r="AB55">
        <f t="shared" si="9"/>
        <v>0.8805595318140903</v>
      </c>
      <c r="AO55">
        <f t="shared" si="19"/>
        <v>5.6972346030147641E-2</v>
      </c>
      <c r="AP55">
        <f t="shared" si="20"/>
        <v>0.83601067282768105</v>
      </c>
      <c r="AQ55">
        <f t="shared" si="11"/>
        <v>0.83601067282768105</v>
      </c>
      <c r="AR55">
        <f t="shared" si="12"/>
        <v>5.6992565610479391E-2</v>
      </c>
      <c r="AS55">
        <f t="shared" si="15"/>
        <v>0.87179754067148607</v>
      </c>
      <c r="AT55">
        <f t="shared" si="14"/>
        <v>0.87179754067148607</v>
      </c>
    </row>
    <row r="56" spans="1:46" x14ac:dyDescent="0.25">
      <c r="B56" s="158">
        <v>300.01499999999999</v>
      </c>
      <c r="C56" s="56">
        <v>7.3810000000000002</v>
      </c>
      <c r="D56" s="56">
        <v>728.22</v>
      </c>
      <c r="E56" s="95">
        <v>5.9499999999999997E-2</v>
      </c>
      <c r="F56" s="157"/>
      <c r="I56" s="8">
        <f t="shared" si="4"/>
        <v>4.9810719266786211E-3</v>
      </c>
      <c r="J56" s="8">
        <v>1749.3548931883499</v>
      </c>
      <c r="K56">
        <v>-369.06930000711998</v>
      </c>
      <c r="L56">
        <v>5423856.3488769103</v>
      </c>
      <c r="M56">
        <v>-2.2128385216835</v>
      </c>
      <c r="N56">
        <v>-269503.24793356902</v>
      </c>
      <c r="O56">
        <v>73145.021531826002</v>
      </c>
      <c r="P56">
        <v>5.34368649509278</v>
      </c>
      <c r="Q56">
        <f t="shared" si="16"/>
        <v>1.4994502608314505E-2</v>
      </c>
      <c r="R56">
        <f t="shared" si="5"/>
        <v>7.415324519602722E-4</v>
      </c>
      <c r="S56">
        <f t="shared" si="17"/>
        <v>0.46243033489475199</v>
      </c>
      <c r="T56">
        <f t="shared" si="6"/>
        <v>5.1417214067887674E-6</v>
      </c>
      <c r="U56">
        <f t="shared" si="18"/>
        <v>4.1170741839892923E-2</v>
      </c>
      <c r="W56" s="8">
        <v>300.01499999999999</v>
      </c>
      <c r="X56" s="8">
        <v>728.22</v>
      </c>
      <c r="Y56" s="15">
        <v>5.9499999999999997E-2</v>
      </c>
      <c r="Z56">
        <f t="shared" si="7"/>
        <v>5.9909548811059143E-2</v>
      </c>
      <c r="AA56">
        <f t="shared" si="8"/>
        <v>0.68831732951116997</v>
      </c>
      <c r="AB56">
        <f t="shared" si="9"/>
        <v>0.68831732951116997</v>
      </c>
      <c r="AO56">
        <f t="shared" si="19"/>
        <v>6.0183967063458035E-2</v>
      </c>
      <c r="AP56">
        <f t="shared" si="20"/>
        <v>1.1495244764000641</v>
      </c>
      <c r="AQ56">
        <f t="shared" si="11"/>
        <v>1.1495244764000641</v>
      </c>
      <c r="AR56">
        <f t="shared" si="12"/>
        <v>6.0086629887708347E-2</v>
      </c>
      <c r="AS56">
        <f t="shared" si="15"/>
        <v>0.98593258438378073</v>
      </c>
      <c r="AT56">
        <f t="shared" si="14"/>
        <v>0.98593258438378073</v>
      </c>
    </row>
    <row r="57" spans="1:46" x14ac:dyDescent="0.25">
      <c r="B57" s="158">
        <v>300.01499999999999</v>
      </c>
      <c r="C57" s="56">
        <v>8.0229999999999997</v>
      </c>
      <c r="D57" s="56">
        <v>753.89</v>
      </c>
      <c r="E57" s="95">
        <v>6.3200000000000006E-2</v>
      </c>
      <c r="F57" s="157"/>
      <c r="I57" s="8">
        <f t="shared" si="4"/>
        <v>4.9810719266786211E-3</v>
      </c>
      <c r="J57" s="8">
        <v>1749.3548931883499</v>
      </c>
      <c r="K57">
        <v>-369.06930000711998</v>
      </c>
      <c r="L57">
        <v>5423856.3488769103</v>
      </c>
      <c r="M57">
        <v>-2.2128385216835</v>
      </c>
      <c r="N57">
        <v>-269503.24793356902</v>
      </c>
      <c r="O57">
        <v>73145.021531826002</v>
      </c>
      <c r="P57">
        <v>5.34368649509278</v>
      </c>
      <c r="Q57">
        <f t="shared" si="16"/>
        <v>1.4994502608314505E-2</v>
      </c>
      <c r="R57">
        <f t="shared" si="5"/>
        <v>7.415324519602722E-4</v>
      </c>
      <c r="S57">
        <f t="shared" si="17"/>
        <v>0.46243033489475199</v>
      </c>
      <c r="T57">
        <f t="shared" si="6"/>
        <v>5.1417214067887674E-6</v>
      </c>
      <c r="U57">
        <f t="shared" si="18"/>
        <v>4.4930217141762388E-2</v>
      </c>
      <c r="W57" s="8">
        <v>300.01499999999999</v>
      </c>
      <c r="X57" s="8">
        <v>753.89</v>
      </c>
      <c r="Y57" s="15">
        <v>6.3200000000000006E-2</v>
      </c>
      <c r="Z57">
        <f t="shared" si="7"/>
        <v>6.3801012101440874E-2</v>
      </c>
      <c r="AA57">
        <f t="shared" si="8"/>
        <v>0.95096851493808154</v>
      </c>
      <c r="AB57">
        <f t="shared" si="9"/>
        <v>0.95096851493808154</v>
      </c>
      <c r="AO57">
        <f t="shared" si="19"/>
        <v>6.4464301912833102E-2</v>
      </c>
      <c r="AP57">
        <f t="shared" si="20"/>
        <v>2.0004777101789495</v>
      </c>
      <c r="AQ57">
        <f t="shared" si="11"/>
        <v>2.0004777101789495</v>
      </c>
      <c r="AR57">
        <f t="shared" si="12"/>
        <v>6.4191373776400398E-2</v>
      </c>
      <c r="AS57">
        <f t="shared" si="15"/>
        <v>1.5686293930385951</v>
      </c>
      <c r="AT57">
        <f t="shared" si="14"/>
        <v>1.5686293930385951</v>
      </c>
    </row>
    <row r="58" spans="1:46" x14ac:dyDescent="0.25">
      <c r="B58" s="158">
        <v>300.01499999999999</v>
      </c>
      <c r="C58" s="56">
        <v>9.0020000000000007</v>
      </c>
      <c r="D58" s="56">
        <v>780.96</v>
      </c>
      <c r="E58" s="95">
        <v>6.9000000000000006E-2</v>
      </c>
      <c r="F58" s="157"/>
      <c r="I58" s="8">
        <f t="shared" si="4"/>
        <v>4.9810719266786211E-3</v>
      </c>
      <c r="J58" s="8">
        <v>1749.3548931883499</v>
      </c>
      <c r="K58">
        <v>-369.06930000711998</v>
      </c>
      <c r="L58">
        <v>5423856.3488769103</v>
      </c>
      <c r="M58">
        <v>-2.2128385216835</v>
      </c>
      <c r="N58">
        <v>-269503.24793356902</v>
      </c>
      <c r="O58">
        <v>73145.021531826002</v>
      </c>
      <c r="P58">
        <v>5.34368649509278</v>
      </c>
      <c r="Q58">
        <f t="shared" si="16"/>
        <v>1.4994502608314505E-2</v>
      </c>
      <c r="R58">
        <f t="shared" si="5"/>
        <v>7.415324519602722E-4</v>
      </c>
      <c r="S58">
        <f t="shared" si="17"/>
        <v>0.46243033489475199</v>
      </c>
      <c r="T58">
        <f t="shared" si="6"/>
        <v>5.1417214067887674E-6</v>
      </c>
      <c r="U58">
        <f t="shared" si="18"/>
        <v>4.9211125573141494E-2</v>
      </c>
      <c r="W58" s="8">
        <v>300.01499999999999</v>
      </c>
      <c r="X58" s="8">
        <v>780.96</v>
      </c>
      <c r="Y58" s="15">
        <v>6.9000000000000006E-2</v>
      </c>
      <c r="Z58">
        <f t="shared" si="7"/>
        <v>6.8221106931301762E-2</v>
      </c>
      <c r="AA58">
        <f t="shared" si="8"/>
        <v>-1.1288305343452814</v>
      </c>
      <c r="AB58">
        <f t="shared" si="9"/>
        <v>1.1288305343452814</v>
      </c>
      <c r="AO58">
        <f t="shared" si="19"/>
        <v>6.9311591955080062E-2</v>
      </c>
      <c r="AP58">
        <f t="shared" si="20"/>
        <v>0.45158254359428496</v>
      </c>
      <c r="AQ58">
        <f t="shared" si="11"/>
        <v>0.45158254359428496</v>
      </c>
      <c r="AR58">
        <f t="shared" si="12"/>
        <v>6.8813913764045706E-2</v>
      </c>
      <c r="AS58">
        <f t="shared" si="15"/>
        <v>-0.26969019703521702</v>
      </c>
      <c r="AT58">
        <f t="shared" si="14"/>
        <v>0.26969019703521702</v>
      </c>
    </row>
    <row r="59" spans="1:46" x14ac:dyDescent="0.25">
      <c r="B59" s="158">
        <v>300.01499999999999</v>
      </c>
      <c r="C59" s="56">
        <v>10.23</v>
      </c>
      <c r="D59" s="56">
        <v>805.64</v>
      </c>
      <c r="E59" s="95">
        <v>7.2999999999999995E-2</v>
      </c>
      <c r="F59" s="157"/>
      <c r="I59" s="8">
        <f t="shared" si="4"/>
        <v>4.9810719266786211E-3</v>
      </c>
      <c r="J59" s="8">
        <v>1749.3548931883499</v>
      </c>
      <c r="K59">
        <v>-369.06930000711998</v>
      </c>
      <c r="L59">
        <v>5423856.3488769103</v>
      </c>
      <c r="M59">
        <v>-2.2128385216835</v>
      </c>
      <c r="N59">
        <v>-269503.24793356902</v>
      </c>
      <c r="O59">
        <v>73145.021531826002</v>
      </c>
      <c r="P59">
        <v>5.34368649509278</v>
      </c>
      <c r="Q59">
        <f t="shared" si="16"/>
        <v>1.4994502608314505E-2</v>
      </c>
      <c r="R59">
        <f t="shared" si="5"/>
        <v>7.415324519602722E-4</v>
      </c>
      <c r="S59">
        <f t="shared" si="17"/>
        <v>0.46243033489475199</v>
      </c>
      <c r="T59">
        <f t="shared" si="6"/>
        <v>5.1417214067887674E-6</v>
      </c>
      <c r="U59">
        <f t="shared" si="18"/>
        <v>5.342958977127308E-2</v>
      </c>
      <c r="W59" s="8">
        <v>300.01499999999999</v>
      </c>
      <c r="X59" s="8">
        <v>805.64</v>
      </c>
      <c r="Y59" s="15">
        <v>7.2999999999999995E-2</v>
      </c>
      <c r="Z59">
        <f t="shared" si="7"/>
        <v>7.2566468813752893E-2</v>
      </c>
      <c r="AA59">
        <f t="shared" si="8"/>
        <v>-0.59387833732479722</v>
      </c>
      <c r="AB59">
        <f t="shared" si="9"/>
        <v>0.59387833732479722</v>
      </c>
      <c r="AO59">
        <f t="shared" si="19"/>
        <v>7.406279606700561E-2</v>
      </c>
      <c r="AP59">
        <f t="shared" si="20"/>
        <v>1.455885023295362</v>
      </c>
      <c r="AQ59">
        <f t="shared" si="11"/>
        <v>1.455885023295362</v>
      </c>
      <c r="AR59">
        <f t="shared" si="12"/>
        <v>7.3318351184981131E-2</v>
      </c>
      <c r="AS59">
        <f t="shared" si="15"/>
        <v>0.43609751367278909</v>
      </c>
      <c r="AT59">
        <f t="shared" si="14"/>
        <v>0.43609751367278909</v>
      </c>
    </row>
    <row r="60" spans="1:46" x14ac:dyDescent="0.25">
      <c r="B60" s="160">
        <v>300.01499999999999</v>
      </c>
      <c r="C60" s="86">
        <v>11.53</v>
      </c>
      <c r="D60" s="86">
        <v>825.97</v>
      </c>
      <c r="E60" s="96">
        <v>7.7700000000000005E-2</v>
      </c>
      <c r="F60" s="157"/>
      <c r="I60" s="8">
        <f t="shared" si="4"/>
        <v>4.9810719266786211E-3</v>
      </c>
      <c r="J60" s="8">
        <v>1749.3548931883499</v>
      </c>
      <c r="K60">
        <v>-369.06930000711998</v>
      </c>
      <c r="L60">
        <v>5423856.3488769103</v>
      </c>
      <c r="M60">
        <v>-2.2128385216835</v>
      </c>
      <c r="N60">
        <v>-269503.24793356902</v>
      </c>
      <c r="O60">
        <v>73145.021531826002</v>
      </c>
      <c r="P60">
        <v>5.34368649509278</v>
      </c>
      <c r="Q60">
        <f t="shared" si="16"/>
        <v>1.4994502608314505E-2</v>
      </c>
      <c r="R60">
        <f t="shared" si="5"/>
        <v>7.415324519602722E-4</v>
      </c>
      <c r="S60">
        <f t="shared" si="17"/>
        <v>0.46243033489475199</v>
      </c>
      <c r="T60">
        <f t="shared" si="6"/>
        <v>5.1417214067887674E-6</v>
      </c>
      <c r="U60">
        <f t="shared" si="18"/>
        <v>5.7155621534740748E-2</v>
      </c>
      <c r="W60" s="57">
        <v>300.01499999999999</v>
      </c>
      <c r="X60" s="57">
        <v>825.97</v>
      </c>
      <c r="Y60" s="60">
        <v>7.7700000000000005E-2</v>
      </c>
      <c r="Z60" s="25">
        <f t="shared" si="7"/>
        <v>7.6397031773420568E-2</v>
      </c>
      <c r="AA60" s="25">
        <f t="shared" si="8"/>
        <v>-1.6769217845295203</v>
      </c>
      <c r="AB60" s="25">
        <f t="shared" si="9"/>
        <v>1.6769217845295203</v>
      </c>
      <c r="AO60">
        <f t="shared" si="19"/>
        <v>7.8239976810533879E-2</v>
      </c>
      <c r="AP60">
        <f t="shared" si="20"/>
        <v>0.69495085010794555</v>
      </c>
      <c r="AQ60">
        <f t="shared" si="11"/>
        <v>0.69495085010794555</v>
      </c>
      <c r="AR60">
        <f t="shared" si="12"/>
        <v>7.7257111040787807E-2</v>
      </c>
      <c r="AS60">
        <f t="shared" si="15"/>
        <v>-0.56999866050475956</v>
      </c>
      <c r="AT60">
        <f t="shared" si="14"/>
        <v>0.56999866050475956</v>
      </c>
    </row>
    <row r="61" spans="1:46" x14ac:dyDescent="0.25">
      <c r="A61" t="s">
        <v>218</v>
      </c>
      <c r="B61" s="158">
        <v>303.05</v>
      </c>
      <c r="C61" s="56">
        <v>7.2320000000000002</v>
      </c>
      <c r="D61" s="56">
        <v>615.01</v>
      </c>
      <c r="E61" s="95">
        <v>4.8300000000000003E-2</v>
      </c>
      <c r="F61" s="157"/>
      <c r="I61" s="8">
        <f t="shared" si="4"/>
        <v>4.9810719266786211E-3</v>
      </c>
      <c r="J61" s="8">
        <v>1749.3548931883499</v>
      </c>
      <c r="K61">
        <v>-369.06930000711998</v>
      </c>
      <c r="L61">
        <v>5423856.3488769103</v>
      </c>
      <c r="M61">
        <v>-2.2128385216835</v>
      </c>
      <c r="N61">
        <v>-269503.24793356902</v>
      </c>
      <c r="O61">
        <v>73145.021531826002</v>
      </c>
      <c r="P61">
        <v>5.34368649509278</v>
      </c>
      <c r="Q61">
        <f t="shared" si="16"/>
        <v>1.5139292685889134E-2</v>
      </c>
      <c r="R61">
        <f t="shared" si="5"/>
        <v>7.415324519602722E-4</v>
      </c>
      <c r="S61">
        <f t="shared" si="17"/>
        <v>0.47908875808965068</v>
      </c>
      <c r="T61">
        <f t="shared" si="6"/>
        <v>5.3783830226882419E-6</v>
      </c>
      <c r="U61">
        <f t="shared" si="18"/>
        <v>2.7268401402631256E-2</v>
      </c>
      <c r="W61" s="8">
        <v>303.05</v>
      </c>
      <c r="X61" s="8">
        <v>615.01</v>
      </c>
      <c r="Y61" s="15">
        <v>4.8300000000000003E-2</v>
      </c>
      <c r="Z61">
        <f t="shared" si="7"/>
        <v>4.5715453431303885E-2</v>
      </c>
      <c r="AA61">
        <f t="shared" si="8"/>
        <v>-5.3510280925385461</v>
      </c>
      <c r="AB61">
        <f t="shared" si="9"/>
        <v>5.3510280925385461</v>
      </c>
      <c r="AO61">
        <f t="shared" si="19"/>
        <v>4.4267479791997119E-2</v>
      </c>
      <c r="AP61">
        <f t="shared" si="20"/>
        <v>-8.3489031221591787</v>
      </c>
      <c r="AQ61">
        <f t="shared" si="11"/>
        <v>8.3489031221591787</v>
      </c>
      <c r="AR61">
        <f t="shared" si="12"/>
        <v>4.4522456463532839E-2</v>
      </c>
      <c r="AS61">
        <f t="shared" si="15"/>
        <v>-7.8210011106980613</v>
      </c>
      <c r="AT61">
        <f t="shared" si="14"/>
        <v>7.8210011106980613</v>
      </c>
    </row>
    <row r="62" spans="1:46" x14ac:dyDescent="0.25">
      <c r="A62" t="s">
        <v>288</v>
      </c>
      <c r="B62" s="158">
        <v>303.05</v>
      </c>
      <c r="C62" s="56">
        <v>7.33</v>
      </c>
      <c r="D62" s="56">
        <v>640.03</v>
      </c>
      <c r="E62" s="95">
        <v>4.9799999999999997E-2</v>
      </c>
      <c r="F62" s="157"/>
      <c r="I62" s="8">
        <f t="shared" si="4"/>
        <v>4.9810719266786211E-3</v>
      </c>
      <c r="J62" s="8">
        <v>1749.3548931883499</v>
      </c>
      <c r="K62">
        <v>-369.06930000711998</v>
      </c>
      <c r="L62">
        <v>5423856.3488769103</v>
      </c>
      <c r="M62">
        <v>-2.2128385216835</v>
      </c>
      <c r="N62">
        <v>-269503.24793356902</v>
      </c>
      <c r="O62">
        <v>73145.021531826002</v>
      </c>
      <c r="P62">
        <v>5.34368649509278</v>
      </c>
      <c r="Q62">
        <f t="shared" si="16"/>
        <v>1.5139292685889134E-2</v>
      </c>
      <c r="R62">
        <f t="shared" si="5"/>
        <v>7.415324519602722E-4</v>
      </c>
      <c r="S62">
        <f t="shared" si="17"/>
        <v>0.47908875808965068</v>
      </c>
      <c r="T62">
        <f t="shared" si="6"/>
        <v>5.3783830226882419E-6</v>
      </c>
      <c r="U62">
        <f t="shared" si="18"/>
        <v>2.994580369727692E-2</v>
      </c>
      <c r="W62" s="8">
        <v>303.05</v>
      </c>
      <c r="X62" s="8">
        <v>640.03</v>
      </c>
      <c r="Y62" s="15">
        <v>4.9799999999999997E-2</v>
      </c>
      <c r="Z62">
        <f t="shared" si="7"/>
        <v>4.852742286917721E-2</v>
      </c>
      <c r="AA62">
        <f t="shared" si="8"/>
        <v>-2.555375764704392</v>
      </c>
      <c r="AB62">
        <f t="shared" si="9"/>
        <v>2.555375764704392</v>
      </c>
      <c r="AO62">
        <f t="shared" si="19"/>
        <v>4.7416935777115893E-2</v>
      </c>
      <c r="AP62">
        <f t="shared" si="20"/>
        <v>-4.7852695238636631</v>
      </c>
      <c r="AQ62">
        <f t="shared" si="11"/>
        <v>4.7852695238636631</v>
      </c>
      <c r="AR62">
        <f t="shared" si="12"/>
        <v>4.7593740834473069E-2</v>
      </c>
      <c r="AS62">
        <f t="shared" si="15"/>
        <v>-4.4302392882066819</v>
      </c>
      <c r="AT62">
        <f t="shared" si="14"/>
        <v>4.4302392882066819</v>
      </c>
    </row>
    <row r="63" spans="1:46" x14ac:dyDescent="0.25">
      <c r="B63" s="158">
        <v>303.05</v>
      </c>
      <c r="C63" s="56">
        <v>7.4660000000000002</v>
      </c>
      <c r="D63" s="56">
        <v>660.55</v>
      </c>
      <c r="E63" s="95">
        <v>5.1200000000000002E-2</v>
      </c>
      <c r="F63" s="157"/>
      <c r="I63" s="8">
        <f t="shared" si="4"/>
        <v>4.9810719266786211E-3</v>
      </c>
      <c r="J63" s="8">
        <v>1749.3548931883499</v>
      </c>
      <c r="K63">
        <v>-369.06930000711998</v>
      </c>
      <c r="L63">
        <v>5423856.3488769103</v>
      </c>
      <c r="M63">
        <v>-2.2128385216835</v>
      </c>
      <c r="N63">
        <v>-269503.24793356902</v>
      </c>
      <c r="O63">
        <v>73145.021531826002</v>
      </c>
      <c r="P63">
        <v>5.34368649509278</v>
      </c>
      <c r="Q63">
        <f t="shared" si="16"/>
        <v>1.5139292685889134E-2</v>
      </c>
      <c r="R63">
        <f t="shared" si="5"/>
        <v>7.415324519602722E-4</v>
      </c>
      <c r="S63">
        <f t="shared" si="17"/>
        <v>0.47908875808965068</v>
      </c>
      <c r="T63">
        <f t="shared" si="6"/>
        <v>5.3783830226882419E-6</v>
      </c>
      <c r="U63">
        <f t="shared" si="18"/>
        <v>3.2277964363066916E-2</v>
      </c>
      <c r="W63" s="8">
        <v>303.05</v>
      </c>
      <c r="X63" s="8">
        <v>660.55</v>
      </c>
      <c r="Y63" s="15">
        <v>5.1200000000000002E-2</v>
      </c>
      <c r="Z63">
        <f t="shared" si="7"/>
        <v>5.0969947954592768E-2</v>
      </c>
      <c r="AA63">
        <f t="shared" si="8"/>
        <v>-0.44932040118600575</v>
      </c>
      <c r="AB63">
        <f t="shared" si="9"/>
        <v>0.44932040118600575</v>
      </c>
      <c r="AO63">
        <f t="shared" si="19"/>
        <v>5.014095308059674E-2</v>
      </c>
      <c r="AP63">
        <f t="shared" si="20"/>
        <v>-2.0684510144594976</v>
      </c>
      <c r="AQ63">
        <f t="shared" si="11"/>
        <v>2.0684510144594976</v>
      </c>
      <c r="AR63">
        <f t="shared" si="12"/>
        <v>5.0240158869096878E-2</v>
      </c>
      <c r="AS63">
        <f t="shared" si="15"/>
        <v>-1.8746897087951653</v>
      </c>
      <c r="AT63">
        <f t="shared" si="14"/>
        <v>1.8746897087951653</v>
      </c>
    </row>
    <row r="64" spans="1:46" x14ac:dyDescent="0.25">
      <c r="B64" s="158">
        <v>303.05</v>
      </c>
      <c r="C64" s="56">
        <v>7.6230000000000002</v>
      </c>
      <c r="D64" s="56">
        <v>676.88</v>
      </c>
      <c r="E64" s="95">
        <v>5.3699999999999998E-2</v>
      </c>
      <c r="F64" s="157"/>
      <c r="I64" s="8">
        <f t="shared" si="4"/>
        <v>4.9810719266786211E-3</v>
      </c>
      <c r="J64" s="8">
        <v>1749.3548931883499</v>
      </c>
      <c r="K64">
        <v>-369.06930000711998</v>
      </c>
      <c r="L64">
        <v>5423856.3488769103</v>
      </c>
      <c r="M64">
        <v>-2.2128385216835</v>
      </c>
      <c r="N64">
        <v>-269503.24793356902</v>
      </c>
      <c r="O64">
        <v>73145.021531826002</v>
      </c>
      <c r="P64">
        <v>5.34368649509278</v>
      </c>
      <c r="Q64">
        <f t="shared" si="16"/>
        <v>1.5139292685889134E-2</v>
      </c>
      <c r="R64">
        <f t="shared" si="5"/>
        <v>7.415324519602722E-4</v>
      </c>
      <c r="S64">
        <f t="shared" si="17"/>
        <v>0.47908875808965068</v>
      </c>
      <c r="T64">
        <f t="shared" si="6"/>
        <v>5.3783830226882419E-6</v>
      </c>
      <c r="U64">
        <f t="shared" si="18"/>
        <v>3.4227470886950849E-2</v>
      </c>
      <c r="W64" s="8">
        <v>303.05</v>
      </c>
      <c r="X64" s="8">
        <v>676.88</v>
      </c>
      <c r="Y64" s="15">
        <v>5.3699999999999998E-2</v>
      </c>
      <c r="Z64">
        <f t="shared" si="7"/>
        <v>5.3007283473237202E-2</v>
      </c>
      <c r="AA64">
        <f t="shared" si="8"/>
        <v>-1.2899749101728046</v>
      </c>
      <c r="AB64">
        <f t="shared" si="9"/>
        <v>1.2899749101728046</v>
      </c>
      <c r="AO64">
        <f t="shared" si="19"/>
        <v>5.240642339271747E-2</v>
      </c>
      <c r="AP64">
        <f t="shared" si="20"/>
        <v>-2.4088949856285429</v>
      </c>
      <c r="AQ64">
        <f t="shared" si="11"/>
        <v>2.4088949856285429</v>
      </c>
      <c r="AR64">
        <f t="shared" si="12"/>
        <v>5.2434073276052554E-2</v>
      </c>
      <c r="AS64">
        <f t="shared" si="15"/>
        <v>-2.3574054449673079</v>
      </c>
      <c r="AT64">
        <f t="shared" si="14"/>
        <v>2.3574054449673079</v>
      </c>
    </row>
    <row r="65" spans="1:46" x14ac:dyDescent="0.25">
      <c r="B65" s="158">
        <v>303.05</v>
      </c>
      <c r="C65" s="56">
        <v>7.9059999999999997</v>
      </c>
      <c r="D65" s="56">
        <v>698.05</v>
      </c>
      <c r="E65" s="95">
        <v>5.5800000000000002E-2</v>
      </c>
      <c r="F65" s="157"/>
      <c r="I65" s="8">
        <f t="shared" si="4"/>
        <v>4.9810719266786211E-3</v>
      </c>
      <c r="J65" s="8">
        <v>1749.3548931883499</v>
      </c>
      <c r="K65">
        <v>-369.06930000711998</v>
      </c>
      <c r="L65">
        <v>5423856.3488769103</v>
      </c>
      <c r="M65">
        <v>-2.2128385216835</v>
      </c>
      <c r="N65">
        <v>-269503.24793356902</v>
      </c>
      <c r="O65">
        <v>73145.021531826002</v>
      </c>
      <c r="P65">
        <v>5.34368649509278</v>
      </c>
      <c r="Q65">
        <f t="shared" si="16"/>
        <v>1.5139292685889134E-2</v>
      </c>
      <c r="R65">
        <f t="shared" si="5"/>
        <v>7.415324519602722E-4</v>
      </c>
      <c r="S65">
        <f t="shared" si="17"/>
        <v>0.47908875808965068</v>
      </c>
      <c r="T65">
        <f t="shared" si="6"/>
        <v>5.3783830226882419E-6</v>
      </c>
      <c r="U65">
        <f t="shared" si="18"/>
        <v>3.6886354877015241E-2</v>
      </c>
      <c r="W65" s="8">
        <v>303.05</v>
      </c>
      <c r="X65" s="8">
        <v>698.05</v>
      </c>
      <c r="Y65" s="15">
        <v>5.5800000000000002E-2</v>
      </c>
      <c r="Z65">
        <f t="shared" si="7"/>
        <v>5.5780027831891899E-2</v>
      </c>
      <c r="AA65">
        <f t="shared" si="8"/>
        <v>-3.5792415964343856E-2</v>
      </c>
      <c r="AB65">
        <f t="shared" si="9"/>
        <v>3.5792415964343856E-2</v>
      </c>
      <c r="AO65">
        <f t="shared" si="19"/>
        <v>5.5481589084547381E-2</v>
      </c>
      <c r="AP65">
        <f t="shared" si="20"/>
        <v>-0.57062888073946516</v>
      </c>
      <c r="AQ65">
        <f t="shared" si="11"/>
        <v>0.57062888073946516</v>
      </c>
      <c r="AR65">
        <f t="shared" si="12"/>
        <v>5.5401962332651114E-2</v>
      </c>
      <c r="AS65">
        <f t="shared" si="15"/>
        <v>-0.71332915295499699</v>
      </c>
      <c r="AT65">
        <f t="shared" si="14"/>
        <v>0.71332915295499699</v>
      </c>
    </row>
    <row r="66" spans="1:46" x14ac:dyDescent="0.25">
      <c r="B66" s="158">
        <v>303.05</v>
      </c>
      <c r="C66" s="56">
        <v>8.2989999999999995</v>
      </c>
      <c r="D66" s="56">
        <v>719.03</v>
      </c>
      <c r="E66" s="95">
        <v>5.8500000000000003E-2</v>
      </c>
      <c r="F66" s="157"/>
      <c r="I66" s="8">
        <f t="shared" si="4"/>
        <v>4.9810719266786211E-3</v>
      </c>
      <c r="J66" s="8">
        <v>1749.3548931883499</v>
      </c>
      <c r="K66">
        <v>-369.06930000711998</v>
      </c>
      <c r="L66">
        <v>5423856.3488769103</v>
      </c>
      <c r="M66">
        <v>-2.2128385216835</v>
      </c>
      <c r="N66">
        <v>-269503.24793356902</v>
      </c>
      <c r="O66">
        <v>73145.021531826002</v>
      </c>
      <c r="P66">
        <v>5.34368649509278</v>
      </c>
      <c r="Q66">
        <f t="shared" si="16"/>
        <v>1.5139292685889134E-2</v>
      </c>
      <c r="R66">
        <f t="shared" si="5"/>
        <v>7.415324519602722E-4</v>
      </c>
      <c r="S66">
        <f t="shared" si="17"/>
        <v>0.47908875808965068</v>
      </c>
      <c r="T66">
        <f t="shared" si="6"/>
        <v>5.3783830226882419E-6</v>
      </c>
      <c r="U66">
        <f t="shared" si="18"/>
        <v>3.9678296019959612E-2</v>
      </c>
      <c r="W66" s="8">
        <v>303.05</v>
      </c>
      <c r="X66" s="8">
        <v>719.03</v>
      </c>
      <c r="Y66" s="15">
        <v>5.8500000000000003E-2</v>
      </c>
      <c r="Z66">
        <f t="shared" si="7"/>
        <v>5.8684807450652271E-2</v>
      </c>
      <c r="AA66">
        <f t="shared" si="8"/>
        <v>0.31591017205515831</v>
      </c>
      <c r="AB66">
        <f t="shared" si="9"/>
        <v>0.31591017205515831</v>
      </c>
      <c r="AO66">
        <f t="shared" si="19"/>
        <v>5.8694750612444051E-2</v>
      </c>
      <c r="AP66">
        <f t="shared" si="20"/>
        <v>0.33290702981888431</v>
      </c>
      <c r="AQ66">
        <f t="shared" si="11"/>
        <v>0.33290702981888431</v>
      </c>
      <c r="AR66">
        <f t="shared" si="12"/>
        <v>5.8490618588695038E-2</v>
      </c>
      <c r="AS66">
        <f t="shared" si="15"/>
        <v>-1.6036600521307794E-2</v>
      </c>
      <c r="AT66">
        <f t="shared" si="14"/>
        <v>1.6036600521307794E-2</v>
      </c>
    </row>
    <row r="67" spans="1:46" x14ac:dyDescent="0.25">
      <c r="B67" s="158">
        <v>303.05</v>
      </c>
      <c r="C67" s="56">
        <v>8.8010000000000002</v>
      </c>
      <c r="D67" s="56">
        <v>739</v>
      </c>
      <c r="E67" s="95">
        <v>6.13E-2</v>
      </c>
      <c r="F67" s="157"/>
      <c r="I67" s="8">
        <f t="shared" si="4"/>
        <v>4.9810719266786211E-3</v>
      </c>
      <c r="J67" s="8">
        <v>1749.3548931883499</v>
      </c>
      <c r="K67">
        <v>-369.06930000711998</v>
      </c>
      <c r="L67">
        <v>5423856.3488769103</v>
      </c>
      <c r="M67">
        <v>-2.2128385216835</v>
      </c>
      <c r="N67">
        <v>-269503.24793356902</v>
      </c>
      <c r="O67">
        <v>73145.021531826002</v>
      </c>
      <c r="P67">
        <v>5.34368649509278</v>
      </c>
      <c r="Q67">
        <f t="shared" si="16"/>
        <v>1.5139292685889134E-2</v>
      </c>
      <c r="R67">
        <f t="shared" si="5"/>
        <v>7.415324519602722E-4</v>
      </c>
      <c r="S67">
        <f t="shared" si="17"/>
        <v>0.47908875808965068</v>
      </c>
      <c r="T67">
        <f t="shared" si="6"/>
        <v>5.3783830226882419E-6</v>
      </c>
      <c r="U67">
        <f t="shared" si="18"/>
        <v>4.2492455522694171E-2</v>
      </c>
      <c r="W67" s="8">
        <v>303.05</v>
      </c>
      <c r="X67" s="8">
        <v>739</v>
      </c>
      <c r="Y67" s="15">
        <v>6.13E-2</v>
      </c>
      <c r="Z67">
        <f t="shared" si="7"/>
        <v>6.1606373262349912E-2</v>
      </c>
      <c r="AA67">
        <f t="shared" si="8"/>
        <v>0.49979325016298742</v>
      </c>
      <c r="AB67">
        <f t="shared" si="9"/>
        <v>0.49979325016298742</v>
      </c>
      <c r="AO67">
        <f t="shared" si="19"/>
        <v>6.1918950257828134E-2</v>
      </c>
      <c r="AP67">
        <f t="shared" si="20"/>
        <v>1.0097067827538888</v>
      </c>
      <c r="AQ67">
        <f t="shared" si="11"/>
        <v>1.0097067827538888</v>
      </c>
      <c r="AR67">
        <f t="shared" si="12"/>
        <v>6.1577209759642655E-2</v>
      </c>
      <c r="AS67">
        <f t="shared" si="15"/>
        <v>0.45221820496354781</v>
      </c>
      <c r="AT67">
        <f t="shared" si="14"/>
        <v>0.45221820496354781</v>
      </c>
    </row>
    <row r="68" spans="1:46" x14ac:dyDescent="0.25">
      <c r="B68" s="158">
        <v>303.05</v>
      </c>
      <c r="C68" s="56">
        <v>9.7219999999999995</v>
      </c>
      <c r="D68" s="56">
        <v>765.91</v>
      </c>
      <c r="E68" s="95">
        <v>6.5600000000000006E-2</v>
      </c>
      <c r="F68" s="157"/>
      <c r="I68" s="8">
        <f t="shared" si="4"/>
        <v>4.9810719266786211E-3</v>
      </c>
      <c r="J68" s="8">
        <v>1749.3548931883499</v>
      </c>
      <c r="K68">
        <v>-369.06930000711998</v>
      </c>
      <c r="L68">
        <v>5423856.3488769103</v>
      </c>
      <c r="M68">
        <v>-2.2128385216835</v>
      </c>
      <c r="N68">
        <v>-269503.24793356902</v>
      </c>
      <c r="O68">
        <v>73145.021531826002</v>
      </c>
      <c r="P68">
        <v>5.34368649509278</v>
      </c>
      <c r="Q68">
        <f t="shared" ref="Q68:Q99" si="21">1.0055*SQRT(B68)/(J68+K68*B68^(1/6)+L68*EXP(M68*B68^(1/3))+P68*SQRT(B68)+(N68+O68*B68^(1/3))/EXP(B68^(1/3)))</f>
        <v>1.5139292685889134E-2</v>
      </c>
      <c r="R68">
        <f t="shared" si="5"/>
        <v>7.415324519602722E-4</v>
      </c>
      <c r="S68">
        <f t="shared" ref="S68:S99" si="22">-19.572881+219.73999/(B68*I68)^(0.25)-1015.3226/(B68*I68)^(0.5)+2471.0125/(B68*I68)^(0.75)-3375.1717/(B68*I68)^(1)+2491.6597/(B68*I68)^(1.25)-787.26086/(B68*I68)^(1.5)+14.085455/(B68*I68)^(2.5)-0.34664158/(B68*I68)^(5.5)</f>
        <v>0.47908875808965068</v>
      </c>
      <c r="T68">
        <f t="shared" si="6"/>
        <v>5.3783830226882419E-6</v>
      </c>
      <c r="U68">
        <f t="shared" ref="U68:U99" si="23">0.09436059794459*(0.360603235428487*((B68/216.592)*(D68/1178.53)^3)+(((D68/1178.53)^2)+(D68/1178.53)^(8.06282737481277))/((B68/216.592)-0.121550806591497))</f>
        <v>4.6548486213604801E-2</v>
      </c>
      <c r="W68" s="8">
        <v>303.05</v>
      </c>
      <c r="X68" s="8">
        <v>765.91</v>
      </c>
      <c r="Y68" s="15">
        <v>6.5600000000000006E-2</v>
      </c>
      <c r="Z68">
        <f t="shared" si="7"/>
        <v>6.580713624040109E-2</v>
      </c>
      <c r="AA68">
        <f t="shared" si="8"/>
        <v>0.31575646402604352</v>
      </c>
      <c r="AB68">
        <f t="shared" si="9"/>
        <v>0.31575646402604352</v>
      </c>
      <c r="AO68">
        <f t="shared" ref="AO68:AO76" si="24">0.001/((0.537-EXP(6.726-0.0433*W68))*(44.095/X68-0.0295))</f>
        <v>6.6543085215455322E-2</v>
      </c>
      <c r="AP68">
        <f t="shared" ref="AP68:AP76" si="25">100*(AO68-Y68)/Y68</f>
        <v>1.4376299016087142</v>
      </c>
      <c r="AQ68">
        <f t="shared" si="11"/>
        <v>1.4376299016087142</v>
      </c>
      <c r="AR68">
        <f t="shared" si="12"/>
        <v>6.5981978727156096E-2</v>
      </c>
      <c r="AS68">
        <f t="shared" si="15"/>
        <v>0.58228464505501576</v>
      </c>
      <c r="AT68">
        <f t="shared" si="14"/>
        <v>0.58228464505501576</v>
      </c>
    </row>
    <row r="69" spans="1:46" x14ac:dyDescent="0.25">
      <c r="B69" s="158">
        <v>303.05</v>
      </c>
      <c r="C69" s="56">
        <v>10.8</v>
      </c>
      <c r="D69" s="56">
        <v>789.21</v>
      </c>
      <c r="E69" s="95">
        <v>6.9400000000000003E-2</v>
      </c>
      <c r="F69" s="157"/>
      <c r="I69" s="8">
        <f t="shared" ref="I69:I125" si="26">1/200.76</f>
        <v>4.9810719266786211E-3</v>
      </c>
      <c r="J69" s="8">
        <v>1749.3548931883499</v>
      </c>
      <c r="K69">
        <v>-369.06930000711998</v>
      </c>
      <c r="L69">
        <v>5423856.3488769103</v>
      </c>
      <c r="M69">
        <v>-2.2128385216835</v>
      </c>
      <c r="N69">
        <v>-269503.24793356902</v>
      </c>
      <c r="O69">
        <v>73145.021531826002</v>
      </c>
      <c r="P69">
        <v>5.34368649509278</v>
      </c>
      <c r="Q69">
        <f t="shared" si="21"/>
        <v>1.5139292685889134E-2</v>
      </c>
      <c r="R69">
        <f t="shared" ref="R69:R125" si="27">((0.378421/10^9)^3)*6.022140857*10^(26)/44.0095</f>
        <v>7.415324519602722E-4</v>
      </c>
      <c r="S69">
        <f t="shared" si="22"/>
        <v>0.47908875808965068</v>
      </c>
      <c r="T69">
        <f t="shared" ref="T69:T125" si="28">Q69*S69*R69</f>
        <v>5.3783830226882419E-6</v>
      </c>
      <c r="U69">
        <f t="shared" si="23"/>
        <v>5.0329672144931413E-2</v>
      </c>
      <c r="W69" s="8">
        <v>303.05</v>
      </c>
      <c r="X69" s="8">
        <v>789.21</v>
      </c>
      <c r="Y69" s="15">
        <v>6.9400000000000003E-2</v>
      </c>
      <c r="Z69">
        <f t="shared" ref="Z69:Z76" si="29">Q69+X69*T69+U69</f>
        <v>6.9713638496156333E-2</v>
      </c>
      <c r="AA69">
        <f t="shared" ref="AA69:AA100" si="30">100*(Z69-Y69)/Y69</f>
        <v>0.45192866881315463</v>
      </c>
      <c r="AB69">
        <f t="shared" ref="AB69:AB132" si="31">ABS(AA69)</f>
        <v>0.45192866881315463</v>
      </c>
      <c r="AO69">
        <f t="shared" si="24"/>
        <v>7.0831822192806371E-2</v>
      </c>
      <c r="AP69">
        <f t="shared" si="25"/>
        <v>2.063144370037993</v>
      </c>
      <c r="AQ69">
        <f t="shared" ref="AQ69:AQ76" si="32">ABS(AP69)</f>
        <v>2.063144370037993</v>
      </c>
      <c r="AR69">
        <f t="shared" ref="AR69:AR76" si="33">0.001/((18.56+0.014*W69)*((1/X69)-(7.41/10000)+(0.033/100000)*W69))</f>
        <v>7.0044257729589915E-2</v>
      </c>
      <c r="AS69">
        <f t="shared" si="15"/>
        <v>0.92832525877508865</v>
      </c>
      <c r="AT69">
        <f t="shared" ref="AT69:AT76" si="34">ABS(AS69)</f>
        <v>0.92832525877508865</v>
      </c>
    </row>
    <row r="70" spans="1:46" x14ac:dyDescent="0.25">
      <c r="B70" s="160">
        <v>303.05</v>
      </c>
      <c r="C70" s="86">
        <v>11.98</v>
      </c>
      <c r="D70" s="86">
        <v>809.35</v>
      </c>
      <c r="E70" s="96">
        <v>7.3400000000000007E-2</v>
      </c>
      <c r="F70" s="157"/>
      <c r="I70" s="8">
        <f t="shared" si="26"/>
        <v>4.9810719266786211E-3</v>
      </c>
      <c r="J70" s="8">
        <v>1749.3548931883499</v>
      </c>
      <c r="K70">
        <v>-369.06930000711998</v>
      </c>
      <c r="L70">
        <v>5423856.3488769103</v>
      </c>
      <c r="M70">
        <v>-2.2128385216835</v>
      </c>
      <c r="N70">
        <v>-269503.24793356902</v>
      </c>
      <c r="O70">
        <v>73145.021531826002</v>
      </c>
      <c r="P70">
        <v>5.34368649509278</v>
      </c>
      <c r="Q70">
        <f t="shared" si="21"/>
        <v>1.5139292685889134E-2</v>
      </c>
      <c r="R70">
        <f t="shared" si="27"/>
        <v>7.415324519602722E-4</v>
      </c>
      <c r="S70">
        <f t="shared" si="22"/>
        <v>0.47908875808965068</v>
      </c>
      <c r="T70">
        <f t="shared" si="28"/>
        <v>5.3783830226882419E-6</v>
      </c>
      <c r="U70">
        <f t="shared" si="23"/>
        <v>5.3820501057432073E-2</v>
      </c>
      <c r="W70" s="57">
        <v>303.05</v>
      </c>
      <c r="X70" s="57">
        <v>809.35</v>
      </c>
      <c r="Y70" s="60">
        <v>7.3400000000000007E-2</v>
      </c>
      <c r="Z70" s="25">
        <f t="shared" si="29"/>
        <v>7.3312788042733931E-2</v>
      </c>
      <c r="AA70" s="25">
        <f t="shared" si="30"/>
        <v>-0.11881738047149272</v>
      </c>
      <c r="AB70" s="25">
        <f t="shared" si="31"/>
        <v>0.11881738047149272</v>
      </c>
      <c r="AO70">
        <f t="shared" si="24"/>
        <v>7.4773863918780784E-2</v>
      </c>
      <c r="AP70">
        <f t="shared" si="25"/>
        <v>1.8717492081481968</v>
      </c>
      <c r="AQ70">
        <f t="shared" si="32"/>
        <v>1.8717492081481968</v>
      </c>
      <c r="AR70">
        <f t="shared" si="33"/>
        <v>7.3758780763455892E-2</v>
      </c>
      <c r="AS70">
        <f t="shared" si="15"/>
        <v>0.48880213004888939</v>
      </c>
      <c r="AT70">
        <f t="shared" si="34"/>
        <v>0.48880213004888939</v>
      </c>
    </row>
    <row r="71" spans="1:46" x14ac:dyDescent="0.25">
      <c r="A71" t="s">
        <v>217</v>
      </c>
      <c r="B71" s="158">
        <v>308.14999999999998</v>
      </c>
      <c r="C71" s="56">
        <v>8.61</v>
      </c>
      <c r="D71" s="56">
        <v>626.75</v>
      </c>
      <c r="E71" s="95">
        <v>4.7399999999999998E-2</v>
      </c>
      <c r="F71" s="157"/>
      <c r="I71" s="8">
        <f t="shared" si="26"/>
        <v>4.9810719266786211E-3</v>
      </c>
      <c r="J71" s="8">
        <v>1749.3548931883499</v>
      </c>
      <c r="K71">
        <v>-369.06930000711998</v>
      </c>
      <c r="L71">
        <v>5423856.3488769103</v>
      </c>
      <c r="M71">
        <v>-2.2128385216835</v>
      </c>
      <c r="N71">
        <v>-269503.24793356902</v>
      </c>
      <c r="O71">
        <v>73145.021531826002</v>
      </c>
      <c r="P71">
        <v>5.34368649509278</v>
      </c>
      <c r="Q71">
        <f t="shared" si="21"/>
        <v>1.5382073754445016E-2</v>
      </c>
      <c r="R71">
        <f t="shared" si="27"/>
        <v>7.415324519602722E-4</v>
      </c>
      <c r="S71">
        <f t="shared" si="22"/>
        <v>0.50506222796037503</v>
      </c>
      <c r="T71">
        <f t="shared" si="28"/>
        <v>5.7608947592322864E-6</v>
      </c>
      <c r="U71">
        <f t="shared" si="23"/>
        <v>2.823700855329014E-2</v>
      </c>
      <c r="W71" s="8">
        <v>308.14999999999998</v>
      </c>
      <c r="X71" s="8">
        <v>626.75</v>
      </c>
      <c r="Y71" s="15">
        <v>4.7399999999999998E-2</v>
      </c>
      <c r="Z71">
        <f t="shared" si="29"/>
        <v>4.7229723098083994E-2</v>
      </c>
      <c r="AA71">
        <f t="shared" si="30"/>
        <v>-0.35923397028692861</v>
      </c>
      <c r="AB71">
        <f t="shared" si="31"/>
        <v>0.35923397028692861</v>
      </c>
      <c r="AO71">
        <f t="shared" si="24"/>
        <v>4.5694459084313452E-2</v>
      </c>
      <c r="AP71">
        <f t="shared" si="25"/>
        <v>-3.598187585836595</v>
      </c>
      <c r="AQ71">
        <f t="shared" si="32"/>
        <v>3.598187585836595</v>
      </c>
      <c r="AR71">
        <f t="shared" si="33"/>
        <v>4.5719055428171555E-2</v>
      </c>
      <c r="AS71">
        <f t="shared" si="15"/>
        <v>-3.5462965650389084</v>
      </c>
      <c r="AT71">
        <f t="shared" si="34"/>
        <v>3.5462965650389084</v>
      </c>
    </row>
    <row r="72" spans="1:46" x14ac:dyDescent="0.25">
      <c r="A72" t="s">
        <v>287</v>
      </c>
      <c r="B72" s="158">
        <v>308.14999999999998</v>
      </c>
      <c r="C72" s="56">
        <v>8.8450000000000006</v>
      </c>
      <c r="D72" s="56">
        <v>650.08000000000004</v>
      </c>
      <c r="E72" s="95">
        <v>5.0299999999999997E-2</v>
      </c>
      <c r="F72" s="157"/>
      <c r="I72" s="8">
        <f t="shared" si="26"/>
        <v>4.9810719266786211E-3</v>
      </c>
      <c r="J72" s="8">
        <v>1749.3548931883499</v>
      </c>
      <c r="K72">
        <v>-369.06930000711998</v>
      </c>
      <c r="L72">
        <v>5423856.3488769103</v>
      </c>
      <c r="M72">
        <v>-2.2128385216835</v>
      </c>
      <c r="N72">
        <v>-269503.24793356902</v>
      </c>
      <c r="O72">
        <v>73145.021531826002</v>
      </c>
      <c r="P72">
        <v>5.34368649509278</v>
      </c>
      <c r="Q72">
        <f t="shared" si="21"/>
        <v>1.5382073754445016E-2</v>
      </c>
      <c r="R72">
        <f t="shared" si="27"/>
        <v>7.415324519602722E-4</v>
      </c>
      <c r="S72">
        <f t="shared" si="22"/>
        <v>0.50506222796037503</v>
      </c>
      <c r="T72">
        <f t="shared" si="28"/>
        <v>5.7608947592322864E-6</v>
      </c>
      <c r="U72">
        <f t="shared" si="23"/>
        <v>3.0788894062381236E-2</v>
      </c>
      <c r="W72" s="8">
        <v>308.14999999999998</v>
      </c>
      <c r="X72" s="8">
        <v>650.08000000000004</v>
      </c>
      <c r="Y72" s="15">
        <v>5.0299999999999997E-2</v>
      </c>
      <c r="Z72">
        <f t="shared" si="29"/>
        <v>4.991601028190798E-2</v>
      </c>
      <c r="AA72">
        <f t="shared" si="30"/>
        <v>-0.76339904193244068</v>
      </c>
      <c r="AB72">
        <f t="shared" si="31"/>
        <v>0.76339904193244068</v>
      </c>
      <c r="AO72">
        <f t="shared" si="24"/>
        <v>4.8704458260533531E-2</v>
      </c>
      <c r="AP72">
        <f t="shared" si="25"/>
        <v>-3.1720511719015234</v>
      </c>
      <c r="AQ72">
        <f t="shared" si="32"/>
        <v>3.1720511719015234</v>
      </c>
      <c r="AR72">
        <f t="shared" si="33"/>
        <v>4.8631177963130962E-2</v>
      </c>
      <c r="AS72">
        <f t="shared" si="15"/>
        <v>-3.3177376478509664</v>
      </c>
      <c r="AT72">
        <f t="shared" si="34"/>
        <v>3.3177376478509664</v>
      </c>
    </row>
    <row r="73" spans="1:46" x14ac:dyDescent="0.25">
      <c r="B73" s="158">
        <v>308.14999999999998</v>
      </c>
      <c r="C73" s="56">
        <v>9.1850000000000005</v>
      </c>
      <c r="D73" s="56">
        <v>674.36</v>
      </c>
      <c r="E73" s="95">
        <v>5.2900000000000003E-2</v>
      </c>
      <c r="F73" s="157"/>
      <c r="I73" s="8">
        <f t="shared" si="26"/>
        <v>4.9810719266786211E-3</v>
      </c>
      <c r="J73" s="8">
        <v>1749.3548931883499</v>
      </c>
      <c r="K73">
        <v>-369.06930000711998</v>
      </c>
      <c r="L73">
        <v>5423856.3488769103</v>
      </c>
      <c r="M73">
        <v>-2.2128385216835</v>
      </c>
      <c r="N73">
        <v>-269503.24793356902</v>
      </c>
      <c r="O73">
        <v>73145.021531826002</v>
      </c>
      <c r="P73">
        <v>5.34368649509278</v>
      </c>
      <c r="Q73">
        <f t="shared" si="21"/>
        <v>1.5382073754445016E-2</v>
      </c>
      <c r="R73">
        <f t="shared" si="27"/>
        <v>7.415324519602722E-4</v>
      </c>
      <c r="S73">
        <f t="shared" si="22"/>
        <v>0.50506222796037503</v>
      </c>
      <c r="T73">
        <f t="shared" si="28"/>
        <v>5.7608947592322864E-6</v>
      </c>
      <c r="U73">
        <f t="shared" si="23"/>
        <v>3.3618684913239924E-2</v>
      </c>
      <c r="W73" s="8">
        <v>308.14999999999998</v>
      </c>
      <c r="X73" s="8">
        <v>674.36</v>
      </c>
      <c r="Y73" s="15">
        <v>5.2900000000000003E-2</v>
      </c>
      <c r="Z73">
        <f t="shared" si="29"/>
        <v>5.2885675657520823E-2</v>
      </c>
      <c r="AA73">
        <f t="shared" si="30"/>
        <v>-2.7078152134555802E-2</v>
      </c>
      <c r="AB73">
        <f t="shared" si="31"/>
        <v>2.7078152134555802E-2</v>
      </c>
      <c r="AO73">
        <f t="shared" si="24"/>
        <v>5.2018819265090763E-2</v>
      </c>
      <c r="AP73">
        <f t="shared" si="25"/>
        <v>-1.665748081113875</v>
      </c>
      <c r="AQ73">
        <f t="shared" si="32"/>
        <v>1.665748081113875</v>
      </c>
      <c r="AR73">
        <f t="shared" si="33"/>
        <v>5.1824039944514073E-2</v>
      </c>
      <c r="AS73">
        <f t="shared" si="15"/>
        <v>-2.0339509555499604</v>
      </c>
      <c r="AT73">
        <f t="shared" si="34"/>
        <v>2.0339509555499604</v>
      </c>
    </row>
    <row r="74" spans="1:46" x14ac:dyDescent="0.25">
      <c r="B74" s="158">
        <v>308.14999999999998</v>
      </c>
      <c r="C74" s="56">
        <v>9.6880000000000006</v>
      </c>
      <c r="D74" s="56">
        <v>700.15</v>
      </c>
      <c r="E74" s="95">
        <v>5.5899999999999998E-2</v>
      </c>
      <c r="F74" s="157"/>
      <c r="I74" s="8">
        <f t="shared" si="26"/>
        <v>4.9810719266786211E-3</v>
      </c>
      <c r="J74" s="8">
        <v>1749.3548931883499</v>
      </c>
      <c r="K74">
        <v>-369.06930000711998</v>
      </c>
      <c r="L74">
        <v>5423856.3488769103</v>
      </c>
      <c r="M74">
        <v>-2.2128385216835</v>
      </c>
      <c r="N74">
        <v>-269503.24793356902</v>
      </c>
      <c r="O74">
        <v>73145.021531826002</v>
      </c>
      <c r="P74">
        <v>5.34368649509278</v>
      </c>
      <c r="Q74">
        <f t="shared" si="21"/>
        <v>1.5382073754445016E-2</v>
      </c>
      <c r="R74">
        <f t="shared" si="27"/>
        <v>7.415324519602722E-4</v>
      </c>
      <c r="S74">
        <f t="shared" si="22"/>
        <v>0.50506222796037503</v>
      </c>
      <c r="T74">
        <f t="shared" si="28"/>
        <v>5.7608947592322864E-6</v>
      </c>
      <c r="U74">
        <f t="shared" si="23"/>
        <v>3.6834790070189978E-2</v>
      </c>
      <c r="W74" s="8">
        <v>308.14999999999998</v>
      </c>
      <c r="X74" s="8">
        <v>700.15</v>
      </c>
      <c r="Y74" s="15">
        <v>5.5899999999999998E-2</v>
      </c>
      <c r="Z74">
        <f t="shared" si="29"/>
        <v>5.6250354290311479E-2</v>
      </c>
      <c r="AA74">
        <f t="shared" si="30"/>
        <v>0.62675186102232627</v>
      </c>
      <c r="AB74">
        <f t="shared" si="31"/>
        <v>0.62675186102232627</v>
      </c>
      <c r="AO74">
        <f t="shared" si="24"/>
        <v>5.5761140953815909E-2</v>
      </c>
      <c r="AP74">
        <f t="shared" si="25"/>
        <v>-0.24840616490892559</v>
      </c>
      <c r="AQ74">
        <f t="shared" si="32"/>
        <v>0.24840616490892559</v>
      </c>
      <c r="AR74">
        <f t="shared" si="33"/>
        <v>5.5411999593111438E-2</v>
      </c>
      <c r="AS74">
        <f t="shared" si="15"/>
        <v>-0.87298820552515188</v>
      </c>
      <c r="AT74">
        <f t="shared" si="34"/>
        <v>0.87298820552515188</v>
      </c>
    </row>
    <row r="75" spans="1:46" x14ac:dyDescent="0.25">
      <c r="B75" s="158">
        <v>308.14999999999998</v>
      </c>
      <c r="C75" s="56">
        <v>10.32</v>
      </c>
      <c r="D75" s="56">
        <v>724.06</v>
      </c>
      <c r="E75" s="95">
        <v>5.9200000000000003E-2</v>
      </c>
      <c r="F75" s="157"/>
      <c r="I75" s="8">
        <f t="shared" si="26"/>
        <v>4.9810719266786211E-3</v>
      </c>
      <c r="J75" s="8">
        <v>1749.3548931883499</v>
      </c>
      <c r="K75">
        <v>-369.06930000711998</v>
      </c>
      <c r="L75">
        <v>5423856.3488769103</v>
      </c>
      <c r="M75">
        <v>-2.2128385216835</v>
      </c>
      <c r="N75">
        <v>-269503.24793356902</v>
      </c>
      <c r="O75">
        <v>73145.021531826002</v>
      </c>
      <c r="P75">
        <v>5.34368649509278</v>
      </c>
      <c r="Q75">
        <f t="shared" si="21"/>
        <v>1.5382073754445016E-2</v>
      </c>
      <c r="R75">
        <f t="shared" si="27"/>
        <v>7.415324519602722E-4</v>
      </c>
      <c r="S75">
        <f t="shared" si="22"/>
        <v>0.50506222796037503</v>
      </c>
      <c r="T75">
        <f t="shared" si="28"/>
        <v>5.7608947592322864E-6</v>
      </c>
      <c r="U75">
        <f t="shared" si="23"/>
        <v>4.0027254674222162E-2</v>
      </c>
      <c r="W75" s="8">
        <v>308.14999999999998</v>
      </c>
      <c r="X75" s="8">
        <v>724.06</v>
      </c>
      <c r="Y75" s="15">
        <v>5.9200000000000003E-2</v>
      </c>
      <c r="Z75">
        <f t="shared" si="29"/>
        <v>5.9580561888036912E-2</v>
      </c>
      <c r="AA75">
        <f t="shared" si="30"/>
        <v>0.64284102708937396</v>
      </c>
      <c r="AB75">
        <f t="shared" si="31"/>
        <v>0.64284102708937396</v>
      </c>
      <c r="AO75">
        <f t="shared" si="24"/>
        <v>5.9454403053346636E-2</v>
      </c>
      <c r="AP75">
        <f t="shared" si="25"/>
        <v>0.42973488740985288</v>
      </c>
      <c r="AQ75">
        <f t="shared" si="32"/>
        <v>0.42973488740985288</v>
      </c>
      <c r="AR75">
        <f t="shared" si="33"/>
        <v>5.8935192916178943E-2</v>
      </c>
      <c r="AS75">
        <f t="shared" si="15"/>
        <v>-0.44730926321125009</v>
      </c>
      <c r="AT75">
        <f t="shared" si="34"/>
        <v>0.44730926321125009</v>
      </c>
    </row>
    <row r="76" spans="1:46" x14ac:dyDescent="0.25">
      <c r="B76" s="160">
        <v>308.14999999999998</v>
      </c>
      <c r="C76" s="86">
        <v>11.24</v>
      </c>
      <c r="D76" s="86">
        <v>750.17</v>
      </c>
      <c r="E76" s="96">
        <v>6.3E-2</v>
      </c>
      <c r="F76" s="162"/>
      <c r="H76" s="25"/>
      <c r="I76" s="57">
        <f t="shared" si="26"/>
        <v>4.9810719266786211E-3</v>
      </c>
      <c r="J76" s="57">
        <v>1749.3548931883499</v>
      </c>
      <c r="K76" s="25">
        <v>-369.06930000711998</v>
      </c>
      <c r="L76" s="25">
        <v>5423856.3488769103</v>
      </c>
      <c r="M76" s="25">
        <v>-2.2128385216835</v>
      </c>
      <c r="N76" s="25">
        <v>-269503.24793356902</v>
      </c>
      <c r="O76" s="25">
        <v>73145.021531826002</v>
      </c>
      <c r="P76" s="25">
        <v>5.34368649509278</v>
      </c>
      <c r="Q76" s="25">
        <f t="shared" si="21"/>
        <v>1.5382073754445016E-2</v>
      </c>
      <c r="R76" s="25">
        <f t="shared" si="27"/>
        <v>7.415324519602722E-4</v>
      </c>
      <c r="S76" s="25">
        <f t="shared" si="22"/>
        <v>0.50506222796037503</v>
      </c>
      <c r="T76" s="25">
        <f t="shared" si="28"/>
        <v>5.7608947592322864E-6</v>
      </c>
      <c r="U76" s="25">
        <f t="shared" si="23"/>
        <v>4.3767842262233791E-2</v>
      </c>
      <c r="W76" s="57">
        <v>308.14999999999998</v>
      </c>
      <c r="X76" s="57">
        <v>750.17</v>
      </c>
      <c r="Y76" s="60">
        <v>6.3E-2</v>
      </c>
      <c r="Z76" s="25">
        <f t="shared" si="29"/>
        <v>6.3471566438212085E-2</v>
      </c>
      <c r="AA76" s="25">
        <f t="shared" si="30"/>
        <v>0.74851815589219739</v>
      </c>
      <c r="AB76" s="25">
        <f t="shared" si="31"/>
        <v>0.74851815589219739</v>
      </c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>
        <f t="shared" si="24"/>
        <v>6.3758427949120927E-2</v>
      </c>
      <c r="AP76" s="25">
        <f t="shared" si="25"/>
        <v>1.2038538874935345</v>
      </c>
      <c r="AQ76" s="25">
        <f t="shared" si="32"/>
        <v>1.2038538874935345</v>
      </c>
      <c r="AR76" s="25">
        <f t="shared" si="33"/>
        <v>6.3018976247344871E-2</v>
      </c>
      <c r="AS76" s="25">
        <f t="shared" si="15"/>
        <v>3.0121027531540775E-2</v>
      </c>
      <c r="AT76" s="25">
        <f t="shared" si="34"/>
        <v>3.0121027531540775E-2</v>
      </c>
    </row>
    <row r="77" spans="1:46" x14ac:dyDescent="0.25">
      <c r="A77" t="s">
        <v>235</v>
      </c>
      <c r="B77" s="163">
        <v>298.15300000000002</v>
      </c>
      <c r="C77" s="55">
        <v>0.60450000000000004</v>
      </c>
      <c r="D77" s="55">
        <v>11.071999999999999</v>
      </c>
      <c r="E77" s="99">
        <v>1.4945E-2</v>
      </c>
      <c r="F77" s="164" t="s">
        <v>244</v>
      </c>
      <c r="H77">
        <f>1.16145/(W77*1.2593/304.1282)^0.14874 +0.52487*EXP(-0.7732*W77*1.2593/304.1282)+2.16178*EXP(-2.43787*W77*1.2593/304.1282)</f>
        <v>1.4342684744687657</v>
      </c>
      <c r="I77" s="8">
        <f t="shared" si="26"/>
        <v>4.9810719266786211E-3</v>
      </c>
      <c r="J77" s="8">
        <v>1749.3548931883499</v>
      </c>
      <c r="K77">
        <v>-369.06930000711998</v>
      </c>
      <c r="L77">
        <v>5423856.3488769103</v>
      </c>
      <c r="M77">
        <v>-2.2128385216835</v>
      </c>
      <c r="N77">
        <v>-269503.24793356902</v>
      </c>
      <c r="O77">
        <v>73145.021531826002</v>
      </c>
      <c r="P77">
        <v>5.34368649509278</v>
      </c>
      <c r="Q77">
        <f t="shared" si="21"/>
        <v>1.4905560500980491E-2</v>
      </c>
      <c r="R77">
        <f t="shared" si="27"/>
        <v>7.415324519602722E-4</v>
      </c>
      <c r="S77">
        <f t="shared" si="22"/>
        <v>0.45174004929330491</v>
      </c>
      <c r="T77">
        <f t="shared" si="28"/>
        <v>4.9930632614746562E-6</v>
      </c>
      <c r="U77">
        <f t="shared" si="23"/>
        <v>6.6749385814752561E-6</v>
      </c>
      <c r="W77" s="58">
        <v>298.15300000000002</v>
      </c>
      <c r="X77" s="8">
        <v>11.071999999999999</v>
      </c>
      <c r="Y77" s="73">
        <v>1.4945E-2</v>
      </c>
      <c r="Z77">
        <f>Q77+X77*T77+U77</f>
        <v>1.4967518635993014E-2</v>
      </c>
      <c r="AA77">
        <f t="shared" si="30"/>
        <v>0.150676721264733</v>
      </c>
      <c r="AB77">
        <f t="shared" si="31"/>
        <v>0.150676721264733</v>
      </c>
      <c r="AC77">
        <f xml:space="preserve"> (16.64*W77*SQRT(44.095)/(SQRT(195.2)*(3.941^2)))/10000</f>
        <v>1.5182189315058671E-2</v>
      </c>
      <c r="AD77">
        <f>100*(AC77-Y77)/Y77</f>
        <v>1.5870813988536008</v>
      </c>
      <c r="AE77">
        <f t="shared" ref="AE77:AE140" si="35">ABS(AD77)</f>
        <v>1.5870813988536008</v>
      </c>
      <c r="AF77">
        <f>((1-0.2756*0.225)*40.785*SQRT(W77*44.095)/(H77*94.11891^(2/3)))/10000</f>
        <v>1.4780798448710962E-2</v>
      </c>
      <c r="AG77">
        <f>100*(AF77-Y77)/Y77</f>
        <v>-1.0987055957781062</v>
      </c>
      <c r="AH77">
        <f t="shared" ref="AH77:AH140" si="36">ABS(AG77)</f>
        <v>1.0987055957781062</v>
      </c>
      <c r="AI77">
        <f>((0.807*(W77/304.1282)^0.618 -0.357*EXP(-0.449*W77/304.1282)+0.34*EXP(-4.058*W77/304.1282)+0.018)/(0.176*(304.1282/((73.773^4)*(44.095^3)))^(1/6)))/10000</f>
        <v>1.5141468877910926E-2</v>
      </c>
      <c r="AJ77">
        <f>100*(AI77-Y77)/Y77</f>
        <v>1.3146127662156322</v>
      </c>
      <c r="AK77">
        <f t="shared" ref="AK77:AK140" si="37">ABS(AJ77)</f>
        <v>1.3146127662156322</v>
      </c>
      <c r="AL77">
        <f>0.014901+(-1+(1.023+0.23364*X77/467.6+0.58553*(X77/467)^2-0.40758*(X77/467)^3+0.093324*(X77/467)^4)^4)/(10000*(304.1282/((72.80829^4)*(44.095^3)))^(1/6))</f>
        <v>1.5439086967478331E-2</v>
      </c>
      <c r="AM77">
        <f>100*(AL77-Y77)/Y77</f>
        <v>3.3060352457566498</v>
      </c>
      <c r="AN77">
        <f t="shared" ref="AN77:AN82" si="38">ABS(AM77)</f>
        <v>3.3060352457566498</v>
      </c>
      <c r="AP77" s="62"/>
      <c r="AQ77" s="62"/>
    </row>
    <row r="78" spans="1:46" x14ac:dyDescent="0.25">
      <c r="A78" t="s">
        <v>286</v>
      </c>
      <c r="B78" s="165">
        <v>298.15100000000001</v>
      </c>
      <c r="C78" s="55">
        <v>0.4985</v>
      </c>
      <c r="D78" s="55">
        <v>9.0779999999999994</v>
      </c>
      <c r="E78" s="101">
        <v>1.4929E-2</v>
      </c>
      <c r="F78" s="166" t="s">
        <v>245</v>
      </c>
      <c r="H78">
        <f t="shared" ref="H78:H141" si="39">1.16145/(W78*1.2593/304.1282)^0.14874 +0.52487*EXP(-0.7732*W78*1.2593/304.1282)+2.16178*EXP(-2.43787*W78*1.2593/304.1282)</f>
        <v>1.4342730433722493</v>
      </c>
      <c r="I78" s="8">
        <f t="shared" si="26"/>
        <v>4.9810719266786211E-3</v>
      </c>
      <c r="J78" s="8">
        <v>1749.3548931883499</v>
      </c>
      <c r="K78">
        <v>-369.06930000711998</v>
      </c>
      <c r="L78">
        <v>5423856.3488769103</v>
      </c>
      <c r="M78">
        <v>-2.2128385216835</v>
      </c>
      <c r="N78">
        <v>-269503.24793356902</v>
      </c>
      <c r="O78">
        <v>73145.021531826002</v>
      </c>
      <c r="P78">
        <v>5.34368649509278</v>
      </c>
      <c r="Q78">
        <f t="shared" si="21"/>
        <v>1.4905464921819956E-2</v>
      </c>
      <c r="R78">
        <f t="shared" si="27"/>
        <v>7.415324519602722E-4</v>
      </c>
      <c r="S78">
        <f t="shared" si="22"/>
        <v>0.45172836891198676</v>
      </c>
      <c r="T78">
        <f t="shared" si="28"/>
        <v>4.9929021424538305E-6</v>
      </c>
      <c r="U78">
        <f t="shared" si="23"/>
        <v>4.4825309963719348E-6</v>
      </c>
      <c r="W78" s="8">
        <v>298.15100000000001</v>
      </c>
      <c r="X78" s="8">
        <v>9.0779999999999994</v>
      </c>
      <c r="Y78" s="63">
        <v>1.4929E-2</v>
      </c>
      <c r="Z78">
        <f t="shared" ref="Z78:Z100" si="40">Q78+X78*T78+U78</f>
        <v>1.4955273018465524E-2</v>
      </c>
      <c r="AA78">
        <f t="shared" si="30"/>
        <v>0.17598645900947496</v>
      </c>
      <c r="AB78">
        <f t="shared" si="31"/>
        <v>0.17598645900947496</v>
      </c>
      <c r="AC78">
        <f t="shared" ref="AC78:AC141" si="41" xml:space="preserve"> (16.64*W78*SQRT(44.095)/(SQRT(195.2)*(3.941^2)))/10000</f>
        <v>1.5182087473458452E-2</v>
      </c>
      <c r="AD78">
        <f t="shared" ref="AD78:AD141" si="42">100*(AC78-Y78)/Y78</f>
        <v>1.6952741205603328</v>
      </c>
      <c r="AE78">
        <f t="shared" si="35"/>
        <v>1.6952741205603328</v>
      </c>
      <c r="AF78">
        <f t="shared" ref="AF78:AF141" si="43">((1-0.2756*0.225)*40.785*SQRT(W78*44.095)/(H78*94.11891^(2/3)))/10000</f>
        <v>1.4780701789735E-2</v>
      </c>
      <c r="AG78">
        <f t="shared" ref="AG78:AG141" si="44">100*(AF78-Y78)/Y78</f>
        <v>-0.99335662311608075</v>
      </c>
      <c r="AH78">
        <f t="shared" si="36"/>
        <v>0.99335662311608075</v>
      </c>
      <c r="AI78">
        <f t="shared" ref="AI78:AI141" si="45">((0.807*(W78/304.1282)^0.618 -0.357*EXP(-0.449*W78/304.1282)+0.34*EXP(-4.058*W78/304.1282)+0.018)/(0.176*(304.1282/((73.773^4)*(44.095^3)))^(1/6)))/10000</f>
        <v>1.5141371280266705E-2</v>
      </c>
      <c r="AJ78">
        <f t="shared" ref="AJ78:AJ141" si="46">100*(AI78-Y78)/Y78</f>
        <v>1.4225419001051984</v>
      </c>
      <c r="AK78">
        <f t="shared" si="37"/>
        <v>1.4225419001051984</v>
      </c>
      <c r="AL78">
        <f t="shared" ref="AL78:AL82" si="47">0.014901+(-1+(1.023+0.23364*X78/467.6+0.58553*(X78/467)^2-0.40758*(X78/467)^3+0.093324*(X78/467)^4)^4)/(10000*(304.1282/((72.80829^4)*(44.095^3)))^(1/6))</f>
        <v>1.541769145838711E-2</v>
      </c>
      <c r="AM78">
        <f t="shared" ref="AM78:AM82" si="48">100*(AL78-Y78)/Y78</f>
        <v>3.2734373259234424</v>
      </c>
      <c r="AN78">
        <f t="shared" si="38"/>
        <v>3.2734373259234424</v>
      </c>
    </row>
    <row r="79" spans="1:46" x14ac:dyDescent="0.25">
      <c r="A79" t="s">
        <v>207</v>
      </c>
      <c r="B79" s="165">
        <v>298.15100000000001</v>
      </c>
      <c r="C79" s="55">
        <v>0.40289999999999998</v>
      </c>
      <c r="D79" s="55">
        <v>7.3</v>
      </c>
      <c r="E79" s="101">
        <v>1.4918000000000001E-2</v>
      </c>
      <c r="F79" s="166"/>
      <c r="H79">
        <f t="shared" si="39"/>
        <v>1.4342730433722493</v>
      </c>
      <c r="I79" s="8">
        <f t="shared" si="26"/>
        <v>4.9810719266786211E-3</v>
      </c>
      <c r="J79" s="8">
        <v>1749.3548931883499</v>
      </c>
      <c r="K79">
        <v>-369.06930000711998</v>
      </c>
      <c r="L79">
        <v>5423856.3488769103</v>
      </c>
      <c r="M79">
        <v>-2.2128385216835</v>
      </c>
      <c r="N79">
        <v>-269503.24793356902</v>
      </c>
      <c r="O79">
        <v>73145.021531826002</v>
      </c>
      <c r="P79">
        <v>5.34368649509278</v>
      </c>
      <c r="Q79">
        <f t="shared" si="21"/>
        <v>1.4905464921819956E-2</v>
      </c>
      <c r="R79">
        <f t="shared" si="27"/>
        <v>7.415324519602722E-4</v>
      </c>
      <c r="S79">
        <f t="shared" si="22"/>
        <v>0.45172836891198676</v>
      </c>
      <c r="T79">
        <f t="shared" si="28"/>
        <v>4.9929021424538305E-6</v>
      </c>
      <c r="U79">
        <f t="shared" si="23"/>
        <v>2.8958912647214368E-6</v>
      </c>
      <c r="W79" s="8">
        <v>298.15100000000001</v>
      </c>
      <c r="X79" s="8">
        <v>7.3</v>
      </c>
      <c r="Y79" s="63">
        <v>1.4918000000000001E-2</v>
      </c>
      <c r="Z79">
        <f t="shared" si="40"/>
        <v>1.494480899872459E-2</v>
      </c>
      <c r="AA79">
        <f t="shared" si="30"/>
        <v>0.17970906773420586</v>
      </c>
      <c r="AB79">
        <f t="shared" si="31"/>
        <v>0.17970906773420586</v>
      </c>
      <c r="AC79">
        <f t="shared" si="41"/>
        <v>1.5182087473458452E-2</v>
      </c>
      <c r="AD79">
        <f t="shared" si="42"/>
        <v>1.770260580898585</v>
      </c>
      <c r="AE79">
        <f t="shared" si="35"/>
        <v>1.770260580898585</v>
      </c>
      <c r="AF79">
        <f t="shared" si="43"/>
        <v>1.4780701789735E-2</v>
      </c>
      <c r="AG79">
        <f t="shared" si="44"/>
        <v>-0.92035266299102314</v>
      </c>
      <c r="AH79">
        <f t="shared" si="36"/>
        <v>0.92035266299102314</v>
      </c>
      <c r="AI79">
        <f t="shared" si="45"/>
        <v>1.5141371280266705E-2</v>
      </c>
      <c r="AJ79">
        <f t="shared" si="46"/>
        <v>1.4973272574520975</v>
      </c>
      <c r="AK79">
        <f t="shared" si="37"/>
        <v>1.4973272574520975</v>
      </c>
      <c r="AL79">
        <f t="shared" si="47"/>
        <v>1.539900555686009E-2</v>
      </c>
      <c r="AM79">
        <f t="shared" si="48"/>
        <v>3.2243300500072993</v>
      </c>
      <c r="AN79">
        <f t="shared" si="38"/>
        <v>3.2243300500072993</v>
      </c>
    </row>
    <row r="80" spans="1:46" x14ac:dyDescent="0.25">
      <c r="B80" s="165">
        <v>298.15199999999999</v>
      </c>
      <c r="C80" s="55">
        <v>0.30330000000000001</v>
      </c>
      <c r="D80" s="55">
        <v>5.4669999999999996</v>
      </c>
      <c r="E80" s="101">
        <v>1.4911000000000001E-2</v>
      </c>
      <c r="F80" s="167" t="s">
        <v>304</v>
      </c>
      <c r="H80">
        <f t="shared" si="39"/>
        <v>1.4342707589129593</v>
      </c>
      <c r="I80" s="8">
        <f t="shared" si="26"/>
        <v>4.9810719266786211E-3</v>
      </c>
      <c r="J80" s="8">
        <v>1749.3548931883499</v>
      </c>
      <c r="K80">
        <v>-369.06930000711998</v>
      </c>
      <c r="L80">
        <v>5423856.3488769103</v>
      </c>
      <c r="M80">
        <v>-2.2128385216835</v>
      </c>
      <c r="N80">
        <v>-269503.24793356902</v>
      </c>
      <c r="O80">
        <v>73145.021531826002</v>
      </c>
      <c r="P80">
        <v>5.34368649509278</v>
      </c>
      <c r="Q80">
        <f t="shared" si="21"/>
        <v>1.4905512711412284E-2</v>
      </c>
      <c r="R80">
        <f t="shared" si="27"/>
        <v>7.415324519602722E-4</v>
      </c>
      <c r="S80">
        <f t="shared" si="22"/>
        <v>0.45173420915659279</v>
      </c>
      <c r="T80">
        <f t="shared" si="28"/>
        <v>4.9929827023575932E-6</v>
      </c>
      <c r="U80">
        <f t="shared" si="23"/>
        <v>1.6226083451434232E-6</v>
      </c>
      <c r="W80" s="8">
        <v>298.15199999999999</v>
      </c>
      <c r="X80" s="8">
        <v>5.4669999999999996</v>
      </c>
      <c r="Y80" s="63">
        <v>1.4911000000000001E-2</v>
      </c>
      <c r="Z80">
        <f t="shared" si="40"/>
        <v>1.4934431956191216E-2</v>
      </c>
      <c r="AA80">
        <f t="shared" si="30"/>
        <v>0.15714543753749305</v>
      </c>
      <c r="AB80">
        <f t="shared" si="31"/>
        <v>0.15714543753749305</v>
      </c>
      <c r="AC80">
        <f t="shared" si="41"/>
        <v>1.5182138394258558E-2</v>
      </c>
      <c r="AD80">
        <f t="shared" si="42"/>
        <v>1.81837833987363</v>
      </c>
      <c r="AE80">
        <f t="shared" si="35"/>
        <v>1.81837833987363</v>
      </c>
      <c r="AF80">
        <f t="shared" si="43"/>
        <v>1.4780750119244575E-2</v>
      </c>
      <c r="AG80">
        <f t="shared" si="44"/>
        <v>-0.87351539638807507</v>
      </c>
      <c r="AH80">
        <f t="shared" si="36"/>
        <v>0.87351539638807507</v>
      </c>
      <c r="AI80">
        <f t="shared" si="45"/>
        <v>1.5141420079107817E-2</v>
      </c>
      <c r="AJ80">
        <f t="shared" si="46"/>
        <v>1.5453026564805583</v>
      </c>
      <c r="AK80">
        <f t="shared" si="37"/>
        <v>1.5453026564805583</v>
      </c>
      <c r="AL80">
        <f t="shared" si="47"/>
        <v>1.5380128222188824E-2</v>
      </c>
      <c r="AM80">
        <f t="shared" si="48"/>
        <v>3.1461888685455288</v>
      </c>
      <c r="AN80">
        <f t="shared" si="38"/>
        <v>3.1461888685455288</v>
      </c>
    </row>
    <row r="81" spans="1:40" x14ac:dyDescent="0.25">
      <c r="B81" s="165">
        <v>298.15199999999999</v>
      </c>
      <c r="C81" s="55">
        <v>0.2046</v>
      </c>
      <c r="D81" s="55">
        <v>3.67</v>
      </c>
      <c r="E81" s="101">
        <v>1.4903E-2</v>
      </c>
      <c r="F81" s="166" t="s">
        <v>308</v>
      </c>
      <c r="H81">
        <f t="shared" si="39"/>
        <v>1.4342707589129593</v>
      </c>
      <c r="I81" s="8">
        <f t="shared" si="26"/>
        <v>4.9810719266786211E-3</v>
      </c>
      <c r="J81" s="8">
        <v>1749.3548931883499</v>
      </c>
      <c r="K81">
        <v>-369.06930000711998</v>
      </c>
      <c r="L81">
        <v>5423856.3488769103</v>
      </c>
      <c r="M81">
        <v>-2.2128385216835</v>
      </c>
      <c r="N81">
        <v>-269503.24793356902</v>
      </c>
      <c r="O81">
        <v>73145.021531826002</v>
      </c>
      <c r="P81">
        <v>5.34368649509278</v>
      </c>
      <c r="Q81">
        <f t="shared" si="21"/>
        <v>1.4905512711412284E-2</v>
      </c>
      <c r="R81">
        <f t="shared" si="27"/>
        <v>7.415324519602722E-4</v>
      </c>
      <c r="S81">
        <f t="shared" si="22"/>
        <v>0.45173420915659279</v>
      </c>
      <c r="T81">
        <f t="shared" si="28"/>
        <v>4.9929827023575932E-6</v>
      </c>
      <c r="U81">
        <f t="shared" si="23"/>
        <v>7.3052678138335355E-7</v>
      </c>
      <c r="W81" s="8">
        <v>298.15199999999999</v>
      </c>
      <c r="X81" s="8">
        <v>3.67</v>
      </c>
      <c r="Y81" s="63">
        <v>1.4903E-2</v>
      </c>
      <c r="Z81">
        <f t="shared" si="40"/>
        <v>1.4924567484711319E-2</v>
      </c>
      <c r="AA81">
        <f t="shared" si="30"/>
        <v>0.14471908146896467</v>
      </c>
      <c r="AB81">
        <f t="shared" si="31"/>
        <v>0.14471908146896467</v>
      </c>
      <c r="AC81">
        <f t="shared" si="41"/>
        <v>1.5182138394258558E-2</v>
      </c>
      <c r="AD81">
        <f t="shared" si="42"/>
        <v>1.8730349208787362</v>
      </c>
      <c r="AE81">
        <f t="shared" si="35"/>
        <v>1.8730349208787362</v>
      </c>
      <c r="AF81">
        <f t="shared" si="43"/>
        <v>1.4780750119244575E-2</v>
      </c>
      <c r="AG81">
        <f t="shared" si="44"/>
        <v>-0.82030383651227812</v>
      </c>
      <c r="AH81">
        <f t="shared" si="36"/>
        <v>0.82030383651227812</v>
      </c>
      <c r="AI81">
        <f t="shared" si="45"/>
        <v>1.5141420079107817E-2</v>
      </c>
      <c r="AJ81">
        <f t="shared" si="46"/>
        <v>1.5998126491835007</v>
      </c>
      <c r="AK81">
        <f t="shared" si="37"/>
        <v>1.5998126491835007</v>
      </c>
      <c r="AL81">
        <f t="shared" si="47"/>
        <v>1.5362002451430682E-2</v>
      </c>
      <c r="AM81">
        <f t="shared" si="48"/>
        <v>3.079933244519109</v>
      </c>
      <c r="AN81">
        <f t="shared" si="38"/>
        <v>3.079933244519109</v>
      </c>
    </row>
    <row r="82" spans="1:40" x14ac:dyDescent="0.25">
      <c r="B82" s="168">
        <v>298.15100000000001</v>
      </c>
      <c r="C82" s="103">
        <v>0.1008</v>
      </c>
      <c r="D82" s="103">
        <v>1.7989999999999999</v>
      </c>
      <c r="E82" s="104">
        <v>1.4900999999999999E-2</v>
      </c>
      <c r="F82" s="166" t="s">
        <v>307</v>
      </c>
      <c r="H82">
        <f t="shared" si="39"/>
        <v>1.4342730433722493</v>
      </c>
      <c r="I82" s="8">
        <f t="shared" si="26"/>
        <v>4.9810719266786211E-3</v>
      </c>
      <c r="J82" s="8">
        <v>1749.3548931883499</v>
      </c>
      <c r="K82">
        <v>-369.06930000711998</v>
      </c>
      <c r="L82">
        <v>5423856.3488769103</v>
      </c>
      <c r="M82">
        <v>-2.2128385216835</v>
      </c>
      <c r="N82">
        <v>-269503.24793356902</v>
      </c>
      <c r="O82">
        <v>73145.021531826002</v>
      </c>
      <c r="P82">
        <v>5.34368649509278</v>
      </c>
      <c r="Q82">
        <f t="shared" si="21"/>
        <v>1.4905464921819956E-2</v>
      </c>
      <c r="R82">
        <f t="shared" si="27"/>
        <v>7.415324519602722E-4</v>
      </c>
      <c r="S82">
        <f t="shared" si="22"/>
        <v>0.45172836891198676</v>
      </c>
      <c r="T82">
        <f t="shared" si="28"/>
        <v>4.9929021424538305E-6</v>
      </c>
      <c r="U82">
        <f t="shared" si="23"/>
        <v>1.75363428965278E-7</v>
      </c>
      <c r="W82" s="57">
        <v>298.15100000000001</v>
      </c>
      <c r="X82" s="57">
        <v>1.7989999999999999</v>
      </c>
      <c r="Y82" s="64">
        <v>1.4900999999999999E-2</v>
      </c>
      <c r="Z82" s="25">
        <f t="shared" si="40"/>
        <v>1.4914622516203195E-2</v>
      </c>
      <c r="AA82" s="25">
        <f t="shared" si="30"/>
        <v>9.1420147662546816E-2</v>
      </c>
      <c r="AB82" s="25">
        <f t="shared" si="31"/>
        <v>9.1420147662546816E-2</v>
      </c>
      <c r="AC82" s="25">
        <f t="shared" si="41"/>
        <v>1.5182087473458452E-2</v>
      </c>
      <c r="AD82" s="25">
        <f t="shared" si="42"/>
        <v>1.8863665086803054</v>
      </c>
      <c r="AE82" s="25">
        <f t="shared" si="35"/>
        <v>1.8863665086803054</v>
      </c>
      <c r="AF82" s="25">
        <f t="shared" si="43"/>
        <v>1.4780701789735E-2</v>
      </c>
      <c r="AG82" s="25">
        <f t="shared" si="44"/>
        <v>-0.80731635638547372</v>
      </c>
      <c r="AH82" s="25">
        <f t="shared" si="36"/>
        <v>0.80731635638547372</v>
      </c>
      <c r="AI82" s="25">
        <f t="shared" si="45"/>
        <v>1.5141371280266705E-2</v>
      </c>
      <c r="AJ82" s="25">
        <f t="shared" si="46"/>
        <v>1.6131218056956267</v>
      </c>
      <c r="AK82" s="25">
        <f t="shared" si="37"/>
        <v>1.6131218056956267</v>
      </c>
      <c r="AL82" s="25">
        <f t="shared" si="47"/>
        <v>1.5343530765759171E-2</v>
      </c>
      <c r="AM82" s="25">
        <f t="shared" si="48"/>
        <v>2.9698058234962175</v>
      </c>
      <c r="AN82" s="25">
        <f t="shared" si="38"/>
        <v>2.9698058234962175</v>
      </c>
    </row>
    <row r="83" spans="1:40" x14ac:dyDescent="0.25">
      <c r="A83" t="s">
        <v>236</v>
      </c>
      <c r="B83" s="165">
        <v>323.15899999999999</v>
      </c>
      <c r="C83" s="55">
        <v>0.59870000000000001</v>
      </c>
      <c r="D83" s="55">
        <v>10.037000000000001</v>
      </c>
      <c r="E83" s="101">
        <v>1.6128E-2</v>
      </c>
      <c r="F83" s="166"/>
      <c r="H83">
        <f t="shared" si="39"/>
        <v>1.3815400054027087</v>
      </c>
      <c r="I83" s="8">
        <f t="shared" si="26"/>
        <v>4.9810719266786211E-3</v>
      </c>
      <c r="J83" s="8">
        <v>1749.3548931883499</v>
      </c>
      <c r="K83">
        <v>-369.06930000711998</v>
      </c>
      <c r="L83">
        <v>5423856.3488769103</v>
      </c>
      <c r="M83">
        <v>-2.2128385216835</v>
      </c>
      <c r="N83">
        <v>-269503.24793356902</v>
      </c>
      <c r="O83">
        <v>73145.021531826002</v>
      </c>
      <c r="P83">
        <v>5.34368649509278</v>
      </c>
      <c r="Q83">
        <f t="shared" si="21"/>
        <v>1.6092545594289655E-2</v>
      </c>
      <c r="R83">
        <f t="shared" si="27"/>
        <v>7.415324519602722E-4</v>
      </c>
      <c r="S83">
        <f t="shared" si="22"/>
        <v>0.56860497196952853</v>
      </c>
      <c r="T83">
        <f t="shared" si="28"/>
        <v>6.7852454604275145E-6</v>
      </c>
      <c r="U83">
        <f t="shared" si="23"/>
        <v>5.0253640743347899E-6</v>
      </c>
      <c r="W83" s="8">
        <v>323.15899999999999</v>
      </c>
      <c r="X83" s="8">
        <v>10.037000000000001</v>
      </c>
      <c r="Y83" s="63">
        <v>1.6128E-2</v>
      </c>
      <c r="Z83">
        <f t="shared" si="40"/>
        <v>1.6165674467050303E-2</v>
      </c>
      <c r="AA83">
        <f t="shared" si="30"/>
        <v>0.23359664589721379</v>
      </c>
      <c r="AB83">
        <f t="shared" si="31"/>
        <v>0.23359664589721379</v>
      </c>
      <c r="AC83">
        <f t="shared" si="41"/>
        <v>1.6455514842597739E-2</v>
      </c>
      <c r="AD83">
        <f t="shared" si="42"/>
        <v>2.0307219903133622</v>
      </c>
      <c r="AE83">
        <f t="shared" si="35"/>
        <v>2.0307219903133622</v>
      </c>
      <c r="AF83">
        <f t="shared" si="43"/>
        <v>1.5975461696486584E-2</v>
      </c>
      <c r="AG83">
        <f t="shared" si="44"/>
        <v>-0.94579801285600484</v>
      </c>
      <c r="AH83">
        <f t="shared" si="36"/>
        <v>0.94579801285600484</v>
      </c>
      <c r="AI83">
        <f t="shared" si="45"/>
        <v>1.6349592131881953E-2</v>
      </c>
      <c r="AJ83">
        <f t="shared" si="46"/>
        <v>1.3739591510537754</v>
      </c>
      <c r="AK83">
        <f t="shared" si="37"/>
        <v>1.3739591510537754</v>
      </c>
      <c r="AL83">
        <f>0.016078+(-1+(1.023+0.23364*X83/467.6+0.58553*(X83/467)^2-0.40758*(X83/467)^3+0.093324*(X83/467)^4)^4)/(10000*(304.1282/((72.80829^4)*(44.095^3)))^(1/6))</f>
        <v>1.66049234503284E-2</v>
      </c>
      <c r="AM83">
        <f t="shared" ref="AM83:AM89" si="49">100*(AL83-Y83)/Y83</f>
        <v>2.9571146473735133</v>
      </c>
      <c r="AN83">
        <f t="shared" ref="AN83:AN89" si="50">ABS(AM83)</f>
        <v>2.9571146473735133</v>
      </c>
    </row>
    <row r="84" spans="1:40" x14ac:dyDescent="0.25">
      <c r="A84" t="s">
        <v>285</v>
      </c>
      <c r="B84" s="165">
        <v>323.16000000000003</v>
      </c>
      <c r="C84" s="55">
        <v>0.50039999999999996</v>
      </c>
      <c r="D84" s="55">
        <v>8.3559999999999999</v>
      </c>
      <c r="E84" s="101">
        <v>1.6115999999999998E-2</v>
      </c>
      <c r="F84" s="166"/>
      <c r="H84">
        <f t="shared" si="39"/>
        <v>1.3815380603976735</v>
      </c>
      <c r="I84" s="8">
        <f t="shared" si="26"/>
        <v>4.9810719266786211E-3</v>
      </c>
      <c r="J84" s="8">
        <v>1749.3548931883499</v>
      </c>
      <c r="K84">
        <v>-369.06930000711998</v>
      </c>
      <c r="L84">
        <v>5423856.3488769103</v>
      </c>
      <c r="M84">
        <v>-2.2128385216835</v>
      </c>
      <c r="N84">
        <v>-269503.24793356902</v>
      </c>
      <c r="O84">
        <v>73145.021531826002</v>
      </c>
      <c r="P84">
        <v>5.34368649509278</v>
      </c>
      <c r="Q84">
        <f t="shared" si="21"/>
        <v>1.6092592722420817E-2</v>
      </c>
      <c r="R84">
        <f t="shared" si="27"/>
        <v>7.415324519602722E-4</v>
      </c>
      <c r="S84">
        <f t="shared" si="22"/>
        <v>0.56860863360141678</v>
      </c>
      <c r="T84">
        <f t="shared" si="28"/>
        <v>6.785309026398914E-6</v>
      </c>
      <c r="U84">
        <f t="shared" si="23"/>
        <v>3.4793727242678122E-6</v>
      </c>
      <c r="W84" s="8">
        <v>323.16000000000003</v>
      </c>
      <c r="X84" s="8">
        <v>8.3559999999999999</v>
      </c>
      <c r="Y84" s="63">
        <v>1.6115999999999998E-2</v>
      </c>
      <c r="Z84">
        <f t="shared" si="40"/>
        <v>1.6152770137369675E-2</v>
      </c>
      <c r="AA84">
        <f t="shared" si="30"/>
        <v>0.22815920432909287</v>
      </c>
      <c r="AB84">
        <f t="shared" si="31"/>
        <v>0.22815920432909287</v>
      </c>
      <c r="AC84">
        <f t="shared" si="41"/>
        <v>1.6455565763397854E-2</v>
      </c>
      <c r="AD84">
        <f t="shared" si="42"/>
        <v>2.1070101973061268</v>
      </c>
      <c r="AE84">
        <f t="shared" si="35"/>
        <v>2.1070101973061268</v>
      </c>
      <c r="AF84">
        <f t="shared" si="43"/>
        <v>1.5975508905282574E-2</v>
      </c>
      <c r="AG84">
        <f t="shared" si="44"/>
        <v>-0.87174916056977181</v>
      </c>
      <c r="AH84">
        <f t="shared" si="36"/>
        <v>0.87174916056977181</v>
      </c>
      <c r="AI84">
        <f t="shared" si="45"/>
        <v>1.6349639951226125E-2</v>
      </c>
      <c r="AJ84">
        <f t="shared" si="46"/>
        <v>1.4497390867841053</v>
      </c>
      <c r="AK84">
        <f t="shared" si="37"/>
        <v>1.4497390867841053</v>
      </c>
      <c r="AL84">
        <f t="shared" ref="AL84:AL89" si="51">0.016078+(-1+(1.023+0.23364*X84/467.6+0.58553*(X84/467)^2-0.40758*(X84/467)^3+0.093324*(X84/467)^4)^4)/(10000*(304.1282/((72.80829^4)*(44.095^3)))^(1/6))</f>
        <v>1.6587059051606061E-2</v>
      </c>
      <c r="AM84">
        <f t="shared" si="49"/>
        <v>2.9229278456568788</v>
      </c>
      <c r="AN84">
        <f t="shared" si="50"/>
        <v>2.9229278456568788</v>
      </c>
    </row>
    <row r="85" spans="1:40" x14ac:dyDescent="0.25">
      <c r="B85" s="165">
        <v>323.15899999999999</v>
      </c>
      <c r="C85" s="55">
        <v>0.4007</v>
      </c>
      <c r="D85" s="55">
        <v>6.665</v>
      </c>
      <c r="E85" s="101">
        <v>1.6104E-2</v>
      </c>
      <c r="F85" s="166"/>
      <c r="H85">
        <f t="shared" si="39"/>
        <v>1.3815400054027087</v>
      </c>
      <c r="I85" s="8">
        <f t="shared" si="26"/>
        <v>4.9810719266786211E-3</v>
      </c>
      <c r="J85" s="8">
        <v>1749.3548931883499</v>
      </c>
      <c r="K85">
        <v>-369.06930000711998</v>
      </c>
      <c r="L85">
        <v>5423856.3488769103</v>
      </c>
      <c r="M85">
        <v>-2.2128385216835</v>
      </c>
      <c r="N85">
        <v>-269503.24793356902</v>
      </c>
      <c r="O85">
        <v>73145.021531826002</v>
      </c>
      <c r="P85">
        <v>5.34368649509278</v>
      </c>
      <c r="Q85">
        <f t="shared" si="21"/>
        <v>1.6092545594289655E-2</v>
      </c>
      <c r="R85">
        <f t="shared" si="27"/>
        <v>7.415324519602722E-4</v>
      </c>
      <c r="S85">
        <f t="shared" si="22"/>
        <v>0.56860497196952853</v>
      </c>
      <c r="T85">
        <f t="shared" si="28"/>
        <v>6.7852454604275145E-6</v>
      </c>
      <c r="U85">
        <f t="shared" si="23"/>
        <v>2.2113043730081895E-6</v>
      </c>
      <c r="W85" s="8">
        <v>323.15899999999999</v>
      </c>
      <c r="X85" s="8">
        <v>6.665</v>
      </c>
      <c r="Y85" s="63">
        <v>1.6104E-2</v>
      </c>
      <c r="Z85">
        <f t="shared" si="40"/>
        <v>1.6139980559656413E-2</v>
      </c>
      <c r="AA85">
        <f t="shared" si="30"/>
        <v>0.22342622737464554</v>
      </c>
      <c r="AB85">
        <f t="shared" si="31"/>
        <v>0.22342622737464554</v>
      </c>
      <c r="AC85">
        <f t="shared" si="41"/>
        <v>1.6455514842597739E-2</v>
      </c>
      <c r="AD85">
        <f t="shared" si="42"/>
        <v>2.1827796981975833</v>
      </c>
      <c r="AE85">
        <f t="shared" si="35"/>
        <v>2.1827796981975833</v>
      </c>
      <c r="AF85">
        <f t="shared" si="43"/>
        <v>1.5975461696486584E-2</v>
      </c>
      <c r="AG85">
        <f t="shared" si="44"/>
        <v>-0.79817625132524062</v>
      </c>
      <c r="AH85">
        <f t="shared" si="36"/>
        <v>0.79817625132524062</v>
      </c>
      <c r="AI85">
        <f t="shared" si="45"/>
        <v>1.6349592131881953E-2</v>
      </c>
      <c r="AJ85">
        <f t="shared" si="46"/>
        <v>1.5250380767632428</v>
      </c>
      <c r="AK85">
        <f t="shared" si="37"/>
        <v>1.5250380767632428</v>
      </c>
      <c r="AL85">
        <f t="shared" si="51"/>
        <v>1.6569421524115096E-2</v>
      </c>
      <c r="AM85">
        <f t="shared" si="49"/>
        <v>2.8900988829799781</v>
      </c>
      <c r="AN85">
        <f t="shared" si="50"/>
        <v>2.8900988829799781</v>
      </c>
    </row>
    <row r="86" spans="1:40" x14ac:dyDescent="0.25">
      <c r="B86" s="165">
        <v>323.16000000000003</v>
      </c>
      <c r="C86" s="55">
        <v>0.3049</v>
      </c>
      <c r="D86" s="55">
        <v>5.0529999999999999</v>
      </c>
      <c r="E86" s="101">
        <v>1.6098999999999999E-2</v>
      </c>
      <c r="F86" s="166"/>
      <c r="H86">
        <f t="shared" si="39"/>
        <v>1.3815380603976735</v>
      </c>
      <c r="I86" s="8">
        <f t="shared" si="26"/>
        <v>4.9810719266786211E-3</v>
      </c>
      <c r="J86" s="8">
        <v>1749.3548931883499</v>
      </c>
      <c r="K86">
        <v>-369.06930000711998</v>
      </c>
      <c r="L86">
        <v>5423856.3488769103</v>
      </c>
      <c r="M86">
        <v>-2.2128385216835</v>
      </c>
      <c r="N86">
        <v>-269503.24793356902</v>
      </c>
      <c r="O86">
        <v>73145.021531826002</v>
      </c>
      <c r="P86">
        <v>5.34368649509278</v>
      </c>
      <c r="Q86">
        <f t="shared" si="21"/>
        <v>1.6092592722420817E-2</v>
      </c>
      <c r="R86">
        <f t="shared" si="27"/>
        <v>7.415324519602722E-4</v>
      </c>
      <c r="S86">
        <f t="shared" si="22"/>
        <v>0.56860863360141678</v>
      </c>
      <c r="T86">
        <f t="shared" si="28"/>
        <v>6.785309026398914E-6</v>
      </c>
      <c r="U86">
        <f t="shared" si="23"/>
        <v>1.2697229009294746E-6</v>
      </c>
      <c r="W86" s="8">
        <v>323.16000000000003</v>
      </c>
      <c r="X86" s="8">
        <v>5.0529999999999999</v>
      </c>
      <c r="Y86" s="63">
        <v>1.6098999999999999E-2</v>
      </c>
      <c r="Z86">
        <f t="shared" si="40"/>
        <v>1.6128148611832139E-2</v>
      </c>
      <c r="AA86">
        <f t="shared" si="30"/>
        <v>0.18105852433157452</v>
      </c>
      <c r="AB86">
        <f t="shared" si="31"/>
        <v>0.18105852433157452</v>
      </c>
      <c r="AC86">
        <f t="shared" si="41"/>
        <v>1.6455565763397854E-2</v>
      </c>
      <c r="AD86">
        <f t="shared" si="42"/>
        <v>2.2148317497848007</v>
      </c>
      <c r="AE86">
        <f t="shared" si="35"/>
        <v>2.2148317497848007</v>
      </c>
      <c r="AF86">
        <f t="shared" si="43"/>
        <v>1.5975508905282574E-2</v>
      </c>
      <c r="AG86">
        <f t="shared" si="44"/>
        <v>-0.76707307731799967</v>
      </c>
      <c r="AH86">
        <f t="shared" si="36"/>
        <v>0.76707307731799967</v>
      </c>
      <c r="AI86">
        <f t="shared" si="45"/>
        <v>1.6349639951226125E-2</v>
      </c>
      <c r="AJ86">
        <f t="shared" si="46"/>
        <v>1.5568665831798627</v>
      </c>
      <c r="AK86">
        <f t="shared" si="37"/>
        <v>1.5568665831798627</v>
      </c>
      <c r="AL86">
        <f t="shared" si="51"/>
        <v>1.655291891502346E-2</v>
      </c>
      <c r="AM86">
        <f t="shared" si="49"/>
        <v>2.8195472701625</v>
      </c>
      <c r="AN86">
        <f t="shared" si="50"/>
        <v>2.8195472701625</v>
      </c>
    </row>
    <row r="87" spans="1:40" x14ac:dyDescent="0.25">
      <c r="B87" s="165">
        <v>323.15899999999999</v>
      </c>
      <c r="C87" s="55">
        <v>0.2009</v>
      </c>
      <c r="D87" s="55">
        <v>3.3159999999999998</v>
      </c>
      <c r="E87" s="101">
        <v>1.6088000000000002E-2</v>
      </c>
      <c r="F87" s="166"/>
      <c r="H87">
        <f t="shared" si="39"/>
        <v>1.3815400054027087</v>
      </c>
      <c r="I87" s="8">
        <f t="shared" si="26"/>
        <v>4.9810719266786211E-3</v>
      </c>
      <c r="J87" s="8">
        <v>1749.3548931883499</v>
      </c>
      <c r="K87">
        <v>-369.06930000711998</v>
      </c>
      <c r="L87">
        <v>5423856.3488769103</v>
      </c>
      <c r="M87">
        <v>-2.2128385216835</v>
      </c>
      <c r="N87">
        <v>-269503.24793356902</v>
      </c>
      <c r="O87">
        <v>73145.021531826002</v>
      </c>
      <c r="P87">
        <v>5.34368649509278</v>
      </c>
      <c r="Q87">
        <f t="shared" si="21"/>
        <v>1.6092545594289655E-2</v>
      </c>
      <c r="R87">
        <f t="shared" si="27"/>
        <v>7.415324519602722E-4</v>
      </c>
      <c r="S87">
        <f t="shared" si="22"/>
        <v>0.56860497196952853</v>
      </c>
      <c r="T87">
        <f t="shared" si="28"/>
        <v>6.7852454604275145E-6</v>
      </c>
      <c r="U87">
        <f t="shared" si="23"/>
        <v>5.4622316644318873E-7</v>
      </c>
      <c r="W87" s="8">
        <v>323.15899999999999</v>
      </c>
      <c r="X87" s="8">
        <v>3.3159999999999998</v>
      </c>
      <c r="Y87" s="63">
        <v>1.6088000000000002E-2</v>
      </c>
      <c r="Z87">
        <f t="shared" si="40"/>
        <v>1.6115591691402878E-2</v>
      </c>
      <c r="AA87">
        <f t="shared" si="30"/>
        <v>0.17150479489604886</v>
      </c>
      <c r="AB87">
        <f t="shared" si="31"/>
        <v>0.17150479489604886</v>
      </c>
      <c r="AC87">
        <f t="shared" si="41"/>
        <v>1.6455514842597739E-2</v>
      </c>
      <c r="AD87">
        <f t="shared" si="42"/>
        <v>2.2844035467288504</v>
      </c>
      <c r="AE87">
        <f t="shared" si="35"/>
        <v>2.2844035467288504</v>
      </c>
      <c r="AF87">
        <f t="shared" si="43"/>
        <v>1.5975461696486584E-2</v>
      </c>
      <c r="AG87">
        <f t="shared" si="44"/>
        <v>-0.69951705316644752</v>
      </c>
      <c r="AH87">
        <f t="shared" si="36"/>
        <v>0.69951705316644752</v>
      </c>
      <c r="AI87">
        <f t="shared" si="45"/>
        <v>1.6349592131881953E-2</v>
      </c>
      <c r="AJ87">
        <f t="shared" si="46"/>
        <v>1.6260077814641425</v>
      </c>
      <c r="AK87">
        <f t="shared" si="37"/>
        <v>1.6260077814641425</v>
      </c>
      <c r="AL87">
        <f t="shared" si="51"/>
        <v>1.6535476205949983E-2</v>
      </c>
      <c r="AM87">
        <f t="shared" si="49"/>
        <v>2.7814284308178858</v>
      </c>
      <c r="AN87">
        <f t="shared" si="50"/>
        <v>2.7814284308178858</v>
      </c>
    </row>
    <row r="88" spans="1:40" x14ac:dyDescent="0.25">
      <c r="B88" s="165">
        <v>323.15899999999999</v>
      </c>
      <c r="C88" s="55">
        <v>0.15160000000000001</v>
      </c>
      <c r="D88" s="55">
        <v>2.4969999999999999</v>
      </c>
      <c r="E88" s="101">
        <v>1.6079E-2</v>
      </c>
      <c r="F88" s="166"/>
      <c r="H88">
        <f t="shared" si="39"/>
        <v>1.3815400054027087</v>
      </c>
      <c r="I88" s="8">
        <f t="shared" si="26"/>
        <v>4.9810719266786211E-3</v>
      </c>
      <c r="J88" s="8">
        <v>1749.3548931883499</v>
      </c>
      <c r="K88">
        <v>-369.06930000711998</v>
      </c>
      <c r="L88">
        <v>5423856.3488769103</v>
      </c>
      <c r="M88">
        <v>-2.2128385216835</v>
      </c>
      <c r="N88">
        <v>-269503.24793356902</v>
      </c>
      <c r="O88">
        <v>73145.021531826002</v>
      </c>
      <c r="P88">
        <v>5.34368649509278</v>
      </c>
      <c r="Q88">
        <f t="shared" si="21"/>
        <v>1.6092545594289655E-2</v>
      </c>
      <c r="R88">
        <f t="shared" si="27"/>
        <v>7.415324519602722E-4</v>
      </c>
      <c r="S88">
        <f t="shared" si="22"/>
        <v>0.56860497196952853</v>
      </c>
      <c r="T88">
        <f t="shared" si="28"/>
        <v>6.7852454604275145E-6</v>
      </c>
      <c r="U88">
        <f t="shared" si="23"/>
        <v>3.0956797394447047E-7</v>
      </c>
      <c r="W88" s="8">
        <v>323.15899999999999</v>
      </c>
      <c r="X88" s="8">
        <v>2.4969999999999999</v>
      </c>
      <c r="Y88" s="63">
        <v>1.6079E-2</v>
      </c>
      <c r="Z88">
        <f t="shared" si="40"/>
        <v>1.610979792017829E-2</v>
      </c>
      <c r="AA88">
        <f t="shared" si="30"/>
        <v>0.19154126611288189</v>
      </c>
      <c r="AB88">
        <f t="shared" si="31"/>
        <v>0.19154126611288189</v>
      </c>
      <c r="AC88">
        <f t="shared" si="41"/>
        <v>1.6455514842597739E-2</v>
      </c>
      <c r="AD88">
        <f t="shared" si="42"/>
        <v>2.3416558405232881</v>
      </c>
      <c r="AE88">
        <f t="shared" si="35"/>
        <v>2.3416558405232881</v>
      </c>
      <c r="AF88">
        <f t="shared" si="43"/>
        <v>1.5975461696486584E-2</v>
      </c>
      <c r="AG88">
        <f t="shared" si="44"/>
        <v>-0.64393496805408312</v>
      </c>
      <c r="AH88">
        <f t="shared" si="36"/>
        <v>0.64393496805408312</v>
      </c>
      <c r="AI88">
        <f t="shared" si="45"/>
        <v>1.6349592131881953E-2</v>
      </c>
      <c r="AJ88">
        <f t="shared" si="46"/>
        <v>1.6828915472476729</v>
      </c>
      <c r="AK88">
        <f t="shared" si="37"/>
        <v>1.6828915472476729</v>
      </c>
      <c r="AL88">
        <f t="shared" si="51"/>
        <v>1.6527374086560853E-2</v>
      </c>
      <c r="AM88">
        <f t="shared" si="49"/>
        <v>2.7885694792017763</v>
      </c>
      <c r="AN88">
        <f t="shared" si="50"/>
        <v>2.7885694792017763</v>
      </c>
    </row>
    <row r="89" spans="1:40" x14ac:dyDescent="0.25">
      <c r="B89" s="168">
        <v>323.16000000000003</v>
      </c>
      <c r="C89" s="103">
        <v>0.1008</v>
      </c>
      <c r="D89" s="103">
        <v>1.657</v>
      </c>
      <c r="E89" s="104">
        <v>1.6077999999999999E-2</v>
      </c>
      <c r="F89" s="166"/>
      <c r="H89">
        <f t="shared" si="39"/>
        <v>1.3815380603976735</v>
      </c>
      <c r="I89" s="8">
        <f t="shared" si="26"/>
        <v>4.9810719266786211E-3</v>
      </c>
      <c r="J89" s="8">
        <v>1749.3548931883499</v>
      </c>
      <c r="K89">
        <v>-369.06930000711998</v>
      </c>
      <c r="L89">
        <v>5423856.3488769103</v>
      </c>
      <c r="M89">
        <v>-2.2128385216835</v>
      </c>
      <c r="N89">
        <v>-269503.24793356902</v>
      </c>
      <c r="O89">
        <v>73145.021531826002</v>
      </c>
      <c r="P89">
        <v>5.34368649509278</v>
      </c>
      <c r="Q89">
        <f t="shared" si="21"/>
        <v>1.6092592722420817E-2</v>
      </c>
      <c r="R89">
        <f t="shared" si="27"/>
        <v>7.415324519602722E-4</v>
      </c>
      <c r="S89">
        <f t="shared" si="22"/>
        <v>0.56860863360141678</v>
      </c>
      <c r="T89">
        <f t="shared" si="28"/>
        <v>6.785309026398914E-6</v>
      </c>
      <c r="U89">
        <f t="shared" si="23"/>
        <v>1.3624938522480489E-7</v>
      </c>
      <c r="W89" s="57">
        <v>323.16000000000003</v>
      </c>
      <c r="X89" s="57">
        <v>1.657</v>
      </c>
      <c r="Y89" s="64">
        <v>1.6077999999999999E-2</v>
      </c>
      <c r="Z89" s="25">
        <f t="shared" si="40"/>
        <v>1.6103972228862784E-2</v>
      </c>
      <c r="AA89" s="25">
        <f t="shared" si="30"/>
        <v>0.16153892811783474</v>
      </c>
      <c r="AB89" s="25">
        <f t="shared" si="31"/>
        <v>0.16153892811783474</v>
      </c>
      <c r="AC89" s="25">
        <f t="shared" si="41"/>
        <v>1.6455565763397854E-2</v>
      </c>
      <c r="AD89" s="25">
        <f t="shared" si="42"/>
        <v>2.348337874100356</v>
      </c>
      <c r="AE89" s="25">
        <f t="shared" si="35"/>
        <v>2.348337874100356</v>
      </c>
      <c r="AF89" s="25">
        <f t="shared" si="43"/>
        <v>1.5975508905282574E-2</v>
      </c>
      <c r="AG89" s="25">
        <f t="shared" si="44"/>
        <v>-0.6374617161178292</v>
      </c>
      <c r="AH89" s="25">
        <f t="shared" si="36"/>
        <v>0.6374617161178292</v>
      </c>
      <c r="AI89" s="25">
        <f t="shared" si="45"/>
        <v>1.6349639951226125E-2</v>
      </c>
      <c r="AJ89" s="25">
        <f t="shared" si="46"/>
        <v>1.68951331773931</v>
      </c>
      <c r="AK89" s="25">
        <f t="shared" si="37"/>
        <v>1.68951331773931</v>
      </c>
      <c r="AL89" s="25">
        <f t="shared" si="51"/>
        <v>1.651914553075251E-2</v>
      </c>
      <c r="AM89" s="25">
        <f t="shared" si="49"/>
        <v>2.7437836220457261</v>
      </c>
      <c r="AN89" s="25">
        <f t="shared" si="50"/>
        <v>2.7437836220457261</v>
      </c>
    </row>
    <row r="90" spans="1:40" x14ac:dyDescent="0.25">
      <c r="A90" t="s">
        <v>237</v>
      </c>
      <c r="B90" s="165">
        <v>253.14599999999999</v>
      </c>
      <c r="C90" s="55">
        <v>0.40139999999999998</v>
      </c>
      <c r="D90" s="55">
        <v>8.6989999999999998</v>
      </c>
      <c r="E90" s="101">
        <v>1.2716999999999999E-2</v>
      </c>
      <c r="F90" s="166"/>
      <c r="H90">
        <f t="shared" si="39"/>
        <v>1.5546209874394807</v>
      </c>
      <c r="I90" s="8">
        <f t="shared" si="26"/>
        <v>4.9810719266786211E-3</v>
      </c>
      <c r="J90" s="8">
        <v>1749.3548931883499</v>
      </c>
      <c r="K90">
        <v>-369.06930000711998</v>
      </c>
      <c r="L90">
        <v>5423856.3488769103</v>
      </c>
      <c r="M90">
        <v>-2.2128385216835</v>
      </c>
      <c r="N90">
        <v>-269503.24793356902</v>
      </c>
      <c r="O90">
        <v>73145.021531826002</v>
      </c>
      <c r="P90">
        <v>5.34368649509278</v>
      </c>
      <c r="Q90">
        <f t="shared" si="21"/>
        <v>1.2733855010643117E-2</v>
      </c>
      <c r="R90">
        <f t="shared" si="27"/>
        <v>7.415324519602722E-4</v>
      </c>
      <c r="S90">
        <f t="shared" si="22"/>
        <v>4.3292106890371218E-2</v>
      </c>
      <c r="T90">
        <f t="shared" si="28"/>
        <v>4.0878860814911383E-7</v>
      </c>
      <c r="U90">
        <f t="shared" si="23"/>
        <v>4.925195297179516E-6</v>
      </c>
      <c r="W90" s="8">
        <v>253.14599999999999</v>
      </c>
      <c r="X90" s="8">
        <v>8.6989999999999998</v>
      </c>
      <c r="Y90" s="63">
        <v>1.2716999999999999E-2</v>
      </c>
      <c r="Z90">
        <f t="shared" si="40"/>
        <v>1.2742336258042586E-2</v>
      </c>
      <c r="AA90">
        <f t="shared" si="30"/>
        <v>0.19923140711320569</v>
      </c>
      <c r="AB90">
        <f t="shared" si="31"/>
        <v>0.19923140711320569</v>
      </c>
      <c r="AC90">
        <f t="shared" si="41"/>
        <v>1.2890396864528754E-2</v>
      </c>
      <c r="AD90">
        <f>100*(AC90-Y90)/Y90</f>
        <v>1.3635044784835666</v>
      </c>
      <c r="AE90">
        <f t="shared" si="35"/>
        <v>1.3635044784835666</v>
      </c>
      <c r="AF90">
        <f t="shared" si="43"/>
        <v>1.2565210372719625E-2</v>
      </c>
      <c r="AG90">
        <f t="shared" si="44"/>
        <v>-1.1935961884121618</v>
      </c>
      <c r="AH90">
        <f t="shared" si="36"/>
        <v>1.1935961884121618</v>
      </c>
      <c r="AI90">
        <f t="shared" si="45"/>
        <v>1.2909079172338286E-2</v>
      </c>
      <c r="AJ90">
        <f t="shared" si="46"/>
        <v>1.5104126156977846</v>
      </c>
      <c r="AK90">
        <f t="shared" si="37"/>
        <v>1.5104126156977846</v>
      </c>
      <c r="AL90">
        <f>0.012713+(-1+(1.023+0.23364*X90/467.6+0.58553*(X90/467)^2-0.40758*(X90/467)^3+0.093324*(X90/467)^4)^4)/(10000*(304.1282/((72.80829^4)*(44.095^3)))^(1/6))</f>
        <v>1.3225677377453152E-2</v>
      </c>
      <c r="AM90">
        <f t="shared" ref="AM90:AM94" si="52">100*(AL90-Y90)/Y90</f>
        <v>3.9999793776295736</v>
      </c>
      <c r="AN90">
        <f t="shared" ref="AN90:AN94" si="53">ABS(AM90)</f>
        <v>3.9999793776295736</v>
      </c>
    </row>
    <row r="91" spans="1:40" x14ac:dyDescent="0.25">
      <c r="A91" t="s">
        <v>284</v>
      </c>
      <c r="B91" s="165">
        <v>253.14599999999999</v>
      </c>
      <c r="C91" s="55">
        <v>0.30049999999999999</v>
      </c>
      <c r="D91" s="55">
        <v>6.4509999999999996</v>
      </c>
      <c r="E91" s="101">
        <v>1.2706E-2</v>
      </c>
      <c r="F91" s="166"/>
      <c r="H91">
        <f t="shared" si="39"/>
        <v>1.5546209874394807</v>
      </c>
      <c r="I91" s="8">
        <f t="shared" si="26"/>
        <v>4.9810719266786211E-3</v>
      </c>
      <c r="J91" s="8">
        <v>1749.3548931883499</v>
      </c>
      <c r="K91">
        <v>-369.06930000711998</v>
      </c>
      <c r="L91">
        <v>5423856.3488769103</v>
      </c>
      <c r="M91">
        <v>-2.2128385216835</v>
      </c>
      <c r="N91">
        <v>-269503.24793356902</v>
      </c>
      <c r="O91">
        <v>73145.021531826002</v>
      </c>
      <c r="P91">
        <v>5.34368649509278</v>
      </c>
      <c r="Q91">
        <f t="shared" si="21"/>
        <v>1.2733855010643117E-2</v>
      </c>
      <c r="R91">
        <f t="shared" si="27"/>
        <v>7.415324519602722E-4</v>
      </c>
      <c r="S91">
        <f t="shared" si="22"/>
        <v>4.3292106890371218E-2</v>
      </c>
      <c r="T91">
        <f t="shared" si="28"/>
        <v>4.0878860814911383E-7</v>
      </c>
      <c r="U91">
        <f t="shared" si="23"/>
        <v>2.7062897202438788E-6</v>
      </c>
      <c r="W91" s="8">
        <v>253.14599999999999</v>
      </c>
      <c r="X91" s="8">
        <v>6.4509999999999996</v>
      </c>
      <c r="Y91" s="63">
        <v>1.2706E-2</v>
      </c>
      <c r="Z91">
        <f t="shared" si="40"/>
        <v>1.2739198395674532E-2</v>
      </c>
      <c r="AA91">
        <f t="shared" si="30"/>
        <v>0.26128125038982558</v>
      </c>
      <c r="AB91">
        <f t="shared" si="31"/>
        <v>0.26128125038982558</v>
      </c>
      <c r="AC91">
        <f t="shared" si="41"/>
        <v>1.2890396864528754E-2</v>
      </c>
      <c r="AD91">
        <f t="shared" si="42"/>
        <v>1.451258181400551</v>
      </c>
      <c r="AE91">
        <f t="shared" si="35"/>
        <v>1.451258181400551</v>
      </c>
      <c r="AF91">
        <f t="shared" si="43"/>
        <v>1.2565210372719625E-2</v>
      </c>
      <c r="AG91">
        <f t="shared" si="44"/>
        <v>-1.1080562512228533</v>
      </c>
      <c r="AH91">
        <f t="shared" si="36"/>
        <v>1.1080562512228533</v>
      </c>
      <c r="AI91">
        <f t="shared" si="45"/>
        <v>1.2909079172338286E-2</v>
      </c>
      <c r="AJ91">
        <f t="shared" si="46"/>
        <v>1.5982935017966795</v>
      </c>
      <c r="AK91">
        <f t="shared" si="37"/>
        <v>1.5982935017966795</v>
      </c>
      <c r="AL91">
        <f t="shared" ref="AL91:AL94" si="54">0.012713+(-1+(1.023+0.23364*X91/467.6+0.58553*(X91/467)^2-0.40758*(X91/467)^3+0.093324*(X91/467)^4)^4)/(10000*(304.1282/((72.80829^4)*(44.095^3)))^(1/6))</f>
        <v>1.32022132633677E-2</v>
      </c>
      <c r="AM91">
        <f t="shared" si="52"/>
        <v>3.9053460047827775</v>
      </c>
      <c r="AN91">
        <f t="shared" si="53"/>
        <v>3.9053460047827775</v>
      </c>
    </row>
    <row r="92" spans="1:40" x14ac:dyDescent="0.25">
      <c r="B92" s="165">
        <v>253.14599999999999</v>
      </c>
      <c r="C92" s="55">
        <v>0.20050000000000001</v>
      </c>
      <c r="D92" s="55">
        <v>4.266</v>
      </c>
      <c r="E92" s="101">
        <v>1.2713E-2</v>
      </c>
      <c r="F92" s="166"/>
      <c r="H92">
        <f t="shared" si="39"/>
        <v>1.5546209874394807</v>
      </c>
      <c r="I92" s="8">
        <f t="shared" si="26"/>
        <v>4.9810719266786211E-3</v>
      </c>
      <c r="J92" s="8">
        <v>1749.3548931883499</v>
      </c>
      <c r="K92">
        <v>-369.06930000711998</v>
      </c>
      <c r="L92">
        <v>5423856.3488769103</v>
      </c>
      <c r="M92">
        <v>-2.2128385216835</v>
      </c>
      <c r="N92">
        <v>-269503.24793356902</v>
      </c>
      <c r="O92">
        <v>73145.021531826002</v>
      </c>
      <c r="P92">
        <v>5.34368649509278</v>
      </c>
      <c r="Q92">
        <f t="shared" si="21"/>
        <v>1.2733855010643117E-2</v>
      </c>
      <c r="R92">
        <f t="shared" si="27"/>
        <v>7.415324519602722E-4</v>
      </c>
      <c r="S92">
        <f t="shared" si="22"/>
        <v>4.3292106890371218E-2</v>
      </c>
      <c r="T92">
        <f t="shared" si="28"/>
        <v>4.0878860814911383E-7</v>
      </c>
      <c r="U92">
        <f t="shared" si="23"/>
        <v>1.1825165837372228E-6</v>
      </c>
      <c r="W92" s="8">
        <v>253.14599999999999</v>
      </c>
      <c r="X92" s="8">
        <v>4.266</v>
      </c>
      <c r="Y92" s="63">
        <v>1.2713E-2</v>
      </c>
      <c r="Z92">
        <f t="shared" si="40"/>
        <v>1.2736781419429218E-2</v>
      </c>
      <c r="AA92">
        <f t="shared" si="30"/>
        <v>0.18706378847807401</v>
      </c>
      <c r="AB92">
        <f t="shared" si="31"/>
        <v>0.18706378847807401</v>
      </c>
      <c r="AC92">
        <f t="shared" si="41"/>
        <v>1.2890396864528754E-2</v>
      </c>
      <c r="AD92">
        <f t="shared" si="42"/>
        <v>1.3953973454633364</v>
      </c>
      <c r="AE92">
        <f t="shared" si="35"/>
        <v>1.3953973454633364</v>
      </c>
      <c r="AF92">
        <f t="shared" si="43"/>
        <v>1.2565210372719625E-2</v>
      </c>
      <c r="AG92">
        <f t="shared" si="44"/>
        <v>-1.1625078839013279</v>
      </c>
      <c r="AH92">
        <f t="shared" si="36"/>
        <v>1.1625078839013279</v>
      </c>
      <c r="AI92">
        <f t="shared" si="45"/>
        <v>1.2909079172338286E-2</v>
      </c>
      <c r="AJ92">
        <f t="shared" si="46"/>
        <v>1.5423517056421461</v>
      </c>
      <c r="AK92">
        <f t="shared" si="37"/>
        <v>1.5423517056421461</v>
      </c>
      <c r="AL92">
        <f t="shared" si="54"/>
        <v>1.3179972336624626E-2</v>
      </c>
      <c r="AM92">
        <f t="shared" si="52"/>
        <v>3.6731875766902009</v>
      </c>
      <c r="AN92">
        <f t="shared" si="53"/>
        <v>3.6731875766902009</v>
      </c>
    </row>
    <row r="93" spans="1:40" x14ac:dyDescent="0.25">
      <c r="B93" s="165">
        <v>253.14599999999999</v>
      </c>
      <c r="C93" s="55">
        <v>0.153</v>
      </c>
      <c r="D93" s="55">
        <v>3.2410000000000001</v>
      </c>
      <c r="E93" s="101">
        <v>1.2714E-2</v>
      </c>
      <c r="F93" s="166"/>
      <c r="H93">
        <f t="shared" si="39"/>
        <v>1.5546209874394807</v>
      </c>
      <c r="I93" s="8">
        <f t="shared" si="26"/>
        <v>4.9810719266786211E-3</v>
      </c>
      <c r="J93" s="8">
        <v>1749.3548931883499</v>
      </c>
      <c r="K93">
        <v>-369.06930000711998</v>
      </c>
      <c r="L93">
        <v>5423856.3488769103</v>
      </c>
      <c r="M93">
        <v>-2.2128385216835</v>
      </c>
      <c r="N93">
        <v>-269503.24793356902</v>
      </c>
      <c r="O93">
        <v>73145.021531826002</v>
      </c>
      <c r="P93">
        <v>5.34368649509278</v>
      </c>
      <c r="Q93">
        <f t="shared" si="21"/>
        <v>1.2733855010643117E-2</v>
      </c>
      <c r="R93">
        <f t="shared" si="27"/>
        <v>7.415324519602722E-4</v>
      </c>
      <c r="S93">
        <f t="shared" si="22"/>
        <v>4.3292106890371218E-2</v>
      </c>
      <c r="T93">
        <f t="shared" si="28"/>
        <v>4.0878860814911383E-7</v>
      </c>
      <c r="U93">
        <f t="shared" si="23"/>
        <v>6.8227133218898893E-7</v>
      </c>
      <c r="W93" s="8">
        <v>253.14599999999999</v>
      </c>
      <c r="X93" s="8">
        <v>3.2410000000000001</v>
      </c>
      <c r="Y93" s="63">
        <v>1.2714E-2</v>
      </c>
      <c r="Z93">
        <f t="shared" si="40"/>
        <v>1.2735862165854319E-2</v>
      </c>
      <c r="AA93">
        <f t="shared" si="30"/>
        <v>0.17195348320213222</v>
      </c>
      <c r="AB93">
        <f t="shared" si="31"/>
        <v>0.17195348320213222</v>
      </c>
      <c r="AC93">
        <f t="shared" si="41"/>
        <v>1.2890396864528754E-2</v>
      </c>
      <c r="AD93">
        <f t="shared" si="42"/>
        <v>1.3874222473553144</v>
      </c>
      <c r="AE93">
        <f t="shared" si="35"/>
        <v>1.3874222473553144</v>
      </c>
      <c r="AF93">
        <f t="shared" si="43"/>
        <v>1.2565210372719625E-2</v>
      </c>
      <c r="AG93">
        <f t="shared" si="44"/>
        <v>-1.1702817939309036</v>
      </c>
      <c r="AH93">
        <f t="shared" si="36"/>
        <v>1.1702817939309036</v>
      </c>
      <c r="AI93">
        <f t="shared" si="45"/>
        <v>1.2909079172338286E-2</v>
      </c>
      <c r="AJ93">
        <f t="shared" si="46"/>
        <v>1.5343650490662797</v>
      </c>
      <c r="AK93">
        <f t="shared" si="37"/>
        <v>1.5343650490662797</v>
      </c>
      <c r="AL93">
        <f t="shared" si="54"/>
        <v>1.3169730997614967E-2</v>
      </c>
      <c r="AM93">
        <f t="shared" si="52"/>
        <v>3.5844816549863752</v>
      </c>
      <c r="AN93">
        <f t="shared" si="53"/>
        <v>3.5844816549863752</v>
      </c>
    </row>
    <row r="94" spans="1:40" x14ac:dyDescent="0.25">
      <c r="B94" s="168">
        <v>253.14599999999999</v>
      </c>
      <c r="C94" s="103">
        <v>0.1002</v>
      </c>
      <c r="D94" s="103">
        <v>2.113</v>
      </c>
      <c r="E94" s="104">
        <v>1.2713E-2</v>
      </c>
      <c r="F94" s="166"/>
      <c r="H94">
        <f t="shared" si="39"/>
        <v>1.5546209874394807</v>
      </c>
      <c r="I94" s="8">
        <f t="shared" si="26"/>
        <v>4.9810719266786211E-3</v>
      </c>
      <c r="J94" s="8">
        <v>1749.3548931883499</v>
      </c>
      <c r="K94">
        <v>-369.06930000711998</v>
      </c>
      <c r="L94">
        <v>5423856.3488769103</v>
      </c>
      <c r="M94">
        <v>-2.2128385216835</v>
      </c>
      <c r="N94">
        <v>-269503.24793356902</v>
      </c>
      <c r="O94">
        <v>73145.021531826002</v>
      </c>
      <c r="P94">
        <v>5.34368649509278</v>
      </c>
      <c r="Q94">
        <f t="shared" si="21"/>
        <v>1.2733855010643117E-2</v>
      </c>
      <c r="R94">
        <f t="shared" si="27"/>
        <v>7.415324519602722E-4</v>
      </c>
      <c r="S94">
        <f t="shared" si="22"/>
        <v>4.3292106890371218E-2</v>
      </c>
      <c r="T94">
        <f t="shared" si="28"/>
        <v>4.0878860814911383E-7</v>
      </c>
      <c r="U94">
        <f t="shared" si="23"/>
        <v>2.8987767964076952E-7</v>
      </c>
      <c r="W94" s="57">
        <v>253.14599999999999</v>
      </c>
      <c r="X94" s="57">
        <v>2.113</v>
      </c>
      <c r="Y94" s="64">
        <v>1.2713E-2</v>
      </c>
      <c r="Z94" s="25">
        <f t="shared" si="40"/>
        <v>1.2735008658651778E-2</v>
      </c>
      <c r="AA94" s="25">
        <f t="shared" si="30"/>
        <v>0.17311931606841546</v>
      </c>
      <c r="AB94" s="25">
        <f t="shared" si="31"/>
        <v>0.17311931606841546</v>
      </c>
      <c r="AC94" s="25">
        <f t="shared" si="41"/>
        <v>1.2890396864528754E-2</v>
      </c>
      <c r="AD94" s="25">
        <f t="shared" si="42"/>
        <v>1.3953973454633364</v>
      </c>
      <c r="AE94" s="25">
        <f t="shared" si="35"/>
        <v>1.3953973454633364</v>
      </c>
      <c r="AF94" s="25">
        <f t="shared" si="43"/>
        <v>1.2565210372719625E-2</v>
      </c>
      <c r="AG94" s="25">
        <f t="shared" si="44"/>
        <v>-1.1625078839013279</v>
      </c>
      <c r="AH94" s="25">
        <f t="shared" si="36"/>
        <v>1.1625078839013279</v>
      </c>
      <c r="AI94" s="25">
        <f t="shared" si="45"/>
        <v>1.2909079172338286E-2</v>
      </c>
      <c r="AJ94" s="25">
        <f t="shared" si="46"/>
        <v>1.5423517056421461</v>
      </c>
      <c r="AK94" s="25">
        <f t="shared" si="37"/>
        <v>1.5423517056421461</v>
      </c>
      <c r="AL94" s="25">
        <f t="shared" si="54"/>
        <v>1.3158602244765913E-2</v>
      </c>
      <c r="AM94" s="25">
        <f t="shared" si="52"/>
        <v>3.505091204010951</v>
      </c>
      <c r="AN94" s="25">
        <f t="shared" si="53"/>
        <v>3.505091204010951</v>
      </c>
    </row>
    <row r="95" spans="1:40" x14ac:dyDescent="0.25">
      <c r="A95" t="s">
        <v>238</v>
      </c>
      <c r="B95" s="165">
        <v>273.16800000000001</v>
      </c>
      <c r="C95" s="55">
        <v>0.50280000000000002</v>
      </c>
      <c r="D95" s="55">
        <v>10.086</v>
      </c>
      <c r="E95" s="101">
        <v>1.3724E-2</v>
      </c>
      <c r="F95" s="166"/>
      <c r="H95">
        <f t="shared" si="39"/>
        <v>1.4964219029538783</v>
      </c>
      <c r="I95" s="8">
        <f t="shared" si="26"/>
        <v>4.9810719266786211E-3</v>
      </c>
      <c r="J95" s="8">
        <v>1749.3548931883499</v>
      </c>
      <c r="K95">
        <v>-369.06930000711998</v>
      </c>
      <c r="L95">
        <v>5423856.3488769103</v>
      </c>
      <c r="M95">
        <v>-2.2128385216835</v>
      </c>
      <c r="N95">
        <v>-269503.24793356902</v>
      </c>
      <c r="O95">
        <v>73145.021531826002</v>
      </c>
      <c r="P95">
        <v>5.34368649509278</v>
      </c>
      <c r="Q95">
        <f t="shared" si="21"/>
        <v>1.3704586589419291E-2</v>
      </c>
      <c r="R95">
        <f t="shared" si="27"/>
        <v>7.415324519602722E-4</v>
      </c>
      <c r="S95">
        <f t="shared" si="22"/>
        <v>0.26673141130092459</v>
      </c>
      <c r="T95">
        <f t="shared" si="28"/>
        <v>2.7106301463936241E-6</v>
      </c>
      <c r="U95">
        <f t="shared" si="23"/>
        <v>6.0910827444761292E-6</v>
      </c>
      <c r="W95" s="8">
        <v>273.16800000000001</v>
      </c>
      <c r="X95" s="8">
        <v>10.086</v>
      </c>
      <c r="Y95" s="63">
        <v>1.3724E-2</v>
      </c>
      <c r="Z95">
        <f t="shared" si="40"/>
        <v>1.3738017087820293E-2</v>
      </c>
      <c r="AA95">
        <f>100*(Z95-Y95)/Y95</f>
        <v>0.10213558598289532</v>
      </c>
      <c r="AB95">
        <f t="shared" si="31"/>
        <v>0.10213558598289532</v>
      </c>
      <c r="AC95">
        <f t="shared" si="41"/>
        <v>1.3909933124321896E-2</v>
      </c>
      <c r="AD95">
        <f t="shared" si="42"/>
        <v>1.3548027129255011</v>
      </c>
      <c r="AE95">
        <f t="shared" si="35"/>
        <v>1.3548027129255011</v>
      </c>
      <c r="AF95">
        <f t="shared" si="43"/>
        <v>1.3560309783498186E-2</v>
      </c>
      <c r="AG95">
        <f t="shared" si="44"/>
        <v>-1.1927296451604055</v>
      </c>
      <c r="AH95">
        <f t="shared" si="36"/>
        <v>1.1927296451604055</v>
      </c>
      <c r="AI95">
        <f t="shared" si="45"/>
        <v>1.3910727661794325E-2</v>
      </c>
      <c r="AJ95">
        <f t="shared" si="46"/>
        <v>1.3605921145025162</v>
      </c>
      <c r="AK95">
        <f t="shared" si="37"/>
        <v>1.3605921145025162</v>
      </c>
      <c r="AL95">
        <f>0.013706+(-1+(1.023+0.23364*X95/467.6+0.58553*(X95/467)^2-0.40758*(X95/467)^3+0.093324*(X95/467)^4)^4)/(10000*(304.1282/((72.80829^4)*(44.095^3)))^(1/6))</f>
        <v>1.423344913990994E-2</v>
      </c>
      <c r="AM95">
        <f t="shared" ref="AM95:AM110" si="55">100*(AL95-Y95)/Y95</f>
        <v>3.7121039049106668</v>
      </c>
      <c r="AN95">
        <f t="shared" ref="AN95:AN110" si="56">ABS(AM95)</f>
        <v>3.7121039049106668</v>
      </c>
    </row>
    <row r="96" spans="1:40" x14ac:dyDescent="0.25">
      <c r="A96" t="s">
        <v>283</v>
      </c>
      <c r="B96" s="165">
        <v>273.17</v>
      </c>
      <c r="C96" s="55">
        <v>0.39939999999999998</v>
      </c>
      <c r="D96" s="55">
        <v>7.9539999999999997</v>
      </c>
      <c r="E96" s="101">
        <v>1.371E-2</v>
      </c>
      <c r="F96" s="166"/>
      <c r="H96">
        <f t="shared" si="39"/>
        <v>1.4964164902661303</v>
      </c>
      <c r="I96" s="8">
        <f t="shared" si="26"/>
        <v>4.9810719266786211E-3</v>
      </c>
      <c r="J96" s="8">
        <v>1749.3548931883499</v>
      </c>
      <c r="K96">
        <v>-369.06930000711998</v>
      </c>
      <c r="L96">
        <v>5423856.3488769103</v>
      </c>
      <c r="M96">
        <v>-2.2128385216835</v>
      </c>
      <c r="N96">
        <v>-269503.24793356902</v>
      </c>
      <c r="O96">
        <v>73145.021531826002</v>
      </c>
      <c r="P96">
        <v>5.34368649509278</v>
      </c>
      <c r="Q96">
        <f t="shared" si="21"/>
        <v>1.3704683231575743E-2</v>
      </c>
      <c r="R96">
        <f t="shared" si="27"/>
        <v>7.415324519602722E-4</v>
      </c>
      <c r="S96">
        <f t="shared" si="22"/>
        <v>0.26674986264183548</v>
      </c>
      <c r="T96">
        <f t="shared" si="28"/>
        <v>2.7108367723952573E-6</v>
      </c>
      <c r="U96">
        <f t="shared" si="23"/>
        <v>3.7845883157406289E-6</v>
      </c>
      <c r="W96" s="8">
        <v>273.17</v>
      </c>
      <c r="X96" s="8">
        <v>7.9539999999999997</v>
      </c>
      <c r="Y96" s="63">
        <v>1.371E-2</v>
      </c>
      <c r="Z96">
        <f t="shared" si="40"/>
        <v>1.3730029815579116E-2</v>
      </c>
      <c r="AA96">
        <f t="shared" si="30"/>
        <v>0.14609639372075806</v>
      </c>
      <c r="AB96">
        <f t="shared" si="31"/>
        <v>0.14609639372075806</v>
      </c>
      <c r="AC96">
        <f t="shared" si="41"/>
        <v>1.3910034965922117E-2</v>
      </c>
      <c r="AD96">
        <f t="shared" si="42"/>
        <v>1.459044244508509</v>
      </c>
      <c r="AE96">
        <f t="shared" si="35"/>
        <v>1.459044244508509</v>
      </c>
      <c r="AF96">
        <f t="shared" si="43"/>
        <v>1.3560408473496486E-2</v>
      </c>
      <c r="AG96">
        <f t="shared" si="44"/>
        <v>-1.09111252008398</v>
      </c>
      <c r="AH96">
        <f t="shared" si="36"/>
        <v>1.09111252008398</v>
      </c>
      <c r="AI96">
        <f t="shared" si="45"/>
        <v>1.3910827067564338E-2</v>
      </c>
      <c r="AJ96">
        <f t="shared" si="46"/>
        <v>1.4648217911330303</v>
      </c>
      <c r="AK96">
        <f t="shared" si="37"/>
        <v>1.4648217911330303</v>
      </c>
      <c r="AL96">
        <f t="shared" ref="AL96:AL100" si="57">0.013706+(-1+(1.023+0.23364*X96/467.6+0.58553*(X96/467)^2-0.40758*(X96/467)^3+0.093324*(X96/467)^4)^4)/(10000*(304.1282/((72.80829^4)*(44.095^3)))^(1/6))</f>
        <v>1.4210835829077013E-2</v>
      </c>
      <c r="AM96">
        <f t="shared" si="55"/>
        <v>3.6530695045734025</v>
      </c>
      <c r="AN96">
        <f t="shared" si="56"/>
        <v>3.6530695045734025</v>
      </c>
    </row>
    <row r="97" spans="1:40" x14ac:dyDescent="0.25">
      <c r="B97" s="165">
        <v>273.16699999999997</v>
      </c>
      <c r="C97" s="55">
        <v>0.30170000000000002</v>
      </c>
      <c r="D97" s="55">
        <v>5.9669999999999996</v>
      </c>
      <c r="E97" s="101">
        <v>1.3709000000000001E-2</v>
      </c>
      <c r="F97" s="166"/>
      <c r="H97">
        <f t="shared" si="39"/>
        <v>1.4964246093260005</v>
      </c>
      <c r="I97" s="8">
        <f t="shared" si="26"/>
        <v>4.9810719266786211E-3</v>
      </c>
      <c r="J97" s="8">
        <v>1749.3548931883499</v>
      </c>
      <c r="K97">
        <v>-369.06930000711998</v>
      </c>
      <c r="L97">
        <v>5423856.3488769103</v>
      </c>
      <c r="M97">
        <v>-2.2128385216835</v>
      </c>
      <c r="N97">
        <v>-269503.24793356902</v>
      </c>
      <c r="O97">
        <v>73145.021531826002</v>
      </c>
      <c r="P97">
        <v>5.34368649509278</v>
      </c>
      <c r="Q97">
        <f t="shared" si="21"/>
        <v>1.3704538268313865E-2</v>
      </c>
      <c r="R97">
        <f t="shared" si="27"/>
        <v>7.415324519602722E-4</v>
      </c>
      <c r="S97">
        <f t="shared" si="22"/>
        <v>0.26672218537633596</v>
      </c>
      <c r="T97">
        <f t="shared" si="28"/>
        <v>2.7105268317965483E-6</v>
      </c>
      <c r="U97">
        <f t="shared" si="23"/>
        <v>2.1280725602623138E-6</v>
      </c>
      <c r="W97" s="8">
        <v>273.16699999999997</v>
      </c>
      <c r="X97" s="8">
        <v>5.9669999999999996</v>
      </c>
      <c r="Y97" s="63">
        <v>1.3709000000000001E-2</v>
      </c>
      <c r="Z97">
        <f t="shared" si="40"/>
        <v>1.3722840054479457E-2</v>
      </c>
      <c r="AA97">
        <f t="shared" si="30"/>
        <v>0.10095597402769525</v>
      </c>
      <c r="AB97">
        <f t="shared" si="31"/>
        <v>0.10095597402769525</v>
      </c>
      <c r="AC97">
        <f t="shared" si="41"/>
        <v>1.3909882203521786E-2</v>
      </c>
      <c r="AD97">
        <f t="shared" si="42"/>
        <v>1.4653308302705206</v>
      </c>
      <c r="AE97">
        <f t="shared" si="35"/>
        <v>1.4653308302705206</v>
      </c>
      <c r="AF97">
        <f t="shared" si="43"/>
        <v>1.3560260438442643E-2</v>
      </c>
      <c r="AG97">
        <f t="shared" si="44"/>
        <v>-1.0849774714228468</v>
      </c>
      <c r="AH97">
        <f t="shared" si="36"/>
        <v>1.0849774714228468</v>
      </c>
      <c r="AI97">
        <f t="shared" si="45"/>
        <v>1.3910677958858352E-2</v>
      </c>
      <c r="AJ97">
        <f t="shared" si="46"/>
        <v>1.4711354501302147</v>
      </c>
      <c r="AK97">
        <f t="shared" si="37"/>
        <v>1.4711354501302147</v>
      </c>
      <c r="AL97">
        <f t="shared" si="57"/>
        <v>1.4190238605699295E-2</v>
      </c>
      <c r="AM97">
        <f t="shared" si="55"/>
        <v>3.5103844605682011</v>
      </c>
      <c r="AN97">
        <f t="shared" si="56"/>
        <v>3.5103844605682011</v>
      </c>
    </row>
    <row r="98" spans="1:40" x14ac:dyDescent="0.25">
      <c r="B98" s="165">
        <v>273.16899999999998</v>
      </c>
      <c r="C98" s="55">
        <v>0.2034</v>
      </c>
      <c r="D98" s="55">
        <v>3.996</v>
      </c>
      <c r="E98" s="101">
        <v>1.37E-2</v>
      </c>
      <c r="F98" s="166"/>
      <c r="H98">
        <f t="shared" si="39"/>
        <v>1.4964191966005886</v>
      </c>
      <c r="I98" s="8">
        <f t="shared" si="26"/>
        <v>4.9810719266786211E-3</v>
      </c>
      <c r="J98" s="8">
        <v>1749.3548931883499</v>
      </c>
      <c r="K98">
        <v>-369.06930000711998</v>
      </c>
      <c r="L98">
        <v>5423856.3488769103</v>
      </c>
      <c r="M98">
        <v>-2.2128385216835</v>
      </c>
      <c r="N98">
        <v>-269503.24793356902</v>
      </c>
      <c r="O98">
        <v>73145.021531826002</v>
      </c>
      <c r="P98">
        <v>5.34368649509278</v>
      </c>
      <c r="Q98">
        <f t="shared" si="21"/>
        <v>1.3704634910506585E-2</v>
      </c>
      <c r="R98">
        <f t="shared" si="27"/>
        <v>7.415324519602722E-4</v>
      </c>
      <c r="S98">
        <f t="shared" si="22"/>
        <v>0.26674063705556789</v>
      </c>
      <c r="T98">
        <f t="shared" si="28"/>
        <v>2.710733459921217E-6</v>
      </c>
      <c r="U98">
        <f t="shared" si="23"/>
        <v>9.5355592945535652E-7</v>
      </c>
      <c r="W98" s="8">
        <v>273.16899999999998</v>
      </c>
      <c r="X98" s="8">
        <v>3.996</v>
      </c>
      <c r="Y98" s="63">
        <v>1.37E-2</v>
      </c>
      <c r="Z98">
        <f t="shared" si="40"/>
        <v>1.3716420557341886E-2</v>
      </c>
      <c r="AA98">
        <f t="shared" si="30"/>
        <v>0.11985808278748769</v>
      </c>
      <c r="AB98">
        <f t="shared" si="31"/>
        <v>0.11985808278748769</v>
      </c>
      <c r="AC98">
        <f t="shared" si="41"/>
        <v>1.3909984045122005E-2</v>
      </c>
      <c r="AD98">
        <f t="shared" si="42"/>
        <v>1.5327302563649996</v>
      </c>
      <c r="AE98">
        <f t="shared" si="35"/>
        <v>1.5327302563649996</v>
      </c>
      <c r="AF98">
        <f t="shared" si="43"/>
        <v>1.3560359128516131E-2</v>
      </c>
      <c r="AG98">
        <f t="shared" si="44"/>
        <v>-1.0192764341888274</v>
      </c>
      <c r="AH98">
        <f t="shared" si="36"/>
        <v>1.0192764341888274</v>
      </c>
      <c r="AI98">
        <f t="shared" si="45"/>
        <v>1.3910777364696321E-2</v>
      </c>
      <c r="AJ98">
        <f t="shared" si="46"/>
        <v>1.5385209101921207</v>
      </c>
      <c r="AK98">
        <f t="shared" si="37"/>
        <v>1.5385209101921207</v>
      </c>
      <c r="AL98">
        <f t="shared" si="57"/>
        <v>1.4170262721521845E-2</v>
      </c>
      <c r="AM98">
        <f t="shared" si="55"/>
        <v>3.4325746096485021</v>
      </c>
      <c r="AN98">
        <f t="shared" si="56"/>
        <v>3.4325746096485021</v>
      </c>
    </row>
    <row r="99" spans="1:40" x14ac:dyDescent="0.25">
      <c r="B99" s="165">
        <v>273.16899999999998</v>
      </c>
      <c r="C99" s="55">
        <v>0.15179999999999999</v>
      </c>
      <c r="D99" s="55">
        <v>2.972</v>
      </c>
      <c r="E99" s="101">
        <v>1.3703E-2</v>
      </c>
      <c r="F99" s="166"/>
      <c r="H99">
        <f t="shared" si="39"/>
        <v>1.4964191966005886</v>
      </c>
      <c r="I99" s="8">
        <f t="shared" si="26"/>
        <v>4.9810719266786211E-3</v>
      </c>
      <c r="J99" s="8">
        <v>1749.3548931883499</v>
      </c>
      <c r="K99">
        <v>-369.06930000711998</v>
      </c>
      <c r="L99">
        <v>5423856.3488769103</v>
      </c>
      <c r="M99">
        <v>-2.2128385216835</v>
      </c>
      <c r="N99">
        <v>-269503.24793356902</v>
      </c>
      <c r="O99">
        <v>73145.021531826002</v>
      </c>
      <c r="P99">
        <v>5.34368649509278</v>
      </c>
      <c r="Q99">
        <f t="shared" si="21"/>
        <v>1.3704634910506585E-2</v>
      </c>
      <c r="R99">
        <f t="shared" si="27"/>
        <v>7.415324519602722E-4</v>
      </c>
      <c r="S99">
        <f t="shared" si="22"/>
        <v>0.26674063705556789</v>
      </c>
      <c r="T99">
        <f t="shared" si="28"/>
        <v>2.710733459921217E-6</v>
      </c>
      <c r="U99">
        <f t="shared" si="23"/>
        <v>5.2722686868139413E-7</v>
      </c>
      <c r="W99" s="8">
        <v>273.16899999999998</v>
      </c>
      <c r="X99" s="8">
        <v>2.972</v>
      </c>
      <c r="Y99" s="63">
        <v>1.3703E-2</v>
      </c>
      <c r="Z99">
        <f t="shared" si="40"/>
        <v>1.3713218437218153E-2</v>
      </c>
      <c r="AA99">
        <f t="shared" si="30"/>
        <v>7.4570803606169314E-2</v>
      </c>
      <c r="AB99">
        <f t="shared" si="31"/>
        <v>7.4570803606169314E-2</v>
      </c>
      <c r="AC99">
        <f t="shared" si="41"/>
        <v>1.3909984045122005E-2</v>
      </c>
      <c r="AD99">
        <f t="shared" si="42"/>
        <v>1.5105016793549253</v>
      </c>
      <c r="AE99">
        <f t="shared" si="35"/>
        <v>1.5105016793549253</v>
      </c>
      <c r="AF99">
        <f t="shared" si="43"/>
        <v>1.3560359128516131E-2</v>
      </c>
      <c r="AG99">
        <f t="shared" si="44"/>
        <v>-1.0409462999625547</v>
      </c>
      <c r="AH99">
        <f t="shared" si="36"/>
        <v>1.0409462999625547</v>
      </c>
      <c r="AI99">
        <f t="shared" si="45"/>
        <v>1.3910777364696321E-2</v>
      </c>
      <c r="AJ99">
        <f t="shared" si="46"/>
        <v>1.5162910654332702</v>
      </c>
      <c r="AK99">
        <f t="shared" si="37"/>
        <v>1.5162910654332702</v>
      </c>
      <c r="AL99">
        <f t="shared" si="57"/>
        <v>1.416006358345683E-2</v>
      </c>
      <c r="AM99">
        <f t="shared" si="55"/>
        <v>3.3355001346918947</v>
      </c>
      <c r="AN99">
        <f t="shared" si="56"/>
        <v>3.3355001346918947</v>
      </c>
    </row>
    <row r="100" spans="1:40" x14ac:dyDescent="0.25">
      <c r="B100" s="168">
        <v>273.16800000000001</v>
      </c>
      <c r="C100" s="103">
        <v>0.1004</v>
      </c>
      <c r="D100" s="103">
        <v>1.9590000000000001</v>
      </c>
      <c r="E100" s="104">
        <v>1.3705999999999999E-2</v>
      </c>
      <c r="F100" s="169"/>
      <c r="H100" s="25">
        <f t="shared" si="39"/>
        <v>1.4964219029538783</v>
      </c>
      <c r="I100" s="57">
        <f t="shared" si="26"/>
        <v>4.9810719266786211E-3</v>
      </c>
      <c r="J100" s="57">
        <v>1749.3548931883499</v>
      </c>
      <c r="K100" s="25">
        <v>-369.06930000711998</v>
      </c>
      <c r="L100" s="25">
        <v>5423856.3488769103</v>
      </c>
      <c r="M100" s="25">
        <v>-2.2128385216835</v>
      </c>
      <c r="N100" s="25">
        <v>-269503.24793356902</v>
      </c>
      <c r="O100" s="25">
        <v>73145.021531826002</v>
      </c>
      <c r="P100" s="25">
        <v>5.34368649509278</v>
      </c>
      <c r="Q100" s="25">
        <f t="shared" ref="Q100:Q131" si="58">1.0055*SQRT(B100)/(J100+K100*B100^(1/6)+L100*EXP(M100*B100^(1/3))+P100*SQRT(B100)+(N100+O100*B100^(1/3))/EXP(B100^(1/3)))</f>
        <v>1.3704586589419291E-2</v>
      </c>
      <c r="R100" s="25">
        <f t="shared" si="27"/>
        <v>7.415324519602722E-4</v>
      </c>
      <c r="S100" s="25">
        <f t="shared" ref="S100:S131" si="59">-19.572881+219.73999/(B100*I100)^(0.25)-1015.3226/(B100*I100)^(0.5)+2471.0125/(B100*I100)^(0.75)-3375.1717/(B100*I100)^(1)+2491.6597/(B100*I100)^(1.25)-787.26086/(B100*I100)^(1.5)+14.085455/(B100*I100)^(2.5)-0.34664158/(B100*I100)^(5.5)</f>
        <v>0.26673141130092459</v>
      </c>
      <c r="T100" s="25">
        <f t="shared" si="28"/>
        <v>2.7106301463936241E-6</v>
      </c>
      <c r="U100" s="25">
        <f t="shared" ref="U100:U131" si="60">0.09436059794459*(0.360603235428487*((B100/216.592)*(D100/1178.53)^3)+(((D100/1178.53)^2)+(D100/1178.53)^(8.06282737481277))/((B100/216.592)-0.121550806591497))</f>
        <v>2.2896931093059524E-7</v>
      </c>
      <c r="W100" s="57">
        <v>273.16800000000001</v>
      </c>
      <c r="X100" s="57">
        <v>1.9590000000000001</v>
      </c>
      <c r="Y100" s="64">
        <v>1.3705999999999999E-2</v>
      </c>
      <c r="Z100" s="25">
        <f t="shared" si="40"/>
        <v>1.3710125683187005E-2</v>
      </c>
      <c r="AA100" s="25">
        <f t="shared" si="30"/>
        <v>3.0101292769632922E-2</v>
      </c>
      <c r="AB100" s="25">
        <f t="shared" si="31"/>
        <v>3.0101292769632922E-2</v>
      </c>
      <c r="AC100" s="25">
        <f t="shared" si="41"/>
        <v>1.3909933124321896E-2</v>
      </c>
      <c r="AD100" s="25">
        <f t="shared" si="42"/>
        <v>1.4879113112643836</v>
      </c>
      <c r="AE100" s="25">
        <f t="shared" si="35"/>
        <v>1.4879113112643836</v>
      </c>
      <c r="AF100" s="25">
        <f t="shared" si="43"/>
        <v>1.3560309783498186E-2</v>
      </c>
      <c r="AG100" s="25">
        <f t="shared" si="44"/>
        <v>-1.0629667043762834</v>
      </c>
      <c r="AH100" s="25">
        <f t="shared" si="36"/>
        <v>1.0629667043762834</v>
      </c>
      <c r="AI100" s="25">
        <f t="shared" si="45"/>
        <v>1.3910727661794325E-2</v>
      </c>
      <c r="AJ100" s="25">
        <f t="shared" si="46"/>
        <v>1.4937083160245583</v>
      </c>
      <c r="AK100" s="25">
        <f t="shared" si="37"/>
        <v>1.4937083160245583</v>
      </c>
      <c r="AL100" s="25">
        <f t="shared" si="57"/>
        <v>1.4150094413028138E-2</v>
      </c>
      <c r="AM100" s="25">
        <f t="shared" si="55"/>
        <v>3.2401460165485081</v>
      </c>
      <c r="AN100" s="25">
        <f t="shared" si="56"/>
        <v>3.2401460165485081</v>
      </c>
    </row>
    <row r="101" spans="1:40" x14ac:dyDescent="0.25">
      <c r="A101" t="s">
        <v>270</v>
      </c>
      <c r="B101" s="170">
        <v>220</v>
      </c>
      <c r="C101" s="87">
        <v>0.47977999999999998</v>
      </c>
      <c r="D101" s="91">
        <v>12.406499999999999</v>
      </c>
      <c r="E101" s="87">
        <f>0.9019*D101/1000</f>
        <v>1.1189422349999999E-2</v>
      </c>
      <c r="F101" s="171" t="s">
        <v>242</v>
      </c>
      <c r="H101">
        <f t="shared" si="39"/>
        <v>1.6717920313171686</v>
      </c>
      <c r="I101" s="8">
        <f t="shared" si="26"/>
        <v>4.9810719266786211E-3</v>
      </c>
      <c r="J101" s="8">
        <v>1749.3548931883499</v>
      </c>
      <c r="K101">
        <v>-369.06930000711998</v>
      </c>
      <c r="L101">
        <v>5423856.3488769103</v>
      </c>
      <c r="M101">
        <v>-2.2128385216835</v>
      </c>
      <c r="N101">
        <v>-269503.24793356902</v>
      </c>
      <c r="O101">
        <v>73145.021531826002</v>
      </c>
      <c r="P101">
        <v>5.34368649509278</v>
      </c>
      <c r="Q101">
        <f t="shared" si="58"/>
        <v>1.1117727298499776E-2</v>
      </c>
      <c r="R101">
        <f t="shared" si="27"/>
        <v>7.415324519602722E-4</v>
      </c>
      <c r="S101">
        <f t="shared" si="59"/>
        <v>-0.57564352346857817</v>
      </c>
      <c r="T101">
        <f t="shared" si="28"/>
        <v>-4.7456947683290984E-6</v>
      </c>
      <c r="U101">
        <f t="shared" si="60"/>
        <v>1.1734806589120825E-5</v>
      </c>
      <c r="W101" s="8">
        <v>220</v>
      </c>
      <c r="X101" s="59">
        <v>12.406499999999999</v>
      </c>
      <c r="Y101" s="8">
        <f>0.9019*X101/1000</f>
        <v>1.1189422349999999E-2</v>
      </c>
      <c r="Z101">
        <f>Q101+X101*T101+U101</f>
        <v>1.1070584642945622E-2</v>
      </c>
      <c r="AA101">
        <f>100*(Z101-Y101)/Y101</f>
        <v>-1.0620539947209784</v>
      </c>
      <c r="AB101">
        <f t="shared" si="31"/>
        <v>1.0620539947209784</v>
      </c>
      <c r="AC101">
        <f t="shared" si="41"/>
        <v>1.1202576024098054E-2</v>
      </c>
      <c r="AD101">
        <f t="shared" si="42"/>
        <v>0.11755454112477288</v>
      </c>
      <c r="AE101">
        <f t="shared" si="35"/>
        <v>0.11755454112477288</v>
      </c>
      <c r="AF101">
        <f t="shared" si="43"/>
        <v>1.0892757755376656E-2</v>
      </c>
      <c r="AG101">
        <f t="shared" si="44"/>
        <v>-2.6512949940024582</v>
      </c>
      <c r="AH101">
        <f t="shared" si="36"/>
        <v>2.6512949940024582</v>
      </c>
      <c r="AI101">
        <f t="shared" si="45"/>
        <v>1.1227120999931617E-2</v>
      </c>
      <c r="AJ101">
        <f t="shared" si="46"/>
        <v>0.33691328070763321</v>
      </c>
      <c r="AK101">
        <f t="shared" si="37"/>
        <v>0.33691328070763321</v>
      </c>
      <c r="AL101">
        <f>Y110+(-1+(1.023+0.23364*X101/467.6+0.58553*(X101/467)^2-0.40758*(X101/467)^3+0.093324*(X101/467)^4)^4)/(10000*(304.1282/((72.80829^4)*(44.095^3)))^(1/6))</f>
        <v>1.1994554467363177E-2</v>
      </c>
      <c r="AM101">
        <f t="shared" si="55"/>
        <v>7.1954752638609474</v>
      </c>
      <c r="AN101">
        <f t="shared" si="56"/>
        <v>7.1954752638609474</v>
      </c>
    </row>
    <row r="102" spans="1:40" x14ac:dyDescent="0.25">
      <c r="A102" t="s">
        <v>282</v>
      </c>
      <c r="B102" s="170">
        <v>220</v>
      </c>
      <c r="C102" s="87">
        <v>0.44973999999999997</v>
      </c>
      <c r="D102" s="91">
        <v>11.5716</v>
      </c>
      <c r="E102" s="87">
        <f>0.9699*D102/1000</f>
        <v>1.122329484E-2</v>
      </c>
      <c r="F102" s="171" t="s">
        <v>243</v>
      </c>
      <c r="H102">
        <f t="shared" si="39"/>
        <v>1.6717920313171686</v>
      </c>
      <c r="I102" s="8">
        <f t="shared" si="26"/>
        <v>4.9810719266786211E-3</v>
      </c>
      <c r="J102" s="8">
        <v>1749.3548931883499</v>
      </c>
      <c r="K102">
        <v>-369.06930000711998</v>
      </c>
      <c r="L102">
        <v>5423856.3488769103</v>
      </c>
      <c r="M102">
        <v>-2.2128385216835</v>
      </c>
      <c r="N102">
        <v>-269503.24793356902</v>
      </c>
      <c r="O102">
        <v>73145.021531826002</v>
      </c>
      <c r="P102">
        <v>5.34368649509278</v>
      </c>
      <c r="Q102">
        <f t="shared" si="58"/>
        <v>1.1117727298499776E-2</v>
      </c>
      <c r="R102">
        <f t="shared" si="27"/>
        <v>7.415324519602722E-4</v>
      </c>
      <c r="S102">
        <f t="shared" si="59"/>
        <v>-0.57564352346857817</v>
      </c>
      <c r="T102">
        <f t="shared" si="28"/>
        <v>-4.7456947683290984E-6</v>
      </c>
      <c r="U102">
        <f t="shared" si="60"/>
        <v>1.020619285189039E-5</v>
      </c>
      <c r="W102" s="8">
        <v>220</v>
      </c>
      <c r="X102" s="59">
        <v>11.5716</v>
      </c>
      <c r="Y102" s="8">
        <f>0.9699*X102/1000</f>
        <v>1.122329484E-2</v>
      </c>
      <c r="Z102">
        <f t="shared" ref="Z102:Z166" si="61">Q102+X102*T102+U102</f>
        <v>1.1073018209770471E-2</v>
      </c>
      <c r="AA102">
        <f t="shared" ref="AA102:AA110" si="62">100*(Z102-Y102)/Y102</f>
        <v>-1.33897070665863</v>
      </c>
      <c r="AB102">
        <f t="shared" si="31"/>
        <v>1.33897070665863</v>
      </c>
      <c r="AC102">
        <f t="shared" si="41"/>
        <v>1.1202576024098054E-2</v>
      </c>
      <c r="AD102">
        <f t="shared" si="42"/>
        <v>-0.18460546744351705</v>
      </c>
      <c r="AE102">
        <f t="shared" si="35"/>
        <v>0.18460546744351705</v>
      </c>
      <c r="AF102">
        <f t="shared" si="43"/>
        <v>1.0892757755376656E-2</v>
      </c>
      <c r="AG102">
        <f t="shared" si="44"/>
        <v>-2.9450984700616099</v>
      </c>
      <c r="AH102">
        <f t="shared" si="36"/>
        <v>2.9450984700616099</v>
      </c>
      <c r="AI102">
        <f t="shared" si="45"/>
        <v>1.1227120999931617E-2</v>
      </c>
      <c r="AJ102">
        <f t="shared" si="46"/>
        <v>3.409123600656238E-2</v>
      </c>
      <c r="AK102">
        <f t="shared" si="37"/>
        <v>3.409123600656238E-2</v>
      </c>
      <c r="AL102">
        <f>Y110+(-1+(1.023+0.23364*X102/467.6+0.58553*(X102/467)^2-0.40758*(X102/467)^3+0.093324*(X102/467)^4)^4)/(10000*(304.1282/((72.80829^4)*(44.095^3)))^(1/6))</f>
        <v>1.1985409130715425E-2</v>
      </c>
      <c r="AM102">
        <f t="shared" si="55"/>
        <v>6.7904684103926218</v>
      </c>
      <c r="AN102">
        <f t="shared" si="56"/>
        <v>6.7904684103926218</v>
      </c>
    </row>
    <row r="103" spans="1:40" x14ac:dyDescent="0.25">
      <c r="A103" t="s">
        <v>205</v>
      </c>
      <c r="B103" s="170">
        <v>220</v>
      </c>
      <c r="C103" s="87">
        <v>0.42551</v>
      </c>
      <c r="D103" s="91">
        <v>10.9046</v>
      </c>
      <c r="E103" s="87">
        <f>1.0287*D103/1000</f>
        <v>1.1217562019999999E-2</v>
      </c>
      <c r="F103" s="171"/>
      <c r="H103">
        <f t="shared" si="39"/>
        <v>1.6717920313171686</v>
      </c>
      <c r="I103" s="8">
        <f t="shared" si="26"/>
        <v>4.9810719266786211E-3</v>
      </c>
      <c r="J103" s="8">
        <v>1749.3548931883499</v>
      </c>
      <c r="K103">
        <v>-369.06930000711998</v>
      </c>
      <c r="L103">
        <v>5423856.3488769103</v>
      </c>
      <c r="M103">
        <v>-2.2128385216835</v>
      </c>
      <c r="N103">
        <v>-269503.24793356902</v>
      </c>
      <c r="O103">
        <v>73145.021531826002</v>
      </c>
      <c r="P103">
        <v>5.34368649509278</v>
      </c>
      <c r="Q103">
        <f t="shared" si="58"/>
        <v>1.1117727298499776E-2</v>
      </c>
      <c r="R103">
        <f t="shared" si="27"/>
        <v>7.415324519602722E-4</v>
      </c>
      <c r="S103">
        <f t="shared" si="59"/>
        <v>-0.57564352346857817</v>
      </c>
      <c r="T103">
        <f t="shared" si="28"/>
        <v>-4.7456947683290984E-6</v>
      </c>
      <c r="U103">
        <f t="shared" si="60"/>
        <v>9.0618354647720376E-6</v>
      </c>
      <c r="W103" s="8">
        <v>220</v>
      </c>
      <c r="X103" s="59">
        <v>10.9046</v>
      </c>
      <c r="Y103" s="8">
        <f>1.0287*X103/1000</f>
        <v>1.1217562019999999E-2</v>
      </c>
      <c r="Z103">
        <f t="shared" si="61"/>
        <v>1.1075039230793827E-2</v>
      </c>
      <c r="AA103">
        <f t="shared" si="62"/>
        <v>-1.2705326607694722</v>
      </c>
      <c r="AB103">
        <f t="shared" si="31"/>
        <v>1.2705326607694722</v>
      </c>
      <c r="AC103">
        <f t="shared" si="41"/>
        <v>1.1202576024098054E-2</v>
      </c>
      <c r="AD103">
        <f t="shared" si="42"/>
        <v>-0.13359405435179036</v>
      </c>
      <c r="AE103">
        <f t="shared" si="35"/>
        <v>0.13359405435179036</v>
      </c>
      <c r="AF103">
        <f t="shared" si="43"/>
        <v>1.0892757755376656E-2</v>
      </c>
      <c r="AG103">
        <f t="shared" si="44"/>
        <v>-2.8954978278189372</v>
      </c>
      <c r="AH103">
        <f t="shared" si="36"/>
        <v>2.8954978278189372</v>
      </c>
      <c r="AI103">
        <f t="shared" si="45"/>
        <v>1.1227120999931617E-2</v>
      </c>
      <c r="AJ103">
        <f t="shared" si="46"/>
        <v>8.5214415704369592E-2</v>
      </c>
      <c r="AK103">
        <f t="shared" si="37"/>
        <v>8.5214415704369592E-2</v>
      </c>
      <c r="AL103">
        <f>Y110+(-1+(1.023+0.23364*X103/467.6+0.58553*(X103/467)^2-0.40758*(X103/467)^3+0.093324*(X103/467)^4)^4)/(10000*(304.1282/((72.80829^4)*(44.095^3)))^(1/6))</f>
        <v>1.1978161537558766E-2</v>
      </c>
      <c r="AM103">
        <f t="shared" si="55"/>
        <v>6.7804351444875497</v>
      </c>
      <c r="AN103">
        <f t="shared" si="56"/>
        <v>6.7804351444875497</v>
      </c>
    </row>
    <row r="104" spans="1:40" x14ac:dyDescent="0.25">
      <c r="B104" s="170">
        <v>220</v>
      </c>
      <c r="C104" s="87">
        <v>0.39315</v>
      </c>
      <c r="D104" s="91">
        <v>10.022600000000001</v>
      </c>
      <c r="E104" s="87">
        <f>1.1195*D104/1000</f>
        <v>1.12203007E-2</v>
      </c>
      <c r="F104" s="172" t="s">
        <v>304</v>
      </c>
      <c r="H104">
        <f t="shared" si="39"/>
        <v>1.6717920313171686</v>
      </c>
      <c r="I104" s="8">
        <f t="shared" si="26"/>
        <v>4.9810719266786211E-3</v>
      </c>
      <c r="J104" s="8">
        <v>1749.3548931883499</v>
      </c>
      <c r="K104">
        <v>-369.06930000711998</v>
      </c>
      <c r="L104">
        <v>5423856.3488769103</v>
      </c>
      <c r="M104">
        <v>-2.2128385216835</v>
      </c>
      <c r="N104">
        <v>-269503.24793356902</v>
      </c>
      <c r="O104">
        <v>73145.021531826002</v>
      </c>
      <c r="P104">
        <v>5.34368649509278</v>
      </c>
      <c r="Q104">
        <f t="shared" si="58"/>
        <v>1.1117727298499776E-2</v>
      </c>
      <c r="R104">
        <f t="shared" si="27"/>
        <v>7.415324519602722E-4</v>
      </c>
      <c r="S104">
        <f t="shared" si="59"/>
        <v>-0.57564352346857817</v>
      </c>
      <c r="T104">
        <f t="shared" si="28"/>
        <v>-4.7456947683290984E-6</v>
      </c>
      <c r="U104">
        <f t="shared" si="60"/>
        <v>7.6533459941149685E-6</v>
      </c>
      <c r="W104" s="8">
        <v>220</v>
      </c>
      <c r="X104" s="59">
        <v>10.022600000000001</v>
      </c>
      <c r="Y104" s="8">
        <f>1.1195*X104/1000</f>
        <v>1.12203007E-2</v>
      </c>
      <c r="Z104">
        <f t="shared" si="61"/>
        <v>1.1077816444108836E-2</v>
      </c>
      <c r="AA104">
        <f t="shared" si="62"/>
        <v>-1.2698791208970377</v>
      </c>
      <c r="AB104">
        <f t="shared" si="31"/>
        <v>1.2698791208970377</v>
      </c>
      <c r="AC104">
        <f t="shared" si="41"/>
        <v>1.1202576024098054E-2</v>
      </c>
      <c r="AD104">
        <f t="shared" si="42"/>
        <v>-0.15796970487560763</v>
      </c>
      <c r="AE104">
        <f t="shared" si="35"/>
        <v>0.15796970487560763</v>
      </c>
      <c r="AF104">
        <f t="shared" si="43"/>
        <v>1.0892757755376656E-2</v>
      </c>
      <c r="AG104">
        <f t="shared" si="44"/>
        <v>-2.9191993457300409</v>
      </c>
      <c r="AH104">
        <f t="shared" si="36"/>
        <v>2.9191993457300409</v>
      </c>
      <c r="AI104">
        <f t="shared" si="45"/>
        <v>1.1227120999931617E-2</v>
      </c>
      <c r="AJ104">
        <f t="shared" si="46"/>
        <v>6.0785357843548105E-2</v>
      </c>
      <c r="AK104">
        <f t="shared" si="37"/>
        <v>6.0785357843548105E-2</v>
      </c>
      <c r="AL104">
        <f>Y110+(-1+(1.023+0.23364*X104/467.6+0.58553*(X104/467)^2-0.40758*(X104/467)^3+0.093324*(X104/467)^4)^4)/(10000*(304.1282/((72.80829^4)*(44.095^3)))^(1/6))</f>
        <v>1.196865765533224E-2</v>
      </c>
      <c r="AM104">
        <f t="shared" si="55"/>
        <v>6.6696693372240983</v>
      </c>
      <c r="AN104">
        <f t="shared" si="56"/>
        <v>6.6696693372240983</v>
      </c>
    </row>
    <row r="105" spans="1:40" x14ac:dyDescent="0.25">
      <c r="B105" s="170">
        <v>220</v>
      </c>
      <c r="C105" s="87">
        <v>0.36270999999999998</v>
      </c>
      <c r="D105" s="91">
        <v>9.2017199999999999</v>
      </c>
      <c r="E105" s="87">
        <f>1.225*D105/1000</f>
        <v>1.1272107E-2</v>
      </c>
      <c r="F105" s="171" t="s">
        <v>306</v>
      </c>
      <c r="H105">
        <f t="shared" si="39"/>
        <v>1.6717920313171686</v>
      </c>
      <c r="I105" s="8">
        <f t="shared" si="26"/>
        <v>4.9810719266786211E-3</v>
      </c>
      <c r="J105" s="8">
        <v>1749.3548931883499</v>
      </c>
      <c r="K105">
        <v>-369.06930000711998</v>
      </c>
      <c r="L105">
        <v>5423856.3488769103</v>
      </c>
      <c r="M105">
        <v>-2.2128385216835</v>
      </c>
      <c r="N105">
        <v>-269503.24793356902</v>
      </c>
      <c r="O105">
        <v>73145.021531826002</v>
      </c>
      <c r="P105">
        <v>5.34368649509278</v>
      </c>
      <c r="Q105">
        <f t="shared" si="58"/>
        <v>1.1117727298499776E-2</v>
      </c>
      <c r="R105">
        <f t="shared" si="27"/>
        <v>7.415324519602722E-4</v>
      </c>
      <c r="S105">
        <f t="shared" si="59"/>
        <v>-0.57564352346857817</v>
      </c>
      <c r="T105">
        <f t="shared" si="28"/>
        <v>-4.7456947683290984E-6</v>
      </c>
      <c r="U105">
        <f t="shared" si="60"/>
        <v>6.4495552726892532E-6</v>
      </c>
      <c r="W105" s="8">
        <v>220</v>
      </c>
      <c r="X105" s="59">
        <v>9.2017199999999999</v>
      </c>
      <c r="Y105" s="8">
        <f>1.225*X105/1000</f>
        <v>1.1272107E-2</v>
      </c>
      <c r="Z105">
        <f t="shared" si="61"/>
        <v>1.1080508299308836E-2</v>
      </c>
      <c r="AA105">
        <f t="shared" si="62"/>
        <v>-1.6997594211194431</v>
      </c>
      <c r="AB105">
        <f t="shared" si="31"/>
        <v>1.6997594211194431</v>
      </c>
      <c r="AC105">
        <f t="shared" si="41"/>
        <v>1.1202576024098054E-2</v>
      </c>
      <c r="AD105">
        <f t="shared" si="42"/>
        <v>-0.6168409854692295</v>
      </c>
      <c r="AE105">
        <f t="shared" si="35"/>
        <v>0.6168409854692295</v>
      </c>
      <c r="AF105">
        <f t="shared" si="43"/>
        <v>1.0892757755376656E-2</v>
      </c>
      <c r="AG105">
        <f t="shared" si="44"/>
        <v>-3.3653800893066705</v>
      </c>
      <c r="AH105">
        <f t="shared" si="36"/>
        <v>3.3653800893066705</v>
      </c>
      <c r="AI105">
        <f t="shared" si="45"/>
        <v>1.1227120999931617E-2</v>
      </c>
      <c r="AJ105">
        <f t="shared" si="46"/>
        <v>-0.39909131512310103</v>
      </c>
      <c r="AK105">
        <f t="shared" si="37"/>
        <v>0.39909131512310103</v>
      </c>
      <c r="AL105">
        <f>Y110+(-1+(1.023+0.23364*X105/467.6+0.58553*(X105/467)^2-0.40758*(X105/467)^3+0.093324*(X105/467)^4)^4)/(10000*(304.1282/((72.80829^4)*(44.095^3)))^(1/6))</f>
        <v>1.1959894081501922E-2</v>
      </c>
      <c r="AM105">
        <f t="shared" si="55"/>
        <v>6.1016727529460288</v>
      </c>
      <c r="AN105">
        <f t="shared" si="56"/>
        <v>6.1016727529460288</v>
      </c>
    </row>
    <row r="106" spans="1:40" x14ac:dyDescent="0.25">
      <c r="B106" s="170">
        <v>220</v>
      </c>
      <c r="C106" s="87">
        <v>0.32446999999999998</v>
      </c>
      <c r="D106" s="91">
        <v>8.1823300000000003</v>
      </c>
      <c r="E106" s="87">
        <f>1.375*D106/1000</f>
        <v>1.125070375E-2</v>
      </c>
      <c r="F106" s="171" t="s">
        <v>307</v>
      </c>
      <c r="H106">
        <f t="shared" si="39"/>
        <v>1.6717920313171686</v>
      </c>
      <c r="I106" s="8">
        <f t="shared" si="26"/>
        <v>4.9810719266786211E-3</v>
      </c>
      <c r="J106" s="8">
        <v>1749.3548931883499</v>
      </c>
      <c r="K106">
        <v>-369.06930000711998</v>
      </c>
      <c r="L106">
        <v>5423856.3488769103</v>
      </c>
      <c r="M106">
        <v>-2.2128385216835</v>
      </c>
      <c r="N106">
        <v>-269503.24793356902</v>
      </c>
      <c r="O106">
        <v>73145.021531826002</v>
      </c>
      <c r="P106">
        <v>5.34368649509278</v>
      </c>
      <c r="Q106">
        <f t="shared" si="58"/>
        <v>1.1117727298499776E-2</v>
      </c>
      <c r="R106">
        <f t="shared" si="27"/>
        <v>7.415324519602722E-4</v>
      </c>
      <c r="S106">
        <f t="shared" si="59"/>
        <v>-0.57564352346857817</v>
      </c>
      <c r="T106">
        <f t="shared" si="28"/>
        <v>-4.7456947683290984E-6</v>
      </c>
      <c r="U106">
        <f t="shared" si="60"/>
        <v>5.0982718215781399E-6</v>
      </c>
      <c r="W106" s="8">
        <v>220</v>
      </c>
      <c r="X106" s="59">
        <v>8.1823300000000003</v>
      </c>
      <c r="Y106" s="8">
        <f>1.375*X106/1000</f>
        <v>1.125070375E-2</v>
      </c>
      <c r="Z106">
        <f t="shared" si="61"/>
        <v>1.1083994729647611E-2</v>
      </c>
      <c r="AA106">
        <f t="shared" si="62"/>
        <v>-1.4817652660384837</v>
      </c>
      <c r="AB106">
        <f t="shared" si="31"/>
        <v>1.4817652660384837</v>
      </c>
      <c r="AC106">
        <f t="shared" si="41"/>
        <v>1.1202576024098054E-2</v>
      </c>
      <c r="AD106">
        <f t="shared" si="42"/>
        <v>-0.42777524829899133</v>
      </c>
      <c r="AE106">
        <f t="shared" si="35"/>
        <v>0.42777524829899133</v>
      </c>
      <c r="AF106">
        <f t="shared" si="43"/>
        <v>1.0892757755376656E-2</v>
      </c>
      <c r="AG106">
        <f t="shared" si="44"/>
        <v>-3.181543151230374</v>
      </c>
      <c r="AH106">
        <f t="shared" si="36"/>
        <v>3.181543151230374</v>
      </c>
      <c r="AI106">
        <f t="shared" si="45"/>
        <v>1.1227120999931617E-2</v>
      </c>
      <c r="AJ106">
        <f t="shared" si="46"/>
        <v>-0.20961133269893059</v>
      </c>
      <c r="AK106">
        <f t="shared" si="37"/>
        <v>0.20961133269893059</v>
      </c>
      <c r="AL106">
        <f>Y110+(-1+(1.023+0.23364*X106/467.6+0.58553*(X106/467)^2-0.40758*(X106/467)^3+0.093324*(X106/467)^4)^4)/(10000*(304.1282/((72.80829^4)*(44.095^3)))^(1/6))</f>
        <v>1.1949120879796689E-2</v>
      </c>
      <c r="AM106">
        <f>100*(AL106-Y106)/Y106</f>
        <v>6.20776393473776</v>
      </c>
      <c r="AN106">
        <f t="shared" si="56"/>
        <v>6.20776393473776</v>
      </c>
    </row>
    <row r="107" spans="1:40" x14ac:dyDescent="0.25">
      <c r="B107" s="170">
        <v>220</v>
      </c>
      <c r="C107" s="87">
        <v>0.28821000000000002</v>
      </c>
      <c r="D107" s="91">
        <v>7.2274000000000003</v>
      </c>
      <c r="E107" s="87">
        <f>1.5567*D107/1000</f>
        <v>1.1250893579999999E-2</v>
      </c>
      <c r="F107" s="171"/>
      <c r="H107">
        <f t="shared" si="39"/>
        <v>1.6717920313171686</v>
      </c>
      <c r="I107" s="8">
        <f t="shared" si="26"/>
        <v>4.9810719266786211E-3</v>
      </c>
      <c r="J107" s="8">
        <v>1749.3548931883499</v>
      </c>
      <c r="K107">
        <v>-369.06930000711998</v>
      </c>
      <c r="L107">
        <v>5423856.3488769103</v>
      </c>
      <c r="M107">
        <v>-2.2128385216835</v>
      </c>
      <c r="N107">
        <v>-269503.24793356902</v>
      </c>
      <c r="O107">
        <v>73145.021531826002</v>
      </c>
      <c r="P107">
        <v>5.34368649509278</v>
      </c>
      <c r="Q107">
        <f t="shared" si="58"/>
        <v>1.1117727298499776E-2</v>
      </c>
      <c r="R107">
        <f t="shared" si="27"/>
        <v>7.415324519602722E-4</v>
      </c>
      <c r="S107">
        <f t="shared" si="59"/>
        <v>-0.57564352346857817</v>
      </c>
      <c r="T107">
        <f t="shared" si="28"/>
        <v>-4.7456947683290984E-6</v>
      </c>
      <c r="U107">
        <f t="shared" si="60"/>
        <v>3.9766574368542104E-6</v>
      </c>
      <c r="W107" s="8">
        <v>220</v>
      </c>
      <c r="X107" s="59">
        <v>7.2274000000000003</v>
      </c>
      <c r="Y107" s="8">
        <f>1.5567*X107/1000</f>
        <v>1.1250893579999999E-2</v>
      </c>
      <c r="Z107">
        <f t="shared" si="61"/>
        <v>1.1087404921568008E-2</v>
      </c>
      <c r="AA107">
        <f t="shared" si="62"/>
        <v>-1.4531170992730256</v>
      </c>
      <c r="AB107">
        <f t="shared" si="31"/>
        <v>1.4531170992730256</v>
      </c>
      <c r="AC107">
        <f t="shared" si="41"/>
        <v>1.1202576024098054E-2</v>
      </c>
      <c r="AD107">
        <f t="shared" si="42"/>
        <v>-0.42945527444892173</v>
      </c>
      <c r="AE107">
        <f t="shared" si="35"/>
        <v>0.42945527444892173</v>
      </c>
      <c r="AF107">
        <f t="shared" si="43"/>
        <v>1.0892757755376656E-2</v>
      </c>
      <c r="AG107">
        <f t="shared" si="44"/>
        <v>-3.1831767146031669</v>
      </c>
      <c r="AH107">
        <f t="shared" si="36"/>
        <v>3.1831767146031669</v>
      </c>
      <c r="AI107">
        <f t="shared" si="45"/>
        <v>1.1227120999931617E-2</v>
      </c>
      <c r="AJ107">
        <f t="shared" si="46"/>
        <v>-0.21129503980591599</v>
      </c>
      <c r="AK107">
        <f t="shared" si="37"/>
        <v>0.21129503980591599</v>
      </c>
      <c r="AL107">
        <f>Y110+(-1+(1.023+0.23364*X107/467.6+0.58553*(X107/467)^2-0.40758*(X107/467)^3+0.093324*(X107/467)^4)^4)/(10000*(304.1282/((72.80829^4)*(44.095^3)))^(1/6))</f>
        <v>1.1939139055149747E-2</v>
      </c>
      <c r="AM107">
        <f t="shared" si="55"/>
        <v>6.1172516676648572</v>
      </c>
      <c r="AN107">
        <f t="shared" si="56"/>
        <v>6.1172516676648572</v>
      </c>
    </row>
    <row r="108" spans="1:40" x14ac:dyDescent="0.25">
      <c r="B108" s="170">
        <v>220</v>
      </c>
      <c r="C108" s="87">
        <v>0.25444</v>
      </c>
      <c r="D108" s="91">
        <v>6.34795</v>
      </c>
      <c r="E108" s="87">
        <f>1.7918*D108/1000</f>
        <v>1.137425681E-2</v>
      </c>
      <c r="F108" s="171"/>
      <c r="H108">
        <f t="shared" si="39"/>
        <v>1.6717920313171686</v>
      </c>
      <c r="I108" s="8">
        <f t="shared" si="26"/>
        <v>4.9810719266786211E-3</v>
      </c>
      <c r="J108" s="8">
        <v>1749.3548931883499</v>
      </c>
      <c r="K108">
        <v>-369.06930000711998</v>
      </c>
      <c r="L108">
        <v>5423856.3488769103</v>
      </c>
      <c r="M108">
        <v>-2.2128385216835</v>
      </c>
      <c r="N108">
        <v>-269503.24793356902</v>
      </c>
      <c r="O108">
        <v>73145.021531826002</v>
      </c>
      <c r="P108">
        <v>5.34368649509278</v>
      </c>
      <c r="Q108">
        <f t="shared" si="58"/>
        <v>1.1117727298499776E-2</v>
      </c>
      <c r="R108">
        <f t="shared" si="27"/>
        <v>7.415324519602722E-4</v>
      </c>
      <c r="S108">
        <f t="shared" si="59"/>
        <v>-0.57564352346857817</v>
      </c>
      <c r="T108">
        <f t="shared" si="28"/>
        <v>-4.7456947683290984E-6</v>
      </c>
      <c r="U108">
        <f t="shared" si="60"/>
        <v>3.0670089949641643E-6</v>
      </c>
      <c r="W108" s="8">
        <v>220</v>
      </c>
      <c r="X108" s="59">
        <v>6.34795</v>
      </c>
      <c r="Y108" s="8">
        <f>1.7918*X108/1000</f>
        <v>1.137425681E-2</v>
      </c>
      <c r="Z108">
        <f t="shared" si="61"/>
        <v>1.1090668874390124E-2</v>
      </c>
      <c r="AA108">
        <f t="shared" si="62"/>
        <v>-2.4932436496470851</v>
      </c>
      <c r="AB108">
        <f t="shared" si="31"/>
        <v>2.4932436496470851</v>
      </c>
      <c r="AC108">
        <f t="shared" si="41"/>
        <v>1.1202576024098054E-2</v>
      </c>
      <c r="AD108">
        <f t="shared" si="42"/>
        <v>-1.5093802502420057</v>
      </c>
      <c r="AE108">
        <f t="shared" si="35"/>
        <v>1.5093802502420057</v>
      </c>
      <c r="AF108">
        <f t="shared" si="43"/>
        <v>1.0892757755376656E-2</v>
      </c>
      <c r="AG108">
        <f t="shared" si="44"/>
        <v>-4.2332353020200877</v>
      </c>
      <c r="AH108">
        <f t="shared" si="36"/>
        <v>4.2332353020200877</v>
      </c>
      <c r="AI108">
        <f t="shared" si="45"/>
        <v>1.1227120999931617E-2</v>
      </c>
      <c r="AJ108">
        <f t="shared" si="46"/>
        <v>-1.2935861439230465</v>
      </c>
      <c r="AK108">
        <f t="shared" si="37"/>
        <v>1.2935861439230465</v>
      </c>
      <c r="AL108">
        <f>Y110+(-1+(1.023+0.23364*X108/467.6+0.58553*(X108/467)^2-0.40758*(X108/467)^3+0.093324*(X108/467)^4)^4)/(10000*(304.1282/((72.80829^4)*(44.095^3)))^(1/6))</f>
        <v>1.1930040440770274E-2</v>
      </c>
      <c r="AM108">
        <f t="shared" si="55"/>
        <v>4.8863291910346227</v>
      </c>
      <c r="AN108">
        <f t="shared" si="56"/>
        <v>4.8863291910346227</v>
      </c>
    </row>
    <row r="109" spans="1:40" x14ac:dyDescent="0.25">
      <c r="B109" s="170">
        <v>220</v>
      </c>
      <c r="C109" s="87">
        <v>0.22670999999999999</v>
      </c>
      <c r="D109" s="91">
        <v>5.6326999999999998</v>
      </c>
      <c r="E109" s="87">
        <f>2.003*D109/1000</f>
        <v>1.1282298100000001E-2</v>
      </c>
      <c r="F109" s="171"/>
      <c r="H109">
        <f t="shared" si="39"/>
        <v>1.6717920313171686</v>
      </c>
      <c r="I109" s="8">
        <f t="shared" si="26"/>
        <v>4.9810719266786211E-3</v>
      </c>
      <c r="J109" s="8">
        <v>1749.3548931883499</v>
      </c>
      <c r="K109">
        <v>-369.06930000711998</v>
      </c>
      <c r="L109">
        <v>5423856.3488769103</v>
      </c>
      <c r="M109">
        <v>-2.2128385216835</v>
      </c>
      <c r="N109">
        <v>-269503.24793356902</v>
      </c>
      <c r="O109">
        <v>73145.021531826002</v>
      </c>
      <c r="P109">
        <v>5.34368649509278</v>
      </c>
      <c r="Q109">
        <f t="shared" si="58"/>
        <v>1.1117727298499776E-2</v>
      </c>
      <c r="R109">
        <f t="shared" si="27"/>
        <v>7.415324519602722E-4</v>
      </c>
      <c r="S109">
        <f t="shared" si="59"/>
        <v>-0.57564352346857817</v>
      </c>
      <c r="T109">
        <f t="shared" si="28"/>
        <v>-4.7456947683290984E-6</v>
      </c>
      <c r="U109">
        <f t="shared" si="60"/>
        <v>2.4143215752619601E-6</v>
      </c>
      <c r="W109" s="8">
        <v>220</v>
      </c>
      <c r="X109" s="59">
        <v>5.6326999999999998</v>
      </c>
      <c r="Y109" s="8">
        <f>2.003*X109/1000</f>
        <v>1.1282298100000001E-2</v>
      </c>
      <c r="Z109">
        <f t="shared" si="61"/>
        <v>1.1093410545153471E-2</v>
      </c>
      <c r="AA109">
        <f t="shared" si="62"/>
        <v>-1.6741939733584086</v>
      </c>
      <c r="AB109">
        <f t="shared" si="31"/>
        <v>1.6741939733584086</v>
      </c>
      <c r="AC109">
        <f t="shared" si="41"/>
        <v>1.1202576024098054E-2</v>
      </c>
      <c r="AD109">
        <f t="shared" si="42"/>
        <v>-0.70661203236552494</v>
      </c>
      <c r="AE109">
        <f t="shared" si="35"/>
        <v>0.70661203236552494</v>
      </c>
      <c r="AF109">
        <f t="shared" si="43"/>
        <v>1.0892757755376656E-2</v>
      </c>
      <c r="AG109">
        <f t="shared" si="44"/>
        <v>-3.4526684295227446</v>
      </c>
      <c r="AH109">
        <f t="shared" si="36"/>
        <v>3.4526684295227446</v>
      </c>
      <c r="AI109">
        <f t="shared" si="45"/>
        <v>1.1227120999931617E-2</v>
      </c>
      <c r="AJ109">
        <f t="shared" si="46"/>
        <v>-0.48905905143903383</v>
      </c>
      <c r="AK109">
        <f t="shared" si="37"/>
        <v>0.48905905143903383</v>
      </c>
      <c r="AL109">
        <f>Y110+(-1+(1.023+0.23364*X109/467.6+0.58553*(X109/467)^2-0.40758*(X109/467)^3+0.093324*(X109/467)^4)^4)/(10000*(304.1282/((72.80829^4)*(44.095^3)))^(1/6))</f>
        <v>1.1922707209321795E-2</v>
      </c>
      <c r="AM109">
        <f t="shared" si="55"/>
        <v>5.676229289862448</v>
      </c>
      <c r="AN109">
        <f t="shared" si="56"/>
        <v>5.676229289862448</v>
      </c>
    </row>
    <row r="110" spans="1:40" x14ac:dyDescent="0.25">
      <c r="B110" s="173">
        <v>220</v>
      </c>
      <c r="C110" s="88">
        <v>0.19545999999999999</v>
      </c>
      <c r="D110" s="92">
        <v>4.83392</v>
      </c>
      <c r="E110" s="88">
        <f>2.367*D110/1000</f>
        <v>1.144188864E-2</v>
      </c>
      <c r="F110" s="171"/>
      <c r="H110" s="25">
        <f t="shared" si="39"/>
        <v>1.6717920313171686</v>
      </c>
      <c r="I110" s="57">
        <f t="shared" si="26"/>
        <v>4.9810719266786211E-3</v>
      </c>
      <c r="J110" s="57">
        <v>1749.3548931883499</v>
      </c>
      <c r="K110" s="25">
        <v>-369.06930000711998</v>
      </c>
      <c r="L110" s="25">
        <v>5423856.3488769103</v>
      </c>
      <c r="M110" s="25">
        <v>-2.2128385216835</v>
      </c>
      <c r="N110" s="25">
        <v>-269503.24793356902</v>
      </c>
      <c r="O110" s="25">
        <v>73145.021531826002</v>
      </c>
      <c r="P110" s="25">
        <v>5.34368649509278</v>
      </c>
      <c r="Q110" s="25">
        <f t="shared" si="58"/>
        <v>1.1117727298499776E-2</v>
      </c>
      <c r="R110" s="25">
        <f t="shared" si="27"/>
        <v>7.415324519602722E-4</v>
      </c>
      <c r="S110" s="25">
        <f t="shared" si="59"/>
        <v>-0.57564352346857817</v>
      </c>
      <c r="T110" s="25">
        <f t="shared" si="28"/>
        <v>-4.7456947683290984E-6</v>
      </c>
      <c r="U110" s="25">
        <f t="shared" si="60"/>
        <v>1.7777247700084655E-6</v>
      </c>
      <c r="W110" s="57">
        <v>220</v>
      </c>
      <c r="X110" s="74">
        <v>4.83392</v>
      </c>
      <c r="Y110" s="57">
        <f>2.367*X110/1000</f>
        <v>1.144188864E-2</v>
      </c>
      <c r="Z110" s="25">
        <f t="shared" si="61"/>
        <v>1.1096564714415265E-2</v>
      </c>
      <c r="AA110" s="25">
        <f t="shared" si="62"/>
        <v>-3.0180675275715267</v>
      </c>
      <c r="AB110" s="25">
        <f t="shared" si="31"/>
        <v>3.0180675275715267</v>
      </c>
      <c r="AC110" s="25">
        <f t="shared" si="41"/>
        <v>1.1202576024098054E-2</v>
      </c>
      <c r="AD110" s="25">
        <f t="shared" si="42"/>
        <v>-2.0915482000526269</v>
      </c>
      <c r="AE110" s="25">
        <f t="shared" si="35"/>
        <v>2.0915482000526269</v>
      </c>
      <c r="AF110" s="25">
        <f t="shared" si="43"/>
        <v>1.0892757755376656E-2</v>
      </c>
      <c r="AG110" s="25">
        <f t="shared" si="44"/>
        <v>-4.799302824042722</v>
      </c>
      <c r="AH110" s="25">
        <f t="shared" si="36"/>
        <v>4.799302824042722</v>
      </c>
      <c r="AI110" s="25">
        <f t="shared" si="45"/>
        <v>1.1227120999931617E-2</v>
      </c>
      <c r="AJ110" s="25">
        <f t="shared" si="46"/>
        <v>-1.8770296305591654</v>
      </c>
      <c r="AK110" s="25">
        <f t="shared" si="37"/>
        <v>1.8770296305591654</v>
      </c>
      <c r="AL110" s="25">
        <f>Y110+(-1+(1.023+0.23364*X110/467.6+0.58553*(X110/467)^2-0.40758*(X110/467)^3+0.093324*(X110/467)^4)^4)/(10000*(304.1282/((72.80829^4)*(44.095^3)))^(1/6))</f>
        <v>1.1914588175342451E-2</v>
      </c>
      <c r="AM110" s="25">
        <f t="shared" si="55"/>
        <v>4.131306904088615</v>
      </c>
      <c r="AN110" s="25">
        <f t="shared" si="56"/>
        <v>4.131306904088615</v>
      </c>
    </row>
    <row r="111" spans="1:40" x14ac:dyDescent="0.25">
      <c r="A111" t="s">
        <v>271</v>
      </c>
      <c r="B111" s="170">
        <v>235</v>
      </c>
      <c r="C111" s="87">
        <v>0.80330999999999997</v>
      </c>
      <c r="D111" s="91">
        <v>20.006</v>
      </c>
      <c r="E111" s="89">
        <f>0.5951*D111/1000</f>
        <v>1.1905570599999998E-2</v>
      </c>
      <c r="F111" s="174"/>
      <c r="H111">
        <f t="shared" si="39"/>
        <v>1.6151620278170653</v>
      </c>
      <c r="I111" s="8">
        <f t="shared" si="26"/>
        <v>4.9810719266786211E-3</v>
      </c>
      <c r="J111" s="8">
        <v>1749.3548931883499</v>
      </c>
      <c r="K111">
        <v>-369.06930000711998</v>
      </c>
      <c r="L111">
        <v>5423856.3488769103</v>
      </c>
      <c r="M111">
        <v>-2.2128385216835</v>
      </c>
      <c r="N111">
        <v>-269503.24793356902</v>
      </c>
      <c r="O111">
        <v>73145.021531826002</v>
      </c>
      <c r="P111">
        <v>5.34368649509278</v>
      </c>
      <c r="Q111">
        <f t="shared" si="58"/>
        <v>1.1849876218423528E-2</v>
      </c>
      <c r="R111">
        <f t="shared" si="27"/>
        <v>7.415324519602722E-4</v>
      </c>
      <c r="S111">
        <f t="shared" si="59"/>
        <v>-0.24609847481480418</v>
      </c>
      <c r="T111">
        <f t="shared" si="28"/>
        <v>-2.1624839757187291E-6</v>
      </c>
      <c r="U111">
        <f t="shared" si="60"/>
        <v>2.8403774166811029E-5</v>
      </c>
      <c r="W111" s="8">
        <v>235</v>
      </c>
      <c r="X111" s="75">
        <v>20.006</v>
      </c>
      <c r="Y111">
        <f>0.5951*X111/1000</f>
        <v>1.1905570599999998E-2</v>
      </c>
      <c r="Z111">
        <f t="shared" si="61"/>
        <v>1.183501733817211E-2</v>
      </c>
      <c r="AA111">
        <f>100*(Z111-Y111)/Y111</f>
        <v>-0.59260714331397513</v>
      </c>
      <c r="AB111">
        <f t="shared" si="31"/>
        <v>0.59260714331397513</v>
      </c>
      <c r="AC111">
        <f t="shared" si="41"/>
        <v>1.1966388025741102E-2</v>
      </c>
      <c r="AD111">
        <f t="shared" si="42"/>
        <v>0.51083167522523709</v>
      </c>
      <c r="AE111">
        <f t="shared" si="35"/>
        <v>0.51083167522523709</v>
      </c>
      <c r="AF111">
        <f t="shared" si="43"/>
        <v>1.165270068346008E-2</v>
      </c>
      <c r="AG111">
        <f t="shared" si="44"/>
        <v>-2.123963017277962</v>
      </c>
      <c r="AH111">
        <f t="shared" si="36"/>
        <v>2.123963017277962</v>
      </c>
      <c r="AI111">
        <f t="shared" si="45"/>
        <v>1.1991313987184747E-2</v>
      </c>
      <c r="AJ111">
        <f t="shared" si="46"/>
        <v>0.7201955291815143</v>
      </c>
      <c r="AK111">
        <f t="shared" si="37"/>
        <v>0.7201955291815143</v>
      </c>
      <c r="AL111">
        <f>Y111+(-1+(1.023+0.23364*X111/467.6+0.58553*(X111/467)^2-0.40758*(X111/467)^3+0.093324*(X111/467)^4)^4)/(10000*(304.1282/((72.80829^4)*(44.095^3)))^(1/6))</f>
        <v>1.2545234710246024E-2</v>
      </c>
      <c r="AM111">
        <f t="shared" ref="AM111:AM174" si="63">100*(AL111-Y111)/Y111</f>
        <v>5.372813548693129</v>
      </c>
      <c r="AN111">
        <f t="shared" ref="AN111:AN174" si="64">ABS(AM111)</f>
        <v>5.372813548693129</v>
      </c>
    </row>
    <row r="112" spans="1:40" x14ac:dyDescent="0.25">
      <c r="A112" t="s">
        <v>281</v>
      </c>
      <c r="B112" s="170">
        <v>235</v>
      </c>
      <c r="C112" s="87">
        <v>0.72387999999999997</v>
      </c>
      <c r="D112" s="91">
        <v>17.823699999999999</v>
      </c>
      <c r="E112" s="89">
        <f>0.6708*D112/1000</f>
        <v>1.1956137959999998E-2</v>
      </c>
      <c r="F112" s="174"/>
      <c r="G112" s="11"/>
      <c r="H112">
        <f t="shared" si="39"/>
        <v>1.6151620278170653</v>
      </c>
      <c r="I112" s="8">
        <f t="shared" si="26"/>
        <v>4.9810719266786211E-3</v>
      </c>
      <c r="J112" s="8">
        <v>1749.3548931883499</v>
      </c>
      <c r="K112">
        <v>-369.06930000711998</v>
      </c>
      <c r="L112">
        <v>5423856.3488769103</v>
      </c>
      <c r="M112">
        <v>-2.2128385216835</v>
      </c>
      <c r="N112">
        <v>-269503.24793356902</v>
      </c>
      <c r="O112">
        <v>73145.021531826002</v>
      </c>
      <c r="P112">
        <v>5.34368649509278</v>
      </c>
      <c r="Q112">
        <f t="shared" si="58"/>
        <v>1.1849876218423528E-2</v>
      </c>
      <c r="R112">
        <f t="shared" si="27"/>
        <v>7.415324519602722E-4</v>
      </c>
      <c r="S112">
        <f t="shared" si="59"/>
        <v>-0.24609847481480418</v>
      </c>
      <c r="T112">
        <f t="shared" si="28"/>
        <v>-2.1624839757187291E-6</v>
      </c>
      <c r="U112">
        <f t="shared" si="60"/>
        <v>2.252941612247336E-5</v>
      </c>
      <c r="W112" s="8">
        <v>235</v>
      </c>
      <c r="X112" s="75">
        <v>17.823699999999999</v>
      </c>
      <c r="Y112">
        <f>0.6708*X112/1000</f>
        <v>1.1956137959999998E-2</v>
      </c>
      <c r="Z112">
        <f t="shared" si="61"/>
        <v>1.1833862168907984E-2</v>
      </c>
      <c r="AA112">
        <f t="shared" ref="AA112:AA175" si="65">100*(Z112-Y112)/Y112</f>
        <v>-1.0227030793814513</v>
      </c>
      <c r="AB112">
        <f t="shared" si="31"/>
        <v>1.0227030793814513</v>
      </c>
      <c r="AC112">
        <f t="shared" si="41"/>
        <v>1.1966388025741102E-2</v>
      </c>
      <c r="AD112">
        <f t="shared" si="42"/>
        <v>8.5730574332578025E-2</v>
      </c>
      <c r="AE112">
        <f t="shared" si="35"/>
        <v>8.5730574332578025E-2</v>
      </c>
      <c r="AF112">
        <f t="shared" si="43"/>
        <v>1.165270068346008E-2</v>
      </c>
      <c r="AG112">
        <f t="shared" si="44"/>
        <v>-2.5379205020474513</v>
      </c>
      <c r="AH112">
        <f t="shared" si="36"/>
        <v>2.5379205020474513</v>
      </c>
      <c r="AI112">
        <f t="shared" si="45"/>
        <v>1.1991313987184747E-2</v>
      </c>
      <c r="AJ112">
        <f t="shared" si="46"/>
        <v>0.29420894357720223</v>
      </c>
      <c r="AK112">
        <f t="shared" si="37"/>
        <v>0.29420894357720223</v>
      </c>
      <c r="AL112">
        <f t="shared" ref="AL112:AL175" si="66">Y112+(-1+(1.023+0.23364*X112/467.6+0.58553*(X112/467)^2-0.40758*(X112/467)^3+0.093324*(X112/467)^4)^4)/(10000*(304.1282/((72.80829^4)*(44.095^3)))^(1/6))</f>
        <v>1.2570126044746329E-2</v>
      </c>
      <c r="AM112">
        <f t="shared" si="63"/>
        <v>5.1353379059397444</v>
      </c>
      <c r="AN112">
        <f t="shared" si="64"/>
        <v>5.1353379059397444</v>
      </c>
    </row>
    <row r="113" spans="1:40" x14ac:dyDescent="0.25">
      <c r="B113" s="170">
        <v>235</v>
      </c>
      <c r="C113" s="87">
        <v>0.63846000000000003</v>
      </c>
      <c r="D113" s="91">
        <v>15.5358</v>
      </c>
      <c r="E113" s="89">
        <f>0.7665*D113/1000</f>
        <v>1.1908190699999998E-2</v>
      </c>
      <c r="F113" s="174"/>
      <c r="H113">
        <f t="shared" si="39"/>
        <v>1.6151620278170653</v>
      </c>
      <c r="I113" s="8">
        <f t="shared" si="26"/>
        <v>4.9810719266786211E-3</v>
      </c>
      <c r="J113" s="8">
        <v>1749.3548931883499</v>
      </c>
      <c r="K113">
        <v>-369.06930000711998</v>
      </c>
      <c r="L113">
        <v>5423856.3488769103</v>
      </c>
      <c r="M113">
        <v>-2.2128385216835</v>
      </c>
      <c r="N113">
        <v>-269503.24793356902</v>
      </c>
      <c r="O113">
        <v>73145.021531826002</v>
      </c>
      <c r="P113">
        <v>5.34368649509278</v>
      </c>
      <c r="Q113">
        <f t="shared" si="58"/>
        <v>1.1849876218423528E-2</v>
      </c>
      <c r="R113">
        <f t="shared" si="27"/>
        <v>7.415324519602722E-4</v>
      </c>
      <c r="S113">
        <f t="shared" si="59"/>
        <v>-0.24609847481480418</v>
      </c>
      <c r="T113">
        <f t="shared" si="28"/>
        <v>-2.1624839757187291E-6</v>
      </c>
      <c r="U113">
        <f t="shared" si="60"/>
        <v>1.7104301162483627E-5</v>
      </c>
      <c r="W113" s="8">
        <v>235</v>
      </c>
      <c r="X113" s="75">
        <v>15.5358</v>
      </c>
      <c r="Y113">
        <f>0.7665*X113/1000</f>
        <v>1.1908190699999998E-2</v>
      </c>
      <c r="Z113">
        <f t="shared" si="61"/>
        <v>1.1833384601036041E-2</v>
      </c>
      <c r="AA113">
        <f t="shared" si="65"/>
        <v>-0.62819030068066517</v>
      </c>
      <c r="AB113">
        <f t="shared" si="31"/>
        <v>0.62819030068066517</v>
      </c>
      <c r="AC113">
        <f t="shared" si="41"/>
        <v>1.1966388025741102E-2</v>
      </c>
      <c r="AD113">
        <f t="shared" si="42"/>
        <v>0.48871677660573287</v>
      </c>
      <c r="AE113">
        <f t="shared" si="35"/>
        <v>0.48871677660573287</v>
      </c>
      <c r="AF113">
        <f t="shared" si="43"/>
        <v>1.165270068346008E-2</v>
      </c>
      <c r="AG113">
        <f t="shared" si="44"/>
        <v>-2.1454981951197474</v>
      </c>
      <c r="AH113">
        <f t="shared" si="36"/>
        <v>2.1454981951197474</v>
      </c>
      <c r="AI113">
        <f t="shared" si="45"/>
        <v>1.1991313987184747E-2</v>
      </c>
      <c r="AJ113">
        <f t="shared" si="46"/>
        <v>0.69803456527404395</v>
      </c>
      <c r="AK113">
        <f t="shared" si="37"/>
        <v>0.69803456527404395</v>
      </c>
      <c r="AL113">
        <f t="shared" si="66"/>
        <v>1.2495860429064311E-2</v>
      </c>
      <c r="AM113">
        <f t="shared" si="63"/>
        <v>4.9350043501093177</v>
      </c>
      <c r="AN113">
        <f t="shared" si="64"/>
        <v>4.9350043501093177</v>
      </c>
    </row>
    <row r="114" spans="1:40" x14ac:dyDescent="0.25">
      <c r="B114" s="170">
        <v>235</v>
      </c>
      <c r="C114" s="87">
        <v>0.54518</v>
      </c>
      <c r="D114" s="91">
        <v>13.102</v>
      </c>
      <c r="E114" s="89">
        <f>D114*0.9134/1000</f>
        <v>1.19673668E-2</v>
      </c>
      <c r="F114" s="174"/>
      <c r="H114">
        <f t="shared" si="39"/>
        <v>1.6151620278170653</v>
      </c>
      <c r="I114" s="8">
        <f t="shared" si="26"/>
        <v>4.9810719266786211E-3</v>
      </c>
      <c r="J114" s="8">
        <v>1749.3548931883499</v>
      </c>
      <c r="K114">
        <v>-369.06930000711998</v>
      </c>
      <c r="L114">
        <v>5423856.3488769103</v>
      </c>
      <c r="M114">
        <v>-2.2128385216835</v>
      </c>
      <c r="N114">
        <v>-269503.24793356902</v>
      </c>
      <c r="O114">
        <v>73145.021531826002</v>
      </c>
      <c r="P114">
        <v>5.34368649509278</v>
      </c>
      <c r="Q114">
        <f t="shared" si="58"/>
        <v>1.1849876218423528E-2</v>
      </c>
      <c r="R114">
        <f t="shared" si="27"/>
        <v>7.415324519602722E-4</v>
      </c>
      <c r="S114">
        <f t="shared" si="59"/>
        <v>-0.24609847481480418</v>
      </c>
      <c r="T114">
        <f t="shared" si="28"/>
        <v>-2.1624839757187291E-6</v>
      </c>
      <c r="U114">
        <f t="shared" si="60"/>
        <v>1.2155609838016626E-5</v>
      </c>
      <c r="W114" s="8">
        <v>235</v>
      </c>
      <c r="X114" s="75">
        <v>13.102</v>
      </c>
      <c r="Y114">
        <f>X114*0.9134/1000</f>
        <v>1.19673668E-2</v>
      </c>
      <c r="Z114">
        <f t="shared" si="61"/>
        <v>1.1833698963211677E-2</v>
      </c>
      <c r="AA114">
        <f t="shared" si="65"/>
        <v>-1.1169360730910594</v>
      </c>
      <c r="AB114">
        <f t="shared" si="31"/>
        <v>1.1169360730910594</v>
      </c>
      <c r="AC114">
        <f t="shared" si="41"/>
        <v>1.1966388025741102E-2</v>
      </c>
      <c r="AD114">
        <f t="shared" si="42"/>
        <v>-8.1786935694053535E-3</v>
      </c>
      <c r="AE114">
        <f t="shared" si="35"/>
        <v>8.1786935694053535E-3</v>
      </c>
      <c r="AF114">
        <f t="shared" si="43"/>
        <v>1.165270068346008E-2</v>
      </c>
      <c r="AG114">
        <f t="shared" si="44"/>
        <v>-2.6293680288960473</v>
      </c>
      <c r="AH114">
        <f t="shared" si="36"/>
        <v>2.6293680288960473</v>
      </c>
      <c r="AI114">
        <f t="shared" si="45"/>
        <v>1.1991313987184747E-2</v>
      </c>
      <c r="AJ114">
        <f t="shared" si="46"/>
        <v>0.200104062864913</v>
      </c>
      <c r="AK114">
        <f t="shared" si="37"/>
        <v>0.200104062864913</v>
      </c>
      <c r="AL114">
        <f t="shared" si="66"/>
        <v>1.2527713284217147E-2</v>
      </c>
      <c r="AM114">
        <f t="shared" si="63"/>
        <v>4.6822872030390768</v>
      </c>
      <c r="AN114">
        <f t="shared" si="64"/>
        <v>4.6822872030390768</v>
      </c>
    </row>
    <row r="115" spans="1:40" x14ac:dyDescent="0.25">
      <c r="B115" s="170">
        <v>235</v>
      </c>
      <c r="C115" s="87">
        <v>0.45288</v>
      </c>
      <c r="D115" s="91">
        <v>10.7554</v>
      </c>
      <c r="E115" s="89">
        <f>D115*1.1143/1000</f>
        <v>1.198474222E-2</v>
      </c>
      <c r="F115" s="174"/>
      <c r="H115">
        <f t="shared" si="39"/>
        <v>1.6151620278170653</v>
      </c>
      <c r="I115" s="8">
        <f t="shared" si="26"/>
        <v>4.9810719266786211E-3</v>
      </c>
      <c r="J115" s="8">
        <v>1749.3548931883499</v>
      </c>
      <c r="K115">
        <v>-369.06930000711998</v>
      </c>
      <c r="L115">
        <v>5423856.3488769103</v>
      </c>
      <c r="M115">
        <v>-2.2128385216835</v>
      </c>
      <c r="N115">
        <v>-269503.24793356902</v>
      </c>
      <c r="O115">
        <v>73145.021531826002</v>
      </c>
      <c r="P115">
        <v>5.34368649509278</v>
      </c>
      <c r="Q115">
        <f t="shared" si="58"/>
        <v>1.1849876218423528E-2</v>
      </c>
      <c r="R115">
        <f t="shared" si="27"/>
        <v>7.415324519602722E-4</v>
      </c>
      <c r="S115">
        <f t="shared" si="59"/>
        <v>-0.24609847481480418</v>
      </c>
      <c r="T115">
        <f t="shared" si="28"/>
        <v>-2.1624839757187291E-6</v>
      </c>
      <c r="U115">
        <f t="shared" si="60"/>
        <v>8.1852128232492924E-6</v>
      </c>
      <c r="W115" s="8">
        <v>235</v>
      </c>
      <c r="X115" s="75">
        <v>10.7554</v>
      </c>
      <c r="Y115">
        <f>X115*1.1143/1000</f>
        <v>1.198474222E-2</v>
      </c>
      <c r="Z115">
        <f t="shared" si="61"/>
        <v>1.1834803051094332E-2</v>
      </c>
      <c r="AA115">
        <f t="shared" si="65"/>
        <v>-1.2510838043345829</v>
      </c>
      <c r="AB115">
        <f t="shared" si="31"/>
        <v>1.2510838043345829</v>
      </c>
      <c r="AC115">
        <f t="shared" si="41"/>
        <v>1.1966388025741102E-2</v>
      </c>
      <c r="AD115">
        <f t="shared" si="42"/>
        <v>-0.15314634158980547</v>
      </c>
      <c r="AE115">
        <f t="shared" si="35"/>
        <v>0.15314634158980547</v>
      </c>
      <c r="AF115">
        <f t="shared" si="43"/>
        <v>1.165270068346008E-2</v>
      </c>
      <c r="AG115">
        <f t="shared" si="44"/>
        <v>-2.7705354895811856</v>
      </c>
      <c r="AH115">
        <f t="shared" si="36"/>
        <v>2.7705354895811856</v>
      </c>
      <c r="AI115">
        <f t="shared" si="45"/>
        <v>1.1991313987184747E-2</v>
      </c>
      <c r="AJ115">
        <f t="shared" si="46"/>
        <v>5.483444753429699E-2</v>
      </c>
      <c r="AK115">
        <f t="shared" si="37"/>
        <v>5.483444753429699E-2</v>
      </c>
      <c r="AL115">
        <f t="shared" si="66"/>
        <v>1.2519401038586661E-2</v>
      </c>
      <c r="AM115">
        <f t="shared" si="63"/>
        <v>4.4611624411447757</v>
      </c>
      <c r="AN115">
        <f t="shared" si="64"/>
        <v>4.4611624411447757</v>
      </c>
    </row>
    <row r="116" spans="1:40" x14ac:dyDescent="0.25">
      <c r="B116" s="170">
        <v>235</v>
      </c>
      <c r="C116" s="87">
        <v>0.35942000000000002</v>
      </c>
      <c r="D116" s="91">
        <v>8.4373000000000005</v>
      </c>
      <c r="E116" s="89">
        <f>D116*1.4232/1000</f>
        <v>1.2007965359999999E-2</v>
      </c>
      <c r="F116" s="174"/>
      <c r="H116">
        <f t="shared" si="39"/>
        <v>1.6151620278170653</v>
      </c>
      <c r="I116" s="8">
        <f t="shared" si="26"/>
        <v>4.9810719266786211E-3</v>
      </c>
      <c r="J116" s="8">
        <v>1749.3548931883499</v>
      </c>
      <c r="K116">
        <v>-369.06930000711998</v>
      </c>
      <c r="L116">
        <v>5423856.3488769103</v>
      </c>
      <c r="M116">
        <v>-2.2128385216835</v>
      </c>
      <c r="N116">
        <v>-269503.24793356902</v>
      </c>
      <c r="O116">
        <v>73145.021531826002</v>
      </c>
      <c r="P116">
        <v>5.34368649509278</v>
      </c>
      <c r="Q116">
        <f t="shared" si="58"/>
        <v>1.1849876218423528E-2</v>
      </c>
      <c r="R116">
        <f t="shared" si="27"/>
        <v>7.415324519602722E-4</v>
      </c>
      <c r="S116">
        <f t="shared" si="59"/>
        <v>-0.24609847481480418</v>
      </c>
      <c r="T116">
        <f t="shared" si="28"/>
        <v>-2.1624839757187291E-6</v>
      </c>
      <c r="U116">
        <f t="shared" si="60"/>
        <v>5.0334158368153973E-6</v>
      </c>
      <c r="W116" s="8">
        <v>235</v>
      </c>
      <c r="X116" s="75">
        <v>8.4373000000000005</v>
      </c>
      <c r="Y116">
        <f>X116*1.4232/1000</f>
        <v>1.2007965359999999E-2</v>
      </c>
      <c r="Z116">
        <f t="shared" si="61"/>
        <v>1.1836664108212012E-2</v>
      </c>
      <c r="AA116">
        <f t="shared" si="65"/>
        <v>-1.4265635072417193</v>
      </c>
      <c r="AB116">
        <f t="shared" si="31"/>
        <v>1.4265635072417193</v>
      </c>
      <c r="AC116">
        <f t="shared" si="41"/>
        <v>1.1966388025741102E-2</v>
      </c>
      <c r="AD116">
        <f t="shared" si="42"/>
        <v>-0.34624795302455452</v>
      </c>
      <c r="AE116">
        <f t="shared" si="35"/>
        <v>0.34624795302455452</v>
      </c>
      <c r="AF116">
        <f t="shared" si="43"/>
        <v>1.165270068346008E-2</v>
      </c>
      <c r="AG116">
        <f t="shared" si="44"/>
        <v>-2.9585751281674151</v>
      </c>
      <c r="AH116">
        <f t="shared" si="36"/>
        <v>2.9585751281674151</v>
      </c>
      <c r="AI116">
        <f t="shared" si="45"/>
        <v>1.1991313987184747E-2</v>
      </c>
      <c r="AJ116">
        <f t="shared" si="46"/>
        <v>-0.13866939415664753</v>
      </c>
      <c r="AK116">
        <f t="shared" si="37"/>
        <v>0.13866939415664753</v>
      </c>
      <c r="AL116">
        <f t="shared" si="66"/>
        <v>1.2517880806657059E-2</v>
      </c>
      <c r="AM116">
        <f t="shared" si="63"/>
        <v>4.246476662529779</v>
      </c>
      <c r="AN116">
        <f t="shared" si="64"/>
        <v>4.246476662529779</v>
      </c>
    </row>
    <row r="117" spans="1:40" x14ac:dyDescent="0.25">
      <c r="B117" s="173">
        <v>235</v>
      </c>
      <c r="C117" s="88">
        <v>0.22478000000000001</v>
      </c>
      <c r="D117" s="92">
        <v>5.1925800000000004</v>
      </c>
      <c r="E117" s="90">
        <f>D117*2.312/1000</f>
        <v>1.2005244960000001E-2</v>
      </c>
      <c r="F117" s="174"/>
      <c r="H117" s="25">
        <f t="shared" si="39"/>
        <v>1.6151620278170653</v>
      </c>
      <c r="I117" s="57">
        <f t="shared" si="26"/>
        <v>4.9810719266786211E-3</v>
      </c>
      <c r="J117" s="57">
        <v>1749.3548931883499</v>
      </c>
      <c r="K117" s="25">
        <v>-369.06930000711998</v>
      </c>
      <c r="L117" s="25">
        <v>5423856.3488769103</v>
      </c>
      <c r="M117" s="25">
        <v>-2.2128385216835</v>
      </c>
      <c r="N117" s="25">
        <v>-269503.24793356902</v>
      </c>
      <c r="O117" s="25">
        <v>73145.021531826002</v>
      </c>
      <c r="P117" s="25">
        <v>5.34368649509278</v>
      </c>
      <c r="Q117" s="25">
        <f t="shared" si="58"/>
        <v>1.1849876218423528E-2</v>
      </c>
      <c r="R117" s="25">
        <f t="shared" si="27"/>
        <v>7.415324519602722E-4</v>
      </c>
      <c r="S117" s="25">
        <f t="shared" si="59"/>
        <v>-0.24609847481480418</v>
      </c>
      <c r="T117" s="25">
        <f t="shared" si="28"/>
        <v>-2.1624839757187291E-6</v>
      </c>
      <c r="U117" s="25">
        <f t="shared" si="60"/>
        <v>1.9044627758340948E-6</v>
      </c>
      <c r="W117" s="57">
        <v>235</v>
      </c>
      <c r="X117" s="76">
        <v>5.1925800000000004</v>
      </c>
      <c r="Y117" s="25">
        <f>X117*2.312/1000</f>
        <v>1.2005244960000001E-2</v>
      </c>
      <c r="Z117" s="25">
        <f t="shared" si="61"/>
        <v>1.1840551810156724E-2</v>
      </c>
      <c r="AA117" s="25">
        <f t="shared" si="65"/>
        <v>-1.37184331008667</v>
      </c>
      <c r="AB117" s="25">
        <f t="shared" si="31"/>
        <v>1.37184331008667</v>
      </c>
      <c r="AC117" s="25">
        <f t="shared" si="41"/>
        <v>1.1966388025741102E-2</v>
      </c>
      <c r="AD117" s="25">
        <f t="shared" si="42"/>
        <v>-0.3236663174168144</v>
      </c>
      <c r="AE117" s="25">
        <f t="shared" si="35"/>
        <v>0.3236663174168144</v>
      </c>
      <c r="AF117" s="25">
        <f t="shared" si="43"/>
        <v>1.165270068346008E-2</v>
      </c>
      <c r="AG117" s="25">
        <f t="shared" si="44"/>
        <v>-2.9365854483982217</v>
      </c>
      <c r="AH117" s="25">
        <f t="shared" si="36"/>
        <v>2.9365854483982217</v>
      </c>
      <c r="AI117" s="25">
        <f t="shared" si="45"/>
        <v>1.1991313987184747E-2</v>
      </c>
      <c r="AJ117" s="25">
        <f t="shared" si="46"/>
        <v>-0.11604072104876265</v>
      </c>
      <c r="AK117" s="25">
        <f t="shared" si="37"/>
        <v>0.11604072104876265</v>
      </c>
      <c r="AL117" s="25">
        <f t="shared" si="66"/>
        <v>1.24815808059263E-2</v>
      </c>
      <c r="AM117" s="25">
        <f t="shared" si="63"/>
        <v>3.9677311667807822</v>
      </c>
      <c r="AN117" s="25">
        <f t="shared" si="64"/>
        <v>3.9677311667807822</v>
      </c>
    </row>
    <row r="118" spans="1:40" x14ac:dyDescent="0.25">
      <c r="A118" t="s">
        <v>272</v>
      </c>
      <c r="B118" s="170">
        <v>250</v>
      </c>
      <c r="C118" s="87">
        <v>1.43824</v>
      </c>
      <c r="D118" s="93">
        <v>35.651400000000002</v>
      </c>
      <c r="E118" s="89">
        <f>D118*0.3544/1000</f>
        <v>1.2634856159999999E-2</v>
      </c>
      <c r="F118" s="174"/>
      <c r="H118">
        <f t="shared" si="39"/>
        <v>1.5645481489407205</v>
      </c>
      <c r="I118" s="8">
        <f t="shared" si="26"/>
        <v>4.9810719266786211E-3</v>
      </c>
      <c r="J118" s="8">
        <v>1749.3548931883499</v>
      </c>
      <c r="K118">
        <v>-369.06930000711998</v>
      </c>
      <c r="L118">
        <v>5423856.3488769103</v>
      </c>
      <c r="M118">
        <v>-2.2128385216835</v>
      </c>
      <c r="N118">
        <v>-269503.24793356902</v>
      </c>
      <c r="O118">
        <v>73145.021531826002</v>
      </c>
      <c r="P118">
        <v>5.34368649509278</v>
      </c>
      <c r="Q118">
        <f t="shared" si="58"/>
        <v>1.2580823057191775E-2</v>
      </c>
      <c r="R118">
        <f t="shared" si="27"/>
        <v>7.415324519602722E-4</v>
      </c>
      <c r="S118">
        <f t="shared" si="59"/>
        <v>-1.4850876128694179E-5</v>
      </c>
      <c r="T118">
        <f t="shared" si="28"/>
        <v>-1.3854513873596058E-10</v>
      </c>
      <c r="U118">
        <f t="shared" si="60"/>
        <v>8.4703608025121834E-5</v>
      </c>
      <c r="W118" s="8">
        <v>250</v>
      </c>
      <c r="X118" s="63">
        <v>35.651400000000002</v>
      </c>
      <c r="Y118">
        <f>X118*0.3544/1000</f>
        <v>1.2634856159999999E-2</v>
      </c>
      <c r="Z118">
        <f>Q118+X118*T118+U118</f>
        <v>1.2665521725888739E-2</v>
      </c>
      <c r="AA118">
        <f>100*(Z118-Y118)/Y118</f>
        <v>0.24270609416054917</v>
      </c>
      <c r="AB118">
        <f t="shared" si="31"/>
        <v>0.24270609416054917</v>
      </c>
      <c r="AC118">
        <f t="shared" si="41"/>
        <v>1.2730200027384151E-2</v>
      </c>
      <c r="AD118">
        <f t="shared" si="42"/>
        <v>0.75460983628761646</v>
      </c>
      <c r="AE118">
        <f t="shared" si="35"/>
        <v>0.75460983628761646</v>
      </c>
      <c r="AF118">
        <f t="shared" si="43"/>
        <v>1.2407658366992673E-2</v>
      </c>
      <c r="AG118">
        <f t="shared" si="44"/>
        <v>-1.7981826633420626</v>
      </c>
      <c r="AH118">
        <f t="shared" si="36"/>
        <v>1.7981826633420626</v>
      </c>
      <c r="AI118">
        <f t="shared" si="45"/>
        <v>1.2750586103523158E-2</v>
      </c>
      <c r="AJ118">
        <f t="shared" si="46"/>
        <v>0.91595774465199054</v>
      </c>
      <c r="AK118">
        <f t="shared" si="37"/>
        <v>0.91595774465199054</v>
      </c>
      <c r="AL118">
        <f t="shared" si="66"/>
        <v>1.347504086105512E-2</v>
      </c>
      <c r="AM118">
        <f t="shared" si="63"/>
        <v>6.6497369690287078</v>
      </c>
      <c r="AN118">
        <f t="shared" si="64"/>
        <v>6.6497369690287078</v>
      </c>
    </row>
    <row r="119" spans="1:40" x14ac:dyDescent="0.25">
      <c r="A119" t="s">
        <v>280</v>
      </c>
      <c r="B119" s="170">
        <v>250</v>
      </c>
      <c r="C119" s="87">
        <v>1.2916000000000001</v>
      </c>
      <c r="D119" s="93">
        <v>31.386399999999998</v>
      </c>
      <c r="E119" s="89">
        <f>D119*0.4031/1000</f>
        <v>1.2651857839999999E-2</v>
      </c>
      <c r="F119" s="174"/>
      <c r="H119">
        <f t="shared" si="39"/>
        <v>1.5645481489407205</v>
      </c>
      <c r="I119" s="8">
        <f t="shared" si="26"/>
        <v>4.9810719266786211E-3</v>
      </c>
      <c r="J119" s="8">
        <v>1749.3548931883499</v>
      </c>
      <c r="K119">
        <v>-369.06930000711998</v>
      </c>
      <c r="L119">
        <v>5423856.3488769103</v>
      </c>
      <c r="M119">
        <v>-2.2128385216835</v>
      </c>
      <c r="N119">
        <v>-269503.24793356902</v>
      </c>
      <c r="O119">
        <v>73145.021531826002</v>
      </c>
      <c r="P119">
        <v>5.34368649509278</v>
      </c>
      <c r="Q119">
        <f t="shared" si="58"/>
        <v>1.2580823057191775E-2</v>
      </c>
      <c r="R119">
        <f t="shared" si="27"/>
        <v>7.415324519602722E-4</v>
      </c>
      <c r="S119">
        <f t="shared" si="59"/>
        <v>-1.4850876128694179E-5</v>
      </c>
      <c r="T119">
        <f>Q119*S119*R119</f>
        <v>-1.3854513873596058E-10</v>
      </c>
      <c r="U119">
        <f t="shared" si="60"/>
        <v>6.5548739625848526E-5</v>
      </c>
      <c r="W119" s="8">
        <v>250</v>
      </c>
      <c r="X119" s="63">
        <v>31.386399999999998</v>
      </c>
      <c r="Y119">
        <f>X119*0.4031/1000</f>
        <v>1.2651857839999999E-2</v>
      </c>
      <c r="Z119">
        <f t="shared" si="61"/>
        <v>1.2646367448384481E-2</v>
      </c>
      <c r="AA119">
        <f t="shared" si="65"/>
        <v>-4.3395931925189479E-2</v>
      </c>
      <c r="AB119">
        <f t="shared" si="31"/>
        <v>4.3395931925189479E-2</v>
      </c>
      <c r="AC119">
        <f t="shared" si="41"/>
        <v>1.2730200027384151E-2</v>
      </c>
      <c r="AD119">
        <f t="shared" si="42"/>
        <v>0.61921488823930659</v>
      </c>
      <c r="AE119">
        <f t="shared" si="35"/>
        <v>0.61921488823930659</v>
      </c>
      <c r="AF119">
        <f t="shared" si="43"/>
        <v>1.2407658366992673E-2</v>
      </c>
      <c r="AG119">
        <f t="shared" si="44"/>
        <v>-1.9301471459414259</v>
      </c>
      <c r="AH119">
        <f t="shared" si="36"/>
        <v>1.9301471459414259</v>
      </c>
      <c r="AI119">
        <f t="shared" si="45"/>
        <v>1.2750586103523158E-2</v>
      </c>
      <c r="AJ119">
        <f t="shared" si="46"/>
        <v>0.78034597583780008</v>
      </c>
      <c r="AK119">
        <f t="shared" si="37"/>
        <v>0.78034597583780008</v>
      </c>
      <c r="AL119">
        <f t="shared" si="66"/>
        <v>1.3434508063215172E-2</v>
      </c>
      <c r="AM119">
        <f t="shared" si="63"/>
        <v>6.1860497731862996</v>
      </c>
      <c r="AN119">
        <f t="shared" si="64"/>
        <v>6.1860497731862996</v>
      </c>
    </row>
    <row r="120" spans="1:40" x14ac:dyDescent="0.25">
      <c r="B120" s="170">
        <v>250</v>
      </c>
      <c r="C120" s="87">
        <v>1.17757</v>
      </c>
      <c r="D120" s="93">
        <v>28.199200000000001</v>
      </c>
      <c r="E120" s="89">
        <f>D120*0.4497/1000</f>
        <v>1.2681180239999999E-2</v>
      </c>
      <c r="F120" s="174"/>
      <c r="H120">
        <f t="shared" si="39"/>
        <v>1.5645481489407205</v>
      </c>
      <c r="I120" s="8">
        <f t="shared" si="26"/>
        <v>4.9810719266786211E-3</v>
      </c>
      <c r="J120" s="8">
        <v>1749.3548931883499</v>
      </c>
      <c r="K120">
        <v>-369.06930000711998</v>
      </c>
      <c r="L120">
        <v>5423856.3488769103</v>
      </c>
      <c r="M120">
        <v>-2.2128385216835</v>
      </c>
      <c r="N120">
        <v>-269503.24793356902</v>
      </c>
      <c r="O120">
        <v>73145.021531826002</v>
      </c>
      <c r="P120">
        <v>5.34368649509278</v>
      </c>
      <c r="Q120">
        <f t="shared" si="58"/>
        <v>1.2580823057191775E-2</v>
      </c>
      <c r="R120">
        <f t="shared" si="27"/>
        <v>7.415324519602722E-4</v>
      </c>
      <c r="S120">
        <f t="shared" si="59"/>
        <v>-1.4850876128694179E-5</v>
      </c>
      <c r="T120">
        <f t="shared" si="28"/>
        <v>-1.3854513873596058E-10</v>
      </c>
      <c r="U120">
        <f t="shared" si="60"/>
        <v>5.2851278739112208E-5</v>
      </c>
      <c r="W120" s="8">
        <v>250</v>
      </c>
      <c r="X120" s="63">
        <v>28.199200000000001</v>
      </c>
      <c r="Y120">
        <f>X120*0.4497/1000</f>
        <v>1.2681180239999999E-2</v>
      </c>
      <c r="Z120">
        <f t="shared" si="61"/>
        <v>1.2633670429068811E-2</v>
      </c>
      <c r="AA120">
        <f t="shared" si="65"/>
        <v>-0.37464817968069447</v>
      </c>
      <c r="AB120">
        <f t="shared" si="31"/>
        <v>0.37464817968069447</v>
      </c>
      <c r="AC120">
        <f t="shared" si="41"/>
        <v>1.2730200027384151E-2</v>
      </c>
      <c r="AD120">
        <f t="shared" si="42"/>
        <v>0.38655540301784858</v>
      </c>
      <c r="AE120">
        <f t="shared" si="35"/>
        <v>0.38655540301784858</v>
      </c>
      <c r="AF120">
        <f t="shared" si="43"/>
        <v>1.2407658366992673E-2</v>
      </c>
      <c r="AG120">
        <f t="shared" si="44"/>
        <v>-2.1569118002483867</v>
      </c>
      <c r="AH120">
        <f t="shared" si="36"/>
        <v>2.1569118002483867</v>
      </c>
      <c r="AI120">
        <f t="shared" si="45"/>
        <v>1.2750586103523158E-2</v>
      </c>
      <c r="AJ120">
        <f t="shared" si="46"/>
        <v>0.54731391092631487</v>
      </c>
      <c r="AK120">
        <f t="shared" si="37"/>
        <v>0.54731391092631487</v>
      </c>
      <c r="AL120">
        <f t="shared" si="66"/>
        <v>1.342224397424094E-2</v>
      </c>
      <c r="AM120">
        <f t="shared" si="63"/>
        <v>5.8438072814659456</v>
      </c>
      <c r="AN120">
        <f t="shared" si="64"/>
        <v>5.8438072814659456</v>
      </c>
    </row>
    <row r="121" spans="1:40" x14ac:dyDescent="0.25">
      <c r="B121" s="170">
        <v>250</v>
      </c>
      <c r="C121" s="87">
        <v>1.0602499999999999</v>
      </c>
      <c r="D121" s="93">
        <v>25.026</v>
      </c>
      <c r="E121" s="89">
        <f>D121*0.5065/1000</f>
        <v>1.2675668999999999E-2</v>
      </c>
      <c r="F121" s="174"/>
      <c r="H121">
        <f t="shared" si="39"/>
        <v>1.5645481489407205</v>
      </c>
      <c r="I121" s="8">
        <f t="shared" si="26"/>
        <v>4.9810719266786211E-3</v>
      </c>
      <c r="J121" s="8">
        <v>1749.3548931883499</v>
      </c>
      <c r="K121">
        <v>-369.06930000711998</v>
      </c>
      <c r="L121">
        <v>5423856.3488769103</v>
      </c>
      <c r="M121">
        <v>-2.2128385216835</v>
      </c>
      <c r="N121">
        <v>-269503.24793356902</v>
      </c>
      <c r="O121">
        <v>73145.021531826002</v>
      </c>
      <c r="P121">
        <v>5.34368649509278</v>
      </c>
      <c r="Q121">
        <f t="shared" si="58"/>
        <v>1.2580823057191775E-2</v>
      </c>
      <c r="R121">
        <f t="shared" si="27"/>
        <v>7.415324519602722E-4</v>
      </c>
      <c r="S121">
        <f t="shared" si="59"/>
        <v>-1.4850876128694179E-5</v>
      </c>
      <c r="T121">
        <f t="shared" si="28"/>
        <v>-1.3854513873596058E-10</v>
      </c>
      <c r="U121">
        <f t="shared" si="60"/>
        <v>4.1578327546382833E-5</v>
      </c>
      <c r="W121" s="8">
        <v>250</v>
      </c>
      <c r="X121" s="63">
        <v>25.026</v>
      </c>
      <c r="Y121">
        <f>X121*0.5065/1000</f>
        <v>1.2675668999999999E-2</v>
      </c>
      <c r="Z121">
        <f t="shared" si="61"/>
        <v>1.2622397917507517E-2</v>
      </c>
      <c r="AA121">
        <f t="shared" si="65"/>
        <v>-0.42026249259492471</v>
      </c>
      <c r="AB121">
        <f t="shared" si="31"/>
        <v>0.42026249259492471</v>
      </c>
      <c r="AC121">
        <f t="shared" si="41"/>
        <v>1.2730200027384151E-2</v>
      </c>
      <c r="AD121">
        <f t="shared" si="42"/>
        <v>0.43020236158069658</v>
      </c>
      <c r="AE121">
        <f t="shared" si="35"/>
        <v>0.43020236158069658</v>
      </c>
      <c r="AF121">
        <f t="shared" si="43"/>
        <v>1.2407658366992673E-2</v>
      </c>
      <c r="AG121">
        <f t="shared" si="44"/>
        <v>-2.1143707129566591</v>
      </c>
      <c r="AH121">
        <f t="shared" si="36"/>
        <v>2.1143707129566591</v>
      </c>
      <c r="AI121">
        <f t="shared" si="45"/>
        <v>1.2750586103523158E-2</v>
      </c>
      <c r="AJ121">
        <f t="shared" si="46"/>
        <v>0.5910307655016831</v>
      </c>
      <c r="AK121">
        <f t="shared" si="37"/>
        <v>0.5910307655016831</v>
      </c>
      <c r="AL121">
        <f t="shared" si="66"/>
        <v>1.3376522095028749E-2</v>
      </c>
      <c r="AM121">
        <f t="shared" si="63"/>
        <v>5.529121145627502</v>
      </c>
      <c r="AN121">
        <f t="shared" si="64"/>
        <v>5.529121145627502</v>
      </c>
    </row>
    <row r="122" spans="1:40" x14ac:dyDescent="0.25">
      <c r="B122" s="170">
        <v>250</v>
      </c>
      <c r="C122" s="87">
        <v>0.95303000000000004</v>
      </c>
      <c r="D122" s="93">
        <v>22.212199999999999</v>
      </c>
      <c r="E122" s="89">
        <f>D122*0.5715/1000</f>
        <v>1.26942723E-2</v>
      </c>
      <c r="F122" s="174"/>
      <c r="H122">
        <f t="shared" si="39"/>
        <v>1.5645481489407205</v>
      </c>
      <c r="I122" s="8">
        <f t="shared" si="26"/>
        <v>4.9810719266786211E-3</v>
      </c>
      <c r="J122" s="8">
        <v>1749.3548931883499</v>
      </c>
      <c r="K122">
        <v>-369.06930000711998</v>
      </c>
      <c r="L122">
        <v>5423856.3488769103</v>
      </c>
      <c r="M122">
        <v>-2.2128385216835</v>
      </c>
      <c r="N122">
        <v>-269503.24793356902</v>
      </c>
      <c r="O122">
        <v>73145.021531826002</v>
      </c>
      <c r="P122">
        <v>5.34368649509278</v>
      </c>
      <c r="Q122">
        <f t="shared" si="58"/>
        <v>1.2580823057191775E-2</v>
      </c>
      <c r="R122">
        <f t="shared" si="27"/>
        <v>7.415324519602722E-4</v>
      </c>
      <c r="S122">
        <f t="shared" si="59"/>
        <v>-1.4850876128694179E-5</v>
      </c>
      <c r="T122">
        <f t="shared" si="28"/>
        <v>-1.3854513873596058E-10</v>
      </c>
      <c r="U122">
        <f t="shared" si="60"/>
        <v>3.2720912021402544E-5</v>
      </c>
      <c r="W122" s="8">
        <v>250</v>
      </c>
      <c r="X122" s="63">
        <v>22.212199999999999</v>
      </c>
      <c r="Y122">
        <f>X122*0.5715/1000</f>
        <v>1.26942723E-2</v>
      </c>
      <c r="Z122">
        <f t="shared" si="61"/>
        <v>1.2613540891820848E-2</v>
      </c>
      <c r="AA122">
        <f t="shared" si="65"/>
        <v>-0.63596720057086287</v>
      </c>
      <c r="AB122">
        <f t="shared" si="31"/>
        <v>0.63596720057086287</v>
      </c>
      <c r="AC122">
        <f t="shared" si="41"/>
        <v>1.2730200027384151E-2</v>
      </c>
      <c r="AD122">
        <f t="shared" si="42"/>
        <v>0.2830231346475135</v>
      </c>
      <c r="AE122">
        <f t="shared" si="35"/>
        <v>0.2830231346475135</v>
      </c>
      <c r="AF122">
        <f t="shared" si="43"/>
        <v>1.2407658366992673E-2</v>
      </c>
      <c r="AG122">
        <f t="shared" si="44"/>
        <v>-2.2578208993305386</v>
      </c>
      <c r="AH122">
        <f t="shared" si="36"/>
        <v>2.2578208993305386</v>
      </c>
      <c r="AI122">
        <f t="shared" si="45"/>
        <v>1.2750586103523158E-2</v>
      </c>
      <c r="AJ122">
        <f t="shared" si="46"/>
        <v>0.44361584651968017</v>
      </c>
      <c r="AK122">
        <f t="shared" si="37"/>
        <v>0.44361584651968017</v>
      </c>
      <c r="AL122">
        <f t="shared" si="66"/>
        <v>1.3360462521387888E-2</v>
      </c>
      <c r="AM122">
        <f t="shared" si="63"/>
        <v>5.2479591239577212</v>
      </c>
      <c r="AN122">
        <f t="shared" si="64"/>
        <v>5.2479591239577212</v>
      </c>
    </row>
    <row r="123" spans="1:40" x14ac:dyDescent="0.25">
      <c r="B123" s="170">
        <v>250</v>
      </c>
      <c r="C123" s="87">
        <v>0.81889000000000001</v>
      </c>
      <c r="D123" s="93">
        <v>18.797799999999999</v>
      </c>
      <c r="E123" s="89">
        <f>D123*0.6754/1000</f>
        <v>1.2696034119999998E-2</v>
      </c>
      <c r="F123" s="174"/>
      <c r="H123">
        <f t="shared" si="39"/>
        <v>1.5645481489407205</v>
      </c>
      <c r="I123" s="8">
        <f t="shared" si="26"/>
        <v>4.9810719266786211E-3</v>
      </c>
      <c r="J123" s="8">
        <v>1749.3548931883499</v>
      </c>
      <c r="K123">
        <v>-369.06930000711998</v>
      </c>
      <c r="L123">
        <v>5423856.3488769103</v>
      </c>
      <c r="M123">
        <v>-2.2128385216835</v>
      </c>
      <c r="N123">
        <v>-269503.24793356902</v>
      </c>
      <c r="O123">
        <v>73145.021531826002</v>
      </c>
      <c r="P123">
        <v>5.34368649509278</v>
      </c>
      <c r="Q123">
        <f t="shared" si="58"/>
        <v>1.2580823057191775E-2</v>
      </c>
      <c r="R123">
        <f t="shared" si="27"/>
        <v>7.415324519602722E-4</v>
      </c>
      <c r="S123">
        <f t="shared" si="59"/>
        <v>-1.4850876128694179E-5</v>
      </c>
      <c r="T123">
        <f t="shared" si="28"/>
        <v>-1.3854513873596058E-10</v>
      </c>
      <c r="U123">
        <f t="shared" si="60"/>
        <v>2.3405584365504737E-5</v>
      </c>
      <c r="W123" s="8">
        <v>250</v>
      </c>
      <c r="X123" s="63">
        <v>18.797799999999999</v>
      </c>
      <c r="Y123">
        <f>X123*0.6754/1000</f>
        <v>1.2696034119999998E-2</v>
      </c>
      <c r="Z123">
        <f t="shared" si="61"/>
        <v>1.2604226037213472E-2</v>
      </c>
      <c r="AA123">
        <f t="shared" si="65"/>
        <v>-0.72312410252506809</v>
      </c>
      <c r="AB123">
        <f t="shared" si="31"/>
        <v>0.72312410252506809</v>
      </c>
      <c r="AC123">
        <f t="shared" si="41"/>
        <v>1.2730200027384151E-2</v>
      </c>
      <c r="AD123">
        <f t="shared" si="42"/>
        <v>0.26910692788964502</v>
      </c>
      <c r="AE123">
        <f t="shared" si="35"/>
        <v>0.26910692788964502</v>
      </c>
      <c r="AF123">
        <f t="shared" si="43"/>
        <v>1.2407658366992673E-2</v>
      </c>
      <c r="AG123">
        <f t="shared" si="44"/>
        <v>-2.2713845148938949</v>
      </c>
      <c r="AH123">
        <f t="shared" si="36"/>
        <v>2.2713845148938949</v>
      </c>
      <c r="AI123">
        <f t="shared" si="45"/>
        <v>1.2750586103523158E-2</v>
      </c>
      <c r="AJ123">
        <f t="shared" si="46"/>
        <v>0.42967735442066057</v>
      </c>
      <c r="AK123">
        <f t="shared" si="37"/>
        <v>0.42967735442066057</v>
      </c>
      <c r="AL123">
        <f t="shared" si="66"/>
        <v>1.3321413953920424E-2</v>
      </c>
      <c r="AM123">
        <f t="shared" si="63"/>
        <v>4.9257888566577552</v>
      </c>
      <c r="AN123">
        <f t="shared" si="64"/>
        <v>4.9257888566577552</v>
      </c>
    </row>
    <row r="124" spans="1:40" x14ac:dyDescent="0.25">
      <c r="B124" s="170">
        <v>250</v>
      </c>
      <c r="C124" s="87">
        <v>0.70228000000000002</v>
      </c>
      <c r="D124" s="93">
        <v>15.9176</v>
      </c>
      <c r="E124" s="89">
        <f>D124*0.7985/1000</f>
        <v>1.2710203599999999E-2</v>
      </c>
      <c r="F124" s="174"/>
      <c r="H124">
        <f t="shared" si="39"/>
        <v>1.5645481489407205</v>
      </c>
      <c r="I124" s="8">
        <f t="shared" si="26"/>
        <v>4.9810719266786211E-3</v>
      </c>
      <c r="J124" s="8">
        <v>1749.3548931883499</v>
      </c>
      <c r="K124">
        <v>-369.06930000711998</v>
      </c>
      <c r="L124">
        <v>5423856.3488769103</v>
      </c>
      <c r="M124">
        <v>-2.2128385216835</v>
      </c>
      <c r="N124">
        <v>-269503.24793356902</v>
      </c>
      <c r="O124">
        <v>73145.021531826002</v>
      </c>
      <c r="P124">
        <v>5.34368649509278</v>
      </c>
      <c r="Q124">
        <f t="shared" si="58"/>
        <v>1.2580823057191775E-2</v>
      </c>
      <c r="R124">
        <f t="shared" si="27"/>
        <v>7.415324519602722E-4</v>
      </c>
      <c r="S124">
        <f t="shared" si="59"/>
        <v>-1.4850876128694179E-5</v>
      </c>
      <c r="T124">
        <f t="shared" si="28"/>
        <v>-1.3854513873596058E-10</v>
      </c>
      <c r="U124">
        <f t="shared" si="60"/>
        <v>1.6765143425780024E-5</v>
      </c>
      <c r="W124" s="8">
        <v>250</v>
      </c>
      <c r="X124" s="63">
        <v>15.9176</v>
      </c>
      <c r="Y124">
        <f>X124*0.7985/1000</f>
        <v>1.2710203599999999E-2</v>
      </c>
      <c r="Z124">
        <f t="shared" si="61"/>
        <v>1.2597585995311454E-2</v>
      </c>
      <c r="AA124">
        <f t="shared" si="65"/>
        <v>-0.88604091824732578</v>
      </c>
      <c r="AB124">
        <f t="shared" si="31"/>
        <v>0.88604091824732578</v>
      </c>
      <c r="AC124">
        <f t="shared" si="41"/>
        <v>1.2730200027384151E-2</v>
      </c>
      <c r="AD124">
        <f t="shared" si="42"/>
        <v>0.15732578338990519</v>
      </c>
      <c r="AE124">
        <f t="shared" si="35"/>
        <v>0.15732578338990519</v>
      </c>
      <c r="AF124">
        <f t="shared" si="43"/>
        <v>1.2407658366992673E-2</v>
      </c>
      <c r="AG124">
        <f t="shared" si="44"/>
        <v>-2.3803334905455529</v>
      </c>
      <c r="AH124">
        <f t="shared" si="36"/>
        <v>2.3803334905455529</v>
      </c>
      <c r="AI124">
        <f t="shared" si="45"/>
        <v>1.2750586103523158E-2</v>
      </c>
      <c r="AJ124">
        <f t="shared" si="46"/>
        <v>0.31771720417727378</v>
      </c>
      <c r="AK124">
        <f t="shared" si="37"/>
        <v>0.31771720417727378</v>
      </c>
      <c r="AL124">
        <f t="shared" si="66"/>
        <v>1.3302222612640744E-2</v>
      </c>
      <c r="AM124">
        <f t="shared" si="63"/>
        <v>4.6578247782021789</v>
      </c>
      <c r="AN124">
        <f t="shared" si="64"/>
        <v>4.6578247782021789</v>
      </c>
    </row>
    <row r="125" spans="1:40" x14ac:dyDescent="0.25">
      <c r="B125" s="170">
        <v>250</v>
      </c>
      <c r="C125" s="87">
        <v>0.59584000000000004</v>
      </c>
      <c r="D125" s="93">
        <v>13.354699999999999</v>
      </c>
      <c r="E125" s="89">
        <f>D125*0.9534/1000</f>
        <v>1.2732370979999999E-2</v>
      </c>
      <c r="F125" s="174"/>
      <c r="H125">
        <f t="shared" si="39"/>
        <v>1.5645481489407205</v>
      </c>
      <c r="I125" s="8">
        <f t="shared" si="26"/>
        <v>4.9810719266786211E-3</v>
      </c>
      <c r="J125" s="8">
        <v>1749.3548931883499</v>
      </c>
      <c r="K125">
        <v>-369.06930000711998</v>
      </c>
      <c r="L125">
        <v>5423856.3488769103</v>
      </c>
      <c r="M125">
        <v>-2.2128385216835</v>
      </c>
      <c r="N125">
        <v>-269503.24793356902</v>
      </c>
      <c r="O125">
        <v>73145.021531826002</v>
      </c>
      <c r="P125">
        <v>5.34368649509278</v>
      </c>
      <c r="Q125">
        <f t="shared" si="58"/>
        <v>1.2580823057191775E-2</v>
      </c>
      <c r="R125">
        <f t="shared" si="27"/>
        <v>7.415324519602722E-4</v>
      </c>
      <c r="S125">
        <f t="shared" si="59"/>
        <v>-1.4850876128694179E-5</v>
      </c>
      <c r="T125">
        <f t="shared" si="28"/>
        <v>-1.3854513873596058E-10</v>
      </c>
      <c r="U125">
        <f t="shared" si="60"/>
        <v>1.1790075237149722E-5</v>
      </c>
      <c r="W125" s="8">
        <v>250</v>
      </c>
      <c r="X125" s="63">
        <v>13.354699999999999</v>
      </c>
      <c r="Y125">
        <f>X125*0.9534/1000</f>
        <v>1.2732370979999999E-2</v>
      </c>
      <c r="Z125">
        <f t="shared" si="61"/>
        <v>1.2592611282200161E-2</v>
      </c>
      <c r="AA125">
        <f t="shared" si="65"/>
        <v>-1.097672209043963</v>
      </c>
      <c r="AB125">
        <f t="shared" si="31"/>
        <v>1.097672209043963</v>
      </c>
      <c r="AC125">
        <f t="shared" si="41"/>
        <v>1.2730200027384151E-2</v>
      </c>
      <c r="AD125">
        <f t="shared" si="42"/>
        <v>-1.7050654738684865E-2</v>
      </c>
      <c r="AE125">
        <f t="shared" si="35"/>
        <v>1.7050654738684865E-2</v>
      </c>
      <c r="AF125">
        <f t="shared" si="43"/>
        <v>1.2407658366992673E-2</v>
      </c>
      <c r="AG125">
        <f t="shared" si="44"/>
        <v>-2.5502917996764713</v>
      </c>
      <c r="AH125">
        <f t="shared" si="36"/>
        <v>2.5502917996764713</v>
      </c>
      <c r="AI125">
        <f t="shared" si="45"/>
        <v>1.2750586103523158E-2</v>
      </c>
      <c r="AJ125">
        <f t="shared" si="46"/>
        <v>0.14306152052725502</v>
      </c>
      <c r="AK125">
        <f t="shared" si="37"/>
        <v>0.14306152052725502</v>
      </c>
      <c r="AL125">
        <f t="shared" si="66"/>
        <v>1.3295522145423984E-2</v>
      </c>
      <c r="AM125">
        <f t="shared" si="63"/>
        <v>4.422987409875053</v>
      </c>
      <c r="AN125">
        <f t="shared" si="64"/>
        <v>4.422987409875053</v>
      </c>
    </row>
    <row r="126" spans="1:40" x14ac:dyDescent="0.25">
      <c r="B126" s="170">
        <v>250</v>
      </c>
      <c r="C126" s="87">
        <v>0.49125000000000002</v>
      </c>
      <c r="D126" s="93">
        <v>10.893700000000001</v>
      </c>
      <c r="E126" s="89">
        <f>D126*1.1702/1000</f>
        <v>1.274780774E-2</v>
      </c>
      <c r="F126" s="174"/>
      <c r="H126">
        <f t="shared" si="39"/>
        <v>1.5645481489407205</v>
      </c>
      <c r="I126" s="8">
        <f t="shared" ref="I126:I188" si="67">1/200.76</f>
        <v>4.9810719266786211E-3</v>
      </c>
      <c r="J126" s="8">
        <v>1749.3548931883499</v>
      </c>
      <c r="K126">
        <v>-369.06930000711998</v>
      </c>
      <c r="L126">
        <v>5423856.3488769103</v>
      </c>
      <c r="M126">
        <v>-2.2128385216835</v>
      </c>
      <c r="N126">
        <v>-269503.24793356902</v>
      </c>
      <c r="O126">
        <v>73145.021531826002</v>
      </c>
      <c r="P126">
        <v>5.34368649509278</v>
      </c>
      <c r="Q126">
        <f t="shared" si="58"/>
        <v>1.2580823057191775E-2</v>
      </c>
      <c r="R126">
        <f t="shared" ref="R126:R188" si="68">((0.378421/10^9)^3)*6.022140857*10^(26)/44.0095</f>
        <v>7.415324519602722E-4</v>
      </c>
      <c r="S126">
        <f t="shared" si="59"/>
        <v>-1.4850876128694179E-5</v>
      </c>
      <c r="T126">
        <f t="shared" ref="T126:T188" si="69">Q126*S126*R126</f>
        <v>-1.3854513873596058E-10</v>
      </c>
      <c r="U126">
        <f t="shared" si="60"/>
        <v>7.8381041727246306E-6</v>
      </c>
      <c r="W126" s="8">
        <v>250</v>
      </c>
      <c r="X126" s="63">
        <v>10.893700000000001</v>
      </c>
      <c r="Y126">
        <f>X126*1.1702/1000</f>
        <v>1.274780774E-2</v>
      </c>
      <c r="Z126">
        <f t="shared" si="61"/>
        <v>1.2588659652095321E-2</v>
      </c>
      <c r="AA126">
        <f t="shared" si="65"/>
        <v>-1.2484349556457903</v>
      </c>
      <c r="AB126">
        <f t="shared" si="31"/>
        <v>1.2484349556457903</v>
      </c>
      <c r="AC126">
        <f t="shared" si="41"/>
        <v>1.2730200027384151E-2</v>
      </c>
      <c r="AD126">
        <f t="shared" si="42"/>
        <v>-0.1381234560088318</v>
      </c>
      <c r="AE126">
        <f t="shared" si="35"/>
        <v>0.1381234560088318</v>
      </c>
      <c r="AF126">
        <f t="shared" si="43"/>
        <v>1.2407658366992673E-2</v>
      </c>
      <c r="AG126">
        <f t="shared" si="44"/>
        <v>-2.6682970118854947</v>
      </c>
      <c r="AH126">
        <f t="shared" si="36"/>
        <v>2.6682970118854947</v>
      </c>
      <c r="AI126">
        <f t="shared" si="45"/>
        <v>1.2750586103523158E-2</v>
      </c>
      <c r="AJ126">
        <f t="shared" si="46"/>
        <v>2.1794833902616668E-2</v>
      </c>
      <c r="AK126">
        <f t="shared" si="37"/>
        <v>2.1794833902616668E-2</v>
      </c>
      <c r="AL126">
        <f t="shared" si="66"/>
        <v>1.3283962630768665E-2</v>
      </c>
      <c r="AM126">
        <f t="shared" si="63"/>
        <v>4.205859561925462</v>
      </c>
      <c r="AN126">
        <f t="shared" si="64"/>
        <v>4.205859561925462</v>
      </c>
    </row>
    <row r="127" spans="1:40" x14ac:dyDescent="0.25">
      <c r="B127" s="170">
        <v>250</v>
      </c>
      <c r="C127" s="87">
        <v>0.37232999999999999</v>
      </c>
      <c r="D127" s="93">
        <v>8.1600699999999993</v>
      </c>
      <c r="E127" s="89">
        <f>D127*1.5676/1000</f>
        <v>1.2791725731999999E-2</v>
      </c>
      <c r="F127" s="174"/>
      <c r="H127">
        <f t="shared" si="39"/>
        <v>1.5645481489407205</v>
      </c>
      <c r="I127" s="8">
        <f t="shared" si="67"/>
        <v>4.9810719266786211E-3</v>
      </c>
      <c r="J127" s="8">
        <v>1749.3548931883499</v>
      </c>
      <c r="K127">
        <v>-369.06930000711998</v>
      </c>
      <c r="L127">
        <v>5423856.3488769103</v>
      </c>
      <c r="M127">
        <v>-2.2128385216835</v>
      </c>
      <c r="N127">
        <v>-269503.24793356902</v>
      </c>
      <c r="O127">
        <v>73145.021531826002</v>
      </c>
      <c r="P127">
        <v>5.34368649509278</v>
      </c>
      <c r="Q127">
        <f t="shared" si="58"/>
        <v>1.2580823057191775E-2</v>
      </c>
      <c r="R127">
        <f t="shared" si="68"/>
        <v>7.415324519602722E-4</v>
      </c>
      <c r="S127">
        <f t="shared" si="59"/>
        <v>-1.4850876128694179E-5</v>
      </c>
      <c r="T127">
        <f>Q127*S127*R127</f>
        <v>-1.3854513873596058E-10</v>
      </c>
      <c r="U127">
        <f t="shared" si="60"/>
        <v>4.3935592019298773E-6</v>
      </c>
      <c r="W127" s="8">
        <v>250</v>
      </c>
      <c r="X127" s="63">
        <v>8.1600699999999993</v>
      </c>
      <c r="Y127">
        <f>X127*1.5676/1000</f>
        <v>1.2791725731999999E-2</v>
      </c>
      <c r="Z127">
        <f t="shared" si="61"/>
        <v>1.2585215485855675E-2</v>
      </c>
      <c r="AA127">
        <f t="shared" si="65"/>
        <v>-1.6144048932171375</v>
      </c>
      <c r="AB127">
        <f t="shared" si="31"/>
        <v>1.6144048932171375</v>
      </c>
      <c r="AC127">
        <f t="shared" si="41"/>
        <v>1.2730200027384151E-2</v>
      </c>
      <c r="AD127">
        <f t="shared" si="42"/>
        <v>-0.48098048617423317</v>
      </c>
      <c r="AE127">
        <f t="shared" si="35"/>
        <v>0.48098048617423317</v>
      </c>
      <c r="AF127">
        <f t="shared" si="43"/>
        <v>1.2407658366992673E-2</v>
      </c>
      <c r="AG127">
        <f>100*(AF127-Y127)/Y127</f>
        <v>-3.0024671655251103</v>
      </c>
      <c r="AH127">
        <f t="shared" si="36"/>
        <v>3.0024671655251103</v>
      </c>
      <c r="AI127">
        <f t="shared" si="45"/>
        <v>1.2750586103523158E-2</v>
      </c>
      <c r="AJ127">
        <f t="shared" si="46"/>
        <v>-0.32161124572836342</v>
      </c>
      <c r="AK127">
        <f t="shared" si="37"/>
        <v>0.32161124572836342</v>
      </c>
      <c r="AL127">
        <f t="shared" si="66"/>
        <v>1.3298724076598897E-2</v>
      </c>
      <c r="AM127">
        <f t="shared" si="63"/>
        <v>3.9634866727214306</v>
      </c>
      <c r="AN127">
        <f t="shared" si="64"/>
        <v>3.9634866727214306</v>
      </c>
    </row>
    <row r="128" spans="1:40" x14ac:dyDescent="0.25">
      <c r="B128" s="173">
        <v>250</v>
      </c>
      <c r="C128" s="88">
        <v>0.2742</v>
      </c>
      <c r="D128" s="94">
        <v>5.9530900000000004</v>
      </c>
      <c r="E128" s="90">
        <f>D128*2.1534/1000</f>
        <v>1.2819384006E-2</v>
      </c>
      <c r="F128" s="174"/>
      <c r="H128" s="25">
        <f t="shared" si="39"/>
        <v>1.5645481489407205</v>
      </c>
      <c r="I128" s="57">
        <f t="shared" si="67"/>
        <v>4.9810719266786211E-3</v>
      </c>
      <c r="J128" s="57">
        <v>1749.3548931883499</v>
      </c>
      <c r="K128" s="25">
        <v>-369.06930000711998</v>
      </c>
      <c r="L128" s="25">
        <v>5423856.3488769103</v>
      </c>
      <c r="M128" s="25">
        <v>-2.2128385216835</v>
      </c>
      <c r="N128" s="25">
        <v>-269503.24793356902</v>
      </c>
      <c r="O128" s="25">
        <v>73145.021531826002</v>
      </c>
      <c r="P128" s="25">
        <v>5.34368649509278</v>
      </c>
      <c r="Q128" s="25">
        <f t="shared" si="58"/>
        <v>1.2580823057191775E-2</v>
      </c>
      <c r="R128" s="25">
        <f t="shared" si="68"/>
        <v>7.415324519602722E-4</v>
      </c>
      <c r="S128" s="25">
        <f t="shared" si="59"/>
        <v>-1.4850876128694179E-5</v>
      </c>
      <c r="T128" s="25">
        <f t="shared" si="69"/>
        <v>-1.3854513873596058E-10</v>
      </c>
      <c r="U128" s="25">
        <f t="shared" si="60"/>
        <v>2.3364954146716667E-6</v>
      </c>
      <c r="W128" s="57">
        <v>250</v>
      </c>
      <c r="X128" s="64">
        <v>5.9530900000000004</v>
      </c>
      <c r="Y128" s="25">
        <f>X128*2.1534/1000</f>
        <v>1.2819384006E-2</v>
      </c>
      <c r="Z128" s="25">
        <f t="shared" si="61"/>
        <v>1.2583158727834767E-2</v>
      </c>
      <c r="AA128" s="25">
        <f t="shared" si="65"/>
        <v>-1.8427194165856202</v>
      </c>
      <c r="AB128" s="25">
        <f t="shared" si="31"/>
        <v>1.8427194165856202</v>
      </c>
      <c r="AC128" s="25">
        <f t="shared" si="41"/>
        <v>1.2730200027384151E-2</v>
      </c>
      <c r="AD128" s="25">
        <f t="shared" si="42"/>
        <v>-0.69569628754476542</v>
      </c>
      <c r="AE128" s="25">
        <f t="shared" si="35"/>
        <v>0.69569628754476542</v>
      </c>
      <c r="AF128" s="25">
        <f t="shared" si="43"/>
        <v>1.2407658366992673E-2</v>
      </c>
      <c r="AG128" s="25">
        <f t="shared" si="44"/>
        <v>-3.2117427702814996</v>
      </c>
      <c r="AH128" s="25">
        <f t="shared" si="36"/>
        <v>3.2117427702814996</v>
      </c>
      <c r="AI128" s="25">
        <f t="shared" si="45"/>
        <v>1.2750586103523158E-2</v>
      </c>
      <c r="AJ128" s="25">
        <f t="shared" si="46"/>
        <v>-0.53667089186689398</v>
      </c>
      <c r="AK128" s="25">
        <f t="shared" si="37"/>
        <v>0.53667089186689398</v>
      </c>
      <c r="AL128" s="25">
        <f t="shared" si="66"/>
        <v>1.3303480046072024E-2</v>
      </c>
      <c r="AM128" s="25">
        <f t="shared" si="63"/>
        <v>3.7762816048372274</v>
      </c>
      <c r="AN128" s="25">
        <f t="shared" si="64"/>
        <v>3.7762816048372274</v>
      </c>
    </row>
    <row r="129" spans="1:40" x14ac:dyDescent="0.25">
      <c r="A129" t="s">
        <v>273</v>
      </c>
      <c r="B129" s="170">
        <v>270</v>
      </c>
      <c r="C129" s="87">
        <v>2.5096099999999999</v>
      </c>
      <c r="D129" s="91">
        <v>62.0777</v>
      </c>
      <c r="E129" s="89">
        <f>D129*0.2258/1000</f>
        <v>1.401714466E-2</v>
      </c>
      <c r="F129" s="174"/>
      <c r="H129">
        <f t="shared" si="39"/>
        <v>1.5050910625429794</v>
      </c>
      <c r="I129" s="8">
        <f t="shared" si="67"/>
        <v>4.9810719266786211E-3</v>
      </c>
      <c r="J129" s="8">
        <v>1749.3548931883499</v>
      </c>
      <c r="K129">
        <v>-369.06930000711998</v>
      </c>
      <c r="L129">
        <v>5423856.3488769103</v>
      </c>
      <c r="M129">
        <v>-2.2128385216835</v>
      </c>
      <c r="N129">
        <v>-269503.24793356902</v>
      </c>
      <c r="O129">
        <v>73145.021531826002</v>
      </c>
      <c r="P129">
        <v>5.34368649509278</v>
      </c>
      <c r="Q129">
        <f t="shared" si="58"/>
        <v>1.3551415829017806E-2</v>
      </c>
      <c r="R129">
        <f t="shared" si="68"/>
        <v>7.415324519602722E-4</v>
      </c>
      <c r="S129">
        <f t="shared" si="59"/>
        <v>0.23663777362859373</v>
      </c>
      <c r="T129">
        <f t="shared" si="69"/>
        <v>2.3779291162601728E-6</v>
      </c>
      <c r="U129">
        <f t="shared" si="60"/>
        <v>2.3890932662382923E-4</v>
      </c>
      <c r="W129" s="8">
        <v>270</v>
      </c>
      <c r="X129" s="59">
        <v>62.0777</v>
      </c>
      <c r="Y129">
        <f>X129*0.2258/1000</f>
        <v>1.401714466E-2</v>
      </c>
      <c r="Z129">
        <f t="shared" si="61"/>
        <v>1.3937941525942099E-2</v>
      </c>
      <c r="AA129">
        <f t="shared" si="65"/>
        <v>-0.56504470759952985</v>
      </c>
      <c r="AB129">
        <f t="shared" si="31"/>
        <v>0.56504470759952985</v>
      </c>
      <c r="AC129">
        <f t="shared" si="41"/>
        <v>1.3748616029574884E-2</v>
      </c>
      <c r="AD129">
        <f t="shared" si="42"/>
        <v>-1.9157156249617775</v>
      </c>
      <c r="AE129">
        <f t="shared" si="35"/>
        <v>1.9157156249617775</v>
      </c>
      <c r="AF129">
        <f t="shared" si="43"/>
        <v>1.3403797593638942E-2</v>
      </c>
      <c r="AG129">
        <f t="shared" si="44"/>
        <v>-4.3756919204189586</v>
      </c>
      <c r="AH129">
        <f t="shared" si="36"/>
        <v>4.3756919204189586</v>
      </c>
      <c r="AI129">
        <f t="shared" si="45"/>
        <v>1.3753099443414794E-2</v>
      </c>
      <c r="AJ129">
        <f t="shared" si="46"/>
        <v>-1.8837304100791494</v>
      </c>
      <c r="AK129">
        <f t="shared" si="37"/>
        <v>1.8837304100791494</v>
      </c>
      <c r="AL129">
        <f>Y141+(-1+(1.023+0.23364*X129/467.6+0.58553*(X129/467)^2-0.40758*(X129/467)^3+0.093324*(X129/467)^4)^4)/(10000*(304.1282/((72.80829^4)*(44.095^3)))^(1/6))</f>
        <v>1.4938180282728478E-2</v>
      </c>
      <c r="AM129">
        <f t="shared" si="63"/>
        <v>6.5707791784213407</v>
      </c>
      <c r="AN129">
        <f t="shared" si="64"/>
        <v>6.5707791784213407</v>
      </c>
    </row>
    <row r="130" spans="1:40" x14ac:dyDescent="0.25">
      <c r="A130" t="s">
        <v>279</v>
      </c>
      <c r="B130" s="170">
        <v>270</v>
      </c>
      <c r="C130" s="87">
        <v>2.3161100000000001</v>
      </c>
      <c r="D130" s="91">
        <v>55.898299999999999</v>
      </c>
      <c r="E130" s="89">
        <f>D130*0.2494/1000</f>
        <v>1.394103602E-2</v>
      </c>
      <c r="F130" s="174"/>
      <c r="H130">
        <f t="shared" si="39"/>
        <v>1.5050910625429794</v>
      </c>
      <c r="I130" s="8">
        <f t="shared" si="67"/>
        <v>4.9810719266786211E-3</v>
      </c>
      <c r="J130" s="8">
        <v>1749.3548931883499</v>
      </c>
      <c r="K130">
        <v>-369.06930000711998</v>
      </c>
      <c r="L130">
        <v>5423856.3488769103</v>
      </c>
      <c r="M130">
        <v>-2.2128385216835</v>
      </c>
      <c r="N130">
        <v>-269503.24793356902</v>
      </c>
      <c r="O130">
        <v>73145.021531826002</v>
      </c>
      <c r="P130">
        <v>5.34368649509278</v>
      </c>
      <c r="Q130">
        <f t="shared" si="58"/>
        <v>1.3551415829017806E-2</v>
      </c>
      <c r="R130">
        <f t="shared" si="68"/>
        <v>7.415324519602722E-4</v>
      </c>
      <c r="S130">
        <f t="shared" si="59"/>
        <v>0.23663777362859373</v>
      </c>
      <c r="T130">
        <f t="shared" si="69"/>
        <v>2.3779291162601728E-6</v>
      </c>
      <c r="U130">
        <f t="shared" si="60"/>
        <v>1.9321279538934773E-4</v>
      </c>
      <c r="W130" s="8">
        <v>270</v>
      </c>
      <c r="X130" s="59">
        <v>55.898299999999999</v>
      </c>
      <c r="Y130">
        <f>X130*0.2494/1000</f>
        <v>1.394103602E-2</v>
      </c>
      <c r="Z130">
        <f t="shared" si="61"/>
        <v>1.38775508195266E-2</v>
      </c>
      <c r="AA130">
        <f t="shared" si="65"/>
        <v>-0.45538366289509313</v>
      </c>
      <c r="AB130">
        <f t="shared" si="31"/>
        <v>0.45538366289509313</v>
      </c>
      <c r="AC130">
        <f t="shared" si="41"/>
        <v>1.3748616029574884E-2</v>
      </c>
      <c r="AD130">
        <f t="shared" si="42"/>
        <v>-1.3802416846859</v>
      </c>
      <c r="AE130">
        <f t="shared" si="35"/>
        <v>1.3802416846859</v>
      </c>
      <c r="AF130">
        <f t="shared" si="43"/>
        <v>1.3403797593638942E-2</v>
      </c>
      <c r="AG130">
        <f t="shared" si="44"/>
        <v>-3.8536477890906289</v>
      </c>
      <c r="AH130">
        <f t="shared" si="36"/>
        <v>3.8536477890906289</v>
      </c>
      <c r="AI130">
        <f t="shared" si="45"/>
        <v>1.3753099443414794E-2</v>
      </c>
      <c r="AJ130">
        <f t="shared" si="46"/>
        <v>-1.3480818521348767</v>
      </c>
      <c r="AK130">
        <f t="shared" si="37"/>
        <v>1.3480818521348767</v>
      </c>
      <c r="AL130">
        <f>Y141+(-1+(1.023+0.23364*X130/467.6+0.58553*(X130/467)^2-0.40758*(X130/467)^3+0.093324*(X130/467)^4)^4)/(10000*(304.1282/((72.80829^4)*(44.095^3)))^(1/6))</f>
        <v>1.4835855005548265E-2</v>
      </c>
      <c r="AM130">
        <f t="shared" si="63"/>
        <v>6.4185974719851915</v>
      </c>
      <c r="AN130">
        <f t="shared" si="64"/>
        <v>6.4185974719851915</v>
      </c>
    </row>
    <row r="131" spans="1:40" x14ac:dyDescent="0.25">
      <c r="B131" s="170">
        <v>270</v>
      </c>
      <c r="C131" s="87">
        <v>2.0796399999999999</v>
      </c>
      <c r="D131" s="91">
        <v>48.816499999999998</v>
      </c>
      <c r="E131" s="89">
        <f>D131*0.2837/1000</f>
        <v>1.3849241050000001E-2</v>
      </c>
      <c r="F131" s="174"/>
      <c r="H131">
        <f t="shared" si="39"/>
        <v>1.5050910625429794</v>
      </c>
      <c r="I131" s="8">
        <f t="shared" si="67"/>
        <v>4.9810719266786211E-3</v>
      </c>
      <c r="J131" s="8">
        <v>1749.3548931883499</v>
      </c>
      <c r="K131">
        <v>-369.06930000711998</v>
      </c>
      <c r="L131">
        <v>5423856.3488769103</v>
      </c>
      <c r="M131">
        <v>-2.2128385216835</v>
      </c>
      <c r="N131">
        <v>-269503.24793356902</v>
      </c>
      <c r="O131">
        <v>73145.021531826002</v>
      </c>
      <c r="P131">
        <v>5.34368649509278</v>
      </c>
      <c r="Q131">
        <f t="shared" si="58"/>
        <v>1.3551415829017806E-2</v>
      </c>
      <c r="R131">
        <f t="shared" si="68"/>
        <v>7.415324519602722E-4</v>
      </c>
      <c r="S131">
        <f t="shared" si="59"/>
        <v>0.23663777362859373</v>
      </c>
      <c r="T131">
        <f t="shared" si="69"/>
        <v>2.3779291162601728E-6</v>
      </c>
      <c r="U131">
        <f t="shared" si="60"/>
        <v>1.4692008551030029E-4</v>
      </c>
      <c r="W131" s="8">
        <v>270</v>
      </c>
      <c r="X131" s="59">
        <v>48.816499999999998</v>
      </c>
      <c r="Y131">
        <f>X131*0.2837/1000</f>
        <v>1.3849241050000001E-2</v>
      </c>
      <c r="Z131">
        <f t="shared" si="61"/>
        <v>1.3814418091232022E-2</v>
      </c>
      <c r="AA131">
        <f t="shared" si="65"/>
        <v>-0.25144308372030633</v>
      </c>
      <c r="AB131">
        <f t="shared" si="31"/>
        <v>0.25144308372030633</v>
      </c>
      <c r="AC131">
        <f t="shared" si="41"/>
        <v>1.3748616029574884E-2</v>
      </c>
      <c r="AD131">
        <f t="shared" si="42"/>
        <v>-0.72657425819818822</v>
      </c>
      <c r="AE131">
        <f t="shared" si="35"/>
        <v>0.72657425819818822</v>
      </c>
      <c r="AF131">
        <f t="shared" si="43"/>
        <v>1.3403797593638942E-2</v>
      </c>
      <c r="AG131">
        <f t="shared" si="44"/>
        <v>-3.216374491229312</v>
      </c>
      <c r="AH131">
        <f t="shared" si="36"/>
        <v>3.216374491229312</v>
      </c>
      <c r="AI131">
        <f t="shared" si="45"/>
        <v>1.3753099443414794E-2</v>
      </c>
      <c r="AJ131">
        <f t="shared" si="46"/>
        <v>-0.69420126516757141</v>
      </c>
      <c r="AK131">
        <f t="shared" si="37"/>
        <v>0.69420126516757141</v>
      </c>
      <c r="AL131">
        <f>Y141+(-1+(1.023+0.23364*X131/467.6+0.58553*(X131/467)^2-0.40758*(X131/467)^3+0.093324*(X131/467)^4)^4)/(10000*(304.1282/((72.80829^4)*(44.095^3)))^(1/6))</f>
        <v>1.4724309529169791E-2</v>
      </c>
      <c r="AM131">
        <f t="shared" si="63"/>
        <v>6.31853020689383</v>
      </c>
      <c r="AN131">
        <f t="shared" si="64"/>
        <v>6.31853020689383</v>
      </c>
    </row>
    <row r="132" spans="1:40" x14ac:dyDescent="0.25">
      <c r="B132" s="170">
        <v>270</v>
      </c>
      <c r="C132" s="87">
        <v>1.8460099999999999</v>
      </c>
      <c r="D132" s="91">
        <v>42.247199999999999</v>
      </c>
      <c r="E132" s="89">
        <f>D132*0.3262/1000</f>
        <v>1.3781036639999999E-2</v>
      </c>
      <c r="F132" s="174"/>
      <c r="H132">
        <f t="shared" si="39"/>
        <v>1.5050910625429794</v>
      </c>
      <c r="I132" s="8">
        <f t="shared" si="67"/>
        <v>4.9810719266786211E-3</v>
      </c>
      <c r="J132" s="8">
        <v>1749.3548931883499</v>
      </c>
      <c r="K132">
        <v>-369.06930000711998</v>
      </c>
      <c r="L132">
        <v>5423856.3488769103</v>
      </c>
      <c r="M132">
        <v>-2.2128385216835</v>
      </c>
      <c r="N132">
        <v>-269503.24793356902</v>
      </c>
      <c r="O132">
        <v>73145.021531826002</v>
      </c>
      <c r="P132">
        <v>5.34368649509278</v>
      </c>
      <c r="Q132">
        <f t="shared" ref="Q132:Q163" si="70">1.0055*SQRT(B132)/(J132+K132*B132^(1/6)+L132*EXP(M132*B132^(1/3))+P132*SQRT(B132)+(N132+O132*B132^(1/3))/EXP(B132^(1/3)))</f>
        <v>1.3551415829017806E-2</v>
      </c>
      <c r="R132">
        <f t="shared" si="68"/>
        <v>7.415324519602722E-4</v>
      </c>
      <c r="S132">
        <f t="shared" ref="S132:S163" si="71">-19.572881+219.73999/(B132*I132)^(0.25)-1015.3226/(B132*I132)^(0.5)+2471.0125/(B132*I132)^(0.75)-3375.1717/(B132*I132)^(1)+2491.6597/(B132*I132)^(1.25)-787.26086/(B132*I132)^(1.5)+14.085455/(B132*I132)^(2.5)-0.34664158/(B132*I132)^(5.5)</f>
        <v>0.23663777362859373</v>
      </c>
      <c r="T132">
        <f t="shared" si="69"/>
        <v>2.3779291162601728E-6</v>
      </c>
      <c r="U132">
        <f t="shared" ref="U132:U163" si="72">0.09436059794459*(0.360603235428487*((B132/216.592)*(D132/1178.53)^3)+(((D132/1178.53)^2)+(D132/1178.53)^(8.06282737481277))/((B132/216.592)-0.121550806591497))</f>
        <v>1.0973443763394882E-4</v>
      </c>
      <c r="W132" s="8">
        <v>270</v>
      </c>
      <c r="X132" s="59">
        <v>42.247199999999999</v>
      </c>
      <c r="Y132">
        <f>X132*0.3262/1000</f>
        <v>1.3781036639999999E-2</v>
      </c>
      <c r="Z132">
        <f t="shared" si="61"/>
        <v>1.3761611113612222E-2</v>
      </c>
      <c r="AA132">
        <f t="shared" si="65"/>
        <v>-0.14095838285048717</v>
      </c>
      <c r="AB132">
        <f t="shared" si="31"/>
        <v>0.14095838285048717</v>
      </c>
      <c r="AC132">
        <f t="shared" si="41"/>
        <v>1.3748616029574884E-2</v>
      </c>
      <c r="AD132">
        <f t="shared" si="42"/>
        <v>-0.23525523712064514</v>
      </c>
      <c r="AE132">
        <f t="shared" si="35"/>
        <v>0.23525523712064514</v>
      </c>
      <c r="AF132">
        <f t="shared" si="43"/>
        <v>1.3403797593638942E-2</v>
      </c>
      <c r="AG132">
        <f t="shared" si="44"/>
        <v>-2.7373778636224357</v>
      </c>
      <c r="AH132">
        <f t="shared" si="36"/>
        <v>2.7373778636224357</v>
      </c>
      <c r="AI132">
        <f t="shared" si="45"/>
        <v>1.3753099443414794E-2</v>
      </c>
      <c r="AJ132">
        <f t="shared" si="46"/>
        <v>-0.20272202530915817</v>
      </c>
      <c r="AK132">
        <f t="shared" si="37"/>
        <v>0.20272202530915817</v>
      </c>
      <c r="AL132">
        <f>Y141+(-1+(1.023+0.23364*X132/467.6+0.58553*(X132/467)^2-0.40758*(X132/467)^3+0.093324*(X132/467)^4)^4)/(10000*(304.1282/((72.80829^4)*(44.095^3)))^(1/6))</f>
        <v>1.4626255211144823E-2</v>
      </c>
      <c r="AM132">
        <f t="shared" si="63"/>
        <v>6.1332002317702585</v>
      </c>
      <c r="AN132">
        <f t="shared" si="64"/>
        <v>6.1332002317702585</v>
      </c>
    </row>
    <row r="133" spans="1:40" x14ac:dyDescent="0.25">
      <c r="B133" s="170">
        <v>270</v>
      </c>
      <c r="C133" s="87">
        <v>1.63002</v>
      </c>
      <c r="D133" s="91">
        <v>36.496099999999998</v>
      </c>
      <c r="E133" s="89">
        <f>D133*0.3763/1000</f>
        <v>1.3733482430000001E-2</v>
      </c>
      <c r="F133" s="174"/>
      <c r="H133">
        <f t="shared" si="39"/>
        <v>1.5050910625429794</v>
      </c>
      <c r="I133" s="8">
        <f t="shared" si="67"/>
        <v>4.9810719266786211E-3</v>
      </c>
      <c r="J133" s="8">
        <v>1749.3548931883499</v>
      </c>
      <c r="K133">
        <v>-369.06930000711998</v>
      </c>
      <c r="L133">
        <v>5423856.3488769103</v>
      </c>
      <c r="M133">
        <v>-2.2128385216835</v>
      </c>
      <c r="N133">
        <v>-269503.24793356902</v>
      </c>
      <c r="O133">
        <v>73145.021531826002</v>
      </c>
      <c r="P133">
        <v>5.34368649509278</v>
      </c>
      <c r="Q133">
        <f t="shared" si="70"/>
        <v>1.3551415829017806E-2</v>
      </c>
      <c r="R133">
        <f t="shared" si="68"/>
        <v>7.415324519602722E-4</v>
      </c>
      <c r="S133">
        <f t="shared" si="71"/>
        <v>0.23663777362859373</v>
      </c>
      <c r="T133">
        <f t="shared" si="69"/>
        <v>2.3779291162601728E-6</v>
      </c>
      <c r="U133">
        <f t="shared" si="72"/>
        <v>8.1693219261969982E-5</v>
      </c>
      <c r="W133" s="8">
        <v>270</v>
      </c>
      <c r="X133" s="59">
        <v>36.496099999999998</v>
      </c>
      <c r="Y133">
        <f>X133*0.3763/1000</f>
        <v>1.3733482430000001E-2</v>
      </c>
      <c r="Z133">
        <f t="shared" si="61"/>
        <v>1.3719894187099719E-2</v>
      </c>
      <c r="AA133">
        <f t="shared" si="65"/>
        <v>-9.8942442090280719E-2</v>
      </c>
      <c r="AB133">
        <f t="shared" ref="AB133:AB188" si="73">ABS(AA133)</f>
        <v>9.8942442090280719E-2</v>
      </c>
      <c r="AC133">
        <f t="shared" si="41"/>
        <v>1.3748616029574884E-2</v>
      </c>
      <c r="AD133">
        <f t="shared" si="42"/>
        <v>0.11019491707234305</v>
      </c>
      <c r="AE133">
        <f t="shared" si="35"/>
        <v>0.11019491707234305</v>
      </c>
      <c r="AF133">
        <f t="shared" si="43"/>
        <v>1.3403797593638942E-2</v>
      </c>
      <c r="AG133">
        <f t="shared" si="44"/>
        <v>-2.4005916783414034</v>
      </c>
      <c r="AH133">
        <f t="shared" si="36"/>
        <v>2.4005916783414034</v>
      </c>
      <c r="AI133">
        <f t="shared" si="45"/>
        <v>1.3753099443414794E-2</v>
      </c>
      <c r="AJ133">
        <f t="shared" si="46"/>
        <v>0.14284077993168651</v>
      </c>
      <c r="AK133">
        <f t="shared" si="37"/>
        <v>0.14284077993168651</v>
      </c>
      <c r="AL133">
        <f>Y141+(-1+(1.023+0.23364*X133/467.6+0.58553*(X133/467)^2-0.40758*(X133/467)^3+0.093324*(X133/467)^4)^4)/(10000*(304.1282/((72.80829^4)*(44.095^3)))^(1/6))</f>
        <v>1.4544662343898018E-2</v>
      </c>
      <c r="AM133">
        <f t="shared" si="63"/>
        <v>5.9065857333172893</v>
      </c>
      <c r="AN133">
        <f t="shared" si="64"/>
        <v>5.9065857333172893</v>
      </c>
    </row>
    <row r="134" spans="1:40" x14ac:dyDescent="0.25">
      <c r="B134" s="170">
        <v>270</v>
      </c>
      <c r="C134" s="87">
        <v>1.4467000000000001</v>
      </c>
      <c r="D134" s="91">
        <v>31.827300000000001</v>
      </c>
      <c r="E134" s="89">
        <f>D134*0.4309/1000</f>
        <v>1.371438357E-2</v>
      </c>
      <c r="F134" s="174"/>
      <c r="G134" s="11"/>
      <c r="H134">
        <f t="shared" si="39"/>
        <v>1.5050910625429794</v>
      </c>
      <c r="I134" s="8">
        <f t="shared" si="67"/>
        <v>4.9810719266786211E-3</v>
      </c>
      <c r="J134" s="8">
        <v>1749.3548931883499</v>
      </c>
      <c r="K134">
        <v>-369.06930000711998</v>
      </c>
      <c r="L134">
        <v>5423856.3488769103</v>
      </c>
      <c r="M134">
        <v>-2.2128385216835</v>
      </c>
      <c r="N134">
        <v>-269503.24793356902</v>
      </c>
      <c r="O134">
        <v>73145.021531826002</v>
      </c>
      <c r="P134">
        <v>5.34368649509278</v>
      </c>
      <c r="Q134">
        <f t="shared" si="70"/>
        <v>1.3551415829017806E-2</v>
      </c>
      <c r="R134">
        <f t="shared" si="68"/>
        <v>7.415324519602722E-4</v>
      </c>
      <c r="S134">
        <f t="shared" si="71"/>
        <v>0.23663777362859373</v>
      </c>
      <c r="T134">
        <f t="shared" si="69"/>
        <v>2.3779291162601728E-6</v>
      </c>
      <c r="U134">
        <f t="shared" si="72"/>
        <v>6.2006207421284903E-5</v>
      </c>
      <c r="W134" s="8">
        <v>270</v>
      </c>
      <c r="X134" s="59">
        <v>31.827300000000001</v>
      </c>
      <c r="Y134">
        <f>X134*0.4309/1000</f>
        <v>1.371438357E-2</v>
      </c>
      <c r="Z134">
        <f t="shared" si="61"/>
        <v>1.3689105099801039E-2</v>
      </c>
      <c r="AA134">
        <f t="shared" si="65"/>
        <v>-0.1843208633471338</v>
      </c>
      <c r="AB134">
        <f t="shared" si="73"/>
        <v>0.1843208633471338</v>
      </c>
      <c r="AC134">
        <f t="shared" si="41"/>
        <v>1.3748616029574884E-2</v>
      </c>
      <c r="AD134">
        <f t="shared" si="42"/>
        <v>0.24960990335553021</v>
      </c>
      <c r="AE134">
        <f t="shared" si="35"/>
        <v>0.24960990335553021</v>
      </c>
      <c r="AF134">
        <f t="shared" si="43"/>
        <v>1.3403797593638942E-2</v>
      </c>
      <c r="AG134">
        <f t="shared" si="44"/>
        <v>-2.2646732518146884</v>
      </c>
      <c r="AH134">
        <f t="shared" si="36"/>
        <v>2.2646732518146884</v>
      </c>
      <c r="AI134">
        <f t="shared" si="45"/>
        <v>1.3753099443414794E-2</v>
      </c>
      <c r="AJ134">
        <f t="shared" si="46"/>
        <v>0.28230122934204577</v>
      </c>
      <c r="AK134">
        <f t="shared" si="37"/>
        <v>0.28230122934204577</v>
      </c>
      <c r="AL134">
        <f>Y141+(-1+(1.023+0.23364*X134/467.6+0.58553*(X134/467)^2-0.40758*(X134/467)^3+0.093324*(X134/467)^4)^4)/(10000*(304.1282/((72.80829^4)*(44.095^3)))^(1/6))</f>
        <v>1.4481323905760735E-2</v>
      </c>
      <c r="AM134">
        <f t="shared" si="63"/>
        <v>5.5922333792559513</v>
      </c>
      <c r="AN134">
        <f t="shared" si="64"/>
        <v>5.5922333792559513</v>
      </c>
    </row>
    <row r="135" spans="1:40" x14ac:dyDescent="0.25">
      <c r="B135" s="170">
        <v>270</v>
      </c>
      <c r="C135" s="87">
        <v>1.2870900000000001</v>
      </c>
      <c r="D135" s="91">
        <v>27.904699999999998</v>
      </c>
      <c r="E135" s="89">
        <f>D135*0.4911/1000</f>
        <v>1.3703998169999999E-2</v>
      </c>
      <c r="F135" s="174"/>
      <c r="H135">
        <f t="shared" si="39"/>
        <v>1.5050910625429794</v>
      </c>
      <c r="I135" s="8">
        <f t="shared" si="67"/>
        <v>4.9810719266786211E-3</v>
      </c>
      <c r="J135" s="8">
        <v>1749.3548931883499</v>
      </c>
      <c r="K135">
        <v>-369.06930000711998</v>
      </c>
      <c r="L135">
        <v>5423856.3488769103</v>
      </c>
      <c r="M135">
        <v>-2.2128385216835</v>
      </c>
      <c r="N135">
        <v>-269503.24793356902</v>
      </c>
      <c r="O135">
        <v>73145.021531826002</v>
      </c>
      <c r="P135">
        <v>5.34368649509278</v>
      </c>
      <c r="Q135">
        <f t="shared" si="70"/>
        <v>1.3551415829017806E-2</v>
      </c>
      <c r="R135">
        <f t="shared" si="68"/>
        <v>7.415324519602722E-4</v>
      </c>
      <c r="S135">
        <f t="shared" si="71"/>
        <v>0.23663777362859373</v>
      </c>
      <c r="T135">
        <f t="shared" si="69"/>
        <v>2.3779291162601728E-6</v>
      </c>
      <c r="U135">
        <f t="shared" si="72"/>
        <v>4.758482882212127E-5</v>
      </c>
      <c r="W135" s="8">
        <v>270</v>
      </c>
      <c r="X135" s="59">
        <v>27.904699999999998</v>
      </c>
      <c r="Y135">
        <f>X135*0.4911/1000</f>
        <v>1.3703998169999999E-2</v>
      </c>
      <c r="Z135">
        <f t="shared" si="61"/>
        <v>1.3665356056450433E-2</v>
      </c>
      <c r="AA135">
        <f t="shared" si="65"/>
        <v>-0.28197693162393189</v>
      </c>
      <c r="AB135">
        <f t="shared" si="73"/>
        <v>0.28197693162393189</v>
      </c>
      <c r="AC135">
        <f t="shared" si="41"/>
        <v>1.3748616029574884E-2</v>
      </c>
      <c r="AD135">
        <f t="shared" si="42"/>
        <v>0.32558278993761353</v>
      </c>
      <c r="AE135">
        <f t="shared" si="35"/>
        <v>0.32558278993761353</v>
      </c>
      <c r="AF135">
        <f t="shared" si="43"/>
        <v>1.3403797593638942E-2</v>
      </c>
      <c r="AG135">
        <f t="shared" si="44"/>
        <v>-2.1906057826119558</v>
      </c>
      <c r="AH135">
        <f t="shared" si="36"/>
        <v>2.1906057826119558</v>
      </c>
      <c r="AI135">
        <f t="shared" si="45"/>
        <v>1.3753099443414794E-2</v>
      </c>
      <c r="AJ135">
        <f t="shared" si="46"/>
        <v>0.3582988906280285</v>
      </c>
      <c r="AK135">
        <f t="shared" si="37"/>
        <v>0.3582988906280285</v>
      </c>
      <c r="AL135">
        <f>Y141+(-1+(1.023+0.23364*X135/467.6+0.58553*(X135/467)^2-0.40758*(X135/467)^3+0.093324*(X135/467)^4)^4)/(10000*(304.1282/((72.80829^4)*(44.095^3)))^(1/6))</f>
        <v>1.4430107853843806E-2</v>
      </c>
      <c r="AM135">
        <f t="shared" si="63"/>
        <v>5.2985243783333571</v>
      </c>
      <c r="AN135">
        <f t="shared" si="64"/>
        <v>5.2985243783333571</v>
      </c>
    </row>
    <row r="136" spans="1:40" x14ac:dyDescent="0.25">
      <c r="B136" s="170">
        <v>270</v>
      </c>
      <c r="C136" s="87">
        <v>1.0765400000000001</v>
      </c>
      <c r="D136" s="91">
        <v>22.913499999999999</v>
      </c>
      <c r="E136" s="89">
        <f>D136*0.5989/1000</f>
        <v>1.3722895149999999E-2</v>
      </c>
      <c r="F136" s="174"/>
      <c r="H136">
        <f t="shared" si="39"/>
        <v>1.5050910625429794</v>
      </c>
      <c r="I136" s="8">
        <f t="shared" si="67"/>
        <v>4.9810719266786211E-3</v>
      </c>
      <c r="J136" s="8">
        <v>1749.3548931883499</v>
      </c>
      <c r="K136">
        <v>-369.06930000711998</v>
      </c>
      <c r="L136">
        <v>5423856.3488769103</v>
      </c>
      <c r="M136">
        <v>-2.2128385216835</v>
      </c>
      <c r="N136">
        <v>-269503.24793356902</v>
      </c>
      <c r="O136">
        <v>73145.021531826002</v>
      </c>
      <c r="P136">
        <v>5.34368649509278</v>
      </c>
      <c r="Q136">
        <f t="shared" si="70"/>
        <v>1.3551415829017806E-2</v>
      </c>
      <c r="R136">
        <f t="shared" si="68"/>
        <v>7.415324519602722E-4</v>
      </c>
      <c r="S136">
        <f t="shared" si="71"/>
        <v>0.23663777362859373</v>
      </c>
      <c r="T136">
        <f t="shared" si="69"/>
        <v>2.3779291162601728E-6</v>
      </c>
      <c r="U136">
        <f t="shared" si="72"/>
        <v>3.2016696338916304E-5</v>
      </c>
      <c r="W136" s="8">
        <v>270</v>
      </c>
      <c r="X136" s="59">
        <v>22.913499999999999</v>
      </c>
      <c r="Y136">
        <f>X136*0.5989/1000</f>
        <v>1.3722895149999999E-2</v>
      </c>
      <c r="Z136">
        <f t="shared" si="61"/>
        <v>1.3637919204162151E-2</v>
      </c>
      <c r="AA136">
        <f t="shared" si="65"/>
        <v>-0.61922753842397682</v>
      </c>
      <c r="AB136">
        <f t="shared" si="73"/>
        <v>0.61922753842397682</v>
      </c>
      <c r="AC136">
        <f t="shared" si="41"/>
        <v>1.3748616029574884E-2</v>
      </c>
      <c r="AD136">
        <f t="shared" si="42"/>
        <v>0.1874304167869785</v>
      </c>
      <c r="AE136">
        <f t="shared" si="35"/>
        <v>0.1874304167869785</v>
      </c>
      <c r="AF136">
        <f t="shared" si="43"/>
        <v>1.3403797593638942E-2</v>
      </c>
      <c r="AG136">
        <f t="shared" si="44"/>
        <v>-2.3252932626323903</v>
      </c>
      <c r="AH136">
        <f t="shared" si="36"/>
        <v>2.3252932626323903</v>
      </c>
      <c r="AI136">
        <f t="shared" si="45"/>
        <v>1.3753099443414794E-2</v>
      </c>
      <c r="AJ136">
        <f t="shared" si="46"/>
        <v>0.22010146608745959</v>
      </c>
      <c r="AK136">
        <f t="shared" si="37"/>
        <v>0.22010146608745959</v>
      </c>
      <c r="AL136">
        <f>Y141+(-1+(1.023+0.23364*X136/467.6+0.58553*(X136/467)^2-0.40758*(X136/467)^3+0.093324*(X136/467)^4)^4)/(10000*(304.1282/((72.80829^4)*(44.095^3)))^(1/6))</f>
        <v>1.4367568283164716E-2</v>
      </c>
      <c r="AM136">
        <f t="shared" si="63"/>
        <v>4.6977924564607436</v>
      </c>
      <c r="AN136">
        <f t="shared" si="64"/>
        <v>4.6977924564607436</v>
      </c>
    </row>
    <row r="137" spans="1:40" x14ac:dyDescent="0.25">
      <c r="B137" s="170">
        <v>270</v>
      </c>
      <c r="C137" s="87">
        <v>0.89824999999999999</v>
      </c>
      <c r="D137" s="91">
        <v>18.835599999999999</v>
      </c>
      <c r="E137" s="89">
        <f>D137*0.7277/1000</f>
        <v>1.3706666119999999E-2</v>
      </c>
      <c r="F137" s="174"/>
      <c r="H137">
        <f t="shared" si="39"/>
        <v>1.5050910625429794</v>
      </c>
      <c r="I137" s="8">
        <f t="shared" si="67"/>
        <v>4.9810719266786211E-3</v>
      </c>
      <c r="J137" s="8">
        <v>1749.3548931883499</v>
      </c>
      <c r="K137">
        <v>-369.06930000711998</v>
      </c>
      <c r="L137">
        <v>5423856.3488769103</v>
      </c>
      <c r="M137">
        <v>-2.2128385216835</v>
      </c>
      <c r="N137">
        <v>-269503.24793356902</v>
      </c>
      <c r="O137">
        <v>73145.021531826002</v>
      </c>
      <c r="P137">
        <v>5.34368649509278</v>
      </c>
      <c r="Q137">
        <f t="shared" si="70"/>
        <v>1.3551415829017806E-2</v>
      </c>
      <c r="R137">
        <f t="shared" si="68"/>
        <v>7.415324519602722E-4</v>
      </c>
      <c r="S137">
        <f t="shared" si="71"/>
        <v>0.23663777362859373</v>
      </c>
      <c r="T137">
        <f t="shared" si="69"/>
        <v>2.3779291162601728E-6</v>
      </c>
      <c r="U137">
        <f t="shared" si="72"/>
        <v>2.1597294384997828E-5</v>
      </c>
      <c r="W137" s="8">
        <v>270</v>
      </c>
      <c r="X137" s="59">
        <v>18.835599999999999</v>
      </c>
      <c r="Y137">
        <f>X137*0.7277/1000</f>
        <v>1.3706666119999999E-2</v>
      </c>
      <c r="Z137">
        <f t="shared" si="61"/>
        <v>1.3617802845065034E-2</v>
      </c>
      <c r="AA137">
        <f t="shared" si="65"/>
        <v>-0.64832158423484831</v>
      </c>
      <c r="AB137">
        <f t="shared" si="73"/>
        <v>0.64832158423484831</v>
      </c>
      <c r="AC137">
        <f t="shared" si="41"/>
        <v>1.3748616029574884E-2</v>
      </c>
      <c r="AD137">
        <f t="shared" si="42"/>
        <v>0.30605479996097956</v>
      </c>
      <c r="AE137">
        <f t="shared" si="35"/>
        <v>0.30605479996097956</v>
      </c>
      <c r="AF137">
        <f t="shared" si="43"/>
        <v>1.3403797593638942E-2</v>
      </c>
      <c r="AG137">
        <f t="shared" si="44"/>
        <v>-2.2096440061316436</v>
      </c>
      <c r="AH137">
        <f t="shared" si="36"/>
        <v>2.2096440061316436</v>
      </c>
      <c r="AI137">
        <f t="shared" si="45"/>
        <v>1.3753099443414794E-2</v>
      </c>
      <c r="AJ137">
        <f t="shared" si="46"/>
        <v>0.33876453258784994</v>
      </c>
      <c r="AK137">
        <f t="shared" si="37"/>
        <v>0.33876453258784994</v>
      </c>
      <c r="AL137">
        <f>Y141+(-1+(1.023+0.23364*X137/467.6+0.58553*(X137/467)^2-0.40758*(X137/467)^3+0.093324*(X137/467)^4)^4)/(10000*(304.1282/((72.80829^4)*(44.095^3)))^(1/6))</f>
        <v>1.4318650216634341E-2</v>
      </c>
      <c r="AM137">
        <f t="shared" si="63"/>
        <v>4.4648646963200589</v>
      </c>
      <c r="AN137">
        <f t="shared" si="64"/>
        <v>4.4648646963200589</v>
      </c>
    </row>
    <row r="138" spans="1:40" x14ac:dyDescent="0.25">
      <c r="B138" s="170">
        <v>270</v>
      </c>
      <c r="C138" s="87">
        <v>0.70501999999999998</v>
      </c>
      <c r="D138" s="91">
        <v>14.555999999999999</v>
      </c>
      <c r="E138" s="89">
        <f>D138*0.9474/1000</f>
        <v>1.37903544E-2</v>
      </c>
      <c r="F138" s="174"/>
      <c r="H138">
        <f t="shared" si="39"/>
        <v>1.5050910625429794</v>
      </c>
      <c r="I138" s="8">
        <f t="shared" si="67"/>
        <v>4.9810719266786211E-3</v>
      </c>
      <c r="J138" s="8">
        <v>1749.3548931883499</v>
      </c>
      <c r="K138">
        <v>-369.06930000711998</v>
      </c>
      <c r="L138">
        <v>5423856.3488769103</v>
      </c>
      <c r="M138">
        <v>-2.2128385216835</v>
      </c>
      <c r="N138">
        <v>-269503.24793356902</v>
      </c>
      <c r="O138">
        <v>73145.021531826002</v>
      </c>
      <c r="P138">
        <v>5.34368649509278</v>
      </c>
      <c r="Q138">
        <f t="shared" si="70"/>
        <v>1.3551415829017806E-2</v>
      </c>
      <c r="R138">
        <f t="shared" si="68"/>
        <v>7.415324519602722E-4</v>
      </c>
      <c r="S138">
        <f t="shared" si="71"/>
        <v>0.23663777362859373</v>
      </c>
      <c r="T138">
        <f t="shared" si="69"/>
        <v>2.3779291162601728E-6</v>
      </c>
      <c r="U138">
        <f t="shared" si="72"/>
        <v>1.2874567181336352E-5</v>
      </c>
      <c r="W138" s="8">
        <v>270</v>
      </c>
      <c r="X138" s="59">
        <v>14.555999999999999</v>
      </c>
      <c r="Y138">
        <f>X138*0.9474/1000</f>
        <v>1.37903544E-2</v>
      </c>
      <c r="Z138">
        <f t="shared" si="61"/>
        <v>1.3598903532415425E-2</v>
      </c>
      <c r="AA138">
        <f t="shared" si="65"/>
        <v>-1.3882954856082206</v>
      </c>
      <c r="AB138">
        <f t="shared" si="73"/>
        <v>1.3882954856082206</v>
      </c>
      <c r="AC138">
        <f t="shared" si="41"/>
        <v>1.3748616029574884E-2</v>
      </c>
      <c r="AD138">
        <f t="shared" si="42"/>
        <v>-0.30266350823525917</v>
      </c>
      <c r="AE138">
        <f t="shared" si="35"/>
        <v>0.30266350823525917</v>
      </c>
      <c r="AF138">
        <f t="shared" si="43"/>
        <v>1.3403797593638942E-2</v>
      </c>
      <c r="AG138">
        <f t="shared" si="44"/>
        <v>-2.8030955198733509</v>
      </c>
      <c r="AH138">
        <f t="shared" si="36"/>
        <v>2.8030955198733509</v>
      </c>
      <c r="AI138">
        <f t="shared" si="45"/>
        <v>1.3753099443414794E-2</v>
      </c>
      <c r="AJ138">
        <f t="shared" si="46"/>
        <v>-0.27015227821270205</v>
      </c>
      <c r="AK138">
        <f t="shared" si="37"/>
        <v>0.27015227821270205</v>
      </c>
      <c r="AL138">
        <f>Y141+(-1+(1.023+0.23364*X138/467.6+0.58553*(X138/467)^2-0.40758*(X138/467)^3+0.093324*(X138/467)^4)^4)/(10000*(304.1282/((72.80829^4)*(44.095^3)))^(1/6))</f>
        <v>1.4269412568693948E-2</v>
      </c>
      <c r="AM138">
        <f t="shared" si="63"/>
        <v>3.4738640849864502</v>
      </c>
      <c r="AN138">
        <f t="shared" si="64"/>
        <v>3.4738640849864502</v>
      </c>
    </row>
    <row r="139" spans="1:40" x14ac:dyDescent="0.25">
      <c r="B139" s="170">
        <v>270</v>
      </c>
      <c r="C139" s="87">
        <v>0.52600999999999998</v>
      </c>
      <c r="D139" s="91">
        <v>10.711</v>
      </c>
      <c r="E139" s="89">
        <f>D139*1.2881/1000</f>
        <v>1.3796839100000001E-2</v>
      </c>
      <c r="F139" s="174"/>
      <c r="H139">
        <f t="shared" si="39"/>
        <v>1.5050910625429794</v>
      </c>
      <c r="I139" s="8">
        <f t="shared" si="67"/>
        <v>4.9810719266786211E-3</v>
      </c>
      <c r="J139" s="8">
        <v>1749.3548931883499</v>
      </c>
      <c r="K139">
        <v>-369.06930000711998</v>
      </c>
      <c r="L139">
        <v>5423856.3488769103</v>
      </c>
      <c r="M139">
        <v>-2.2128385216835</v>
      </c>
      <c r="N139">
        <v>-269503.24793356902</v>
      </c>
      <c r="O139">
        <v>73145.021531826002</v>
      </c>
      <c r="P139">
        <v>5.34368649509278</v>
      </c>
      <c r="Q139">
        <f t="shared" si="70"/>
        <v>1.3551415829017806E-2</v>
      </c>
      <c r="R139">
        <f t="shared" si="68"/>
        <v>7.415324519602722E-4</v>
      </c>
      <c r="S139">
        <f t="shared" si="71"/>
        <v>0.23663777362859373</v>
      </c>
      <c r="T139">
        <f t="shared" si="69"/>
        <v>2.3779291162601728E-6</v>
      </c>
      <c r="U139">
        <f t="shared" si="72"/>
        <v>6.9597859073628821E-6</v>
      </c>
      <c r="W139" s="8">
        <v>270</v>
      </c>
      <c r="X139" s="59">
        <v>10.711</v>
      </c>
      <c r="Y139">
        <f>X139*1.2881/1000</f>
        <v>1.3796839100000001E-2</v>
      </c>
      <c r="Z139">
        <f t="shared" si="61"/>
        <v>1.3583845613689432E-2</v>
      </c>
      <c r="AA139">
        <f t="shared" si="65"/>
        <v>-1.5437846652177729</v>
      </c>
      <c r="AB139">
        <f t="shared" si="73"/>
        <v>1.5437846652177729</v>
      </c>
      <c r="AC139">
        <f t="shared" si="41"/>
        <v>1.3748616029574884E-2</v>
      </c>
      <c r="AD139">
        <f t="shared" si="42"/>
        <v>-0.34952259771672728</v>
      </c>
      <c r="AE139">
        <f t="shared" si="35"/>
        <v>0.34952259771672728</v>
      </c>
      <c r="AF139">
        <f t="shared" si="43"/>
        <v>1.3403797593638942E-2</v>
      </c>
      <c r="AG139">
        <f t="shared" si="44"/>
        <v>-2.8487793726684774</v>
      </c>
      <c r="AH139">
        <f t="shared" si="36"/>
        <v>2.8487793726684774</v>
      </c>
      <c r="AI139">
        <f t="shared" si="45"/>
        <v>1.3753099443414794E-2</v>
      </c>
      <c r="AJ139">
        <f t="shared" si="46"/>
        <v>-0.31702664840968764</v>
      </c>
      <c r="AK139">
        <f t="shared" si="37"/>
        <v>0.31702664840968764</v>
      </c>
      <c r="AL139">
        <f>Y141+(-1+(1.023+0.23364*X139/467.6+0.58553*(X139/467)^2-0.40758*(X139/467)^3+0.093324*(X139/467)^4)^4)/(10000*(304.1282/((72.80829^4)*(44.095^3)))^(1/6))</f>
        <v>1.4227005072100975E-2</v>
      </c>
      <c r="AM139">
        <f t="shared" si="63"/>
        <v>3.1178588732036023</v>
      </c>
      <c r="AN139">
        <f t="shared" si="64"/>
        <v>3.1178588732036023</v>
      </c>
    </row>
    <row r="140" spans="1:40" x14ac:dyDescent="0.25">
      <c r="B140" s="170">
        <v>270</v>
      </c>
      <c r="C140" s="87">
        <v>0.35494999999999999</v>
      </c>
      <c r="D140" s="91">
        <v>7.1360999999999999</v>
      </c>
      <c r="E140" s="89">
        <f>D140*1.953/1000</f>
        <v>1.3936803300000002E-2</v>
      </c>
      <c r="F140" s="174"/>
      <c r="H140">
        <f t="shared" si="39"/>
        <v>1.5050910625429794</v>
      </c>
      <c r="I140" s="8">
        <f t="shared" si="67"/>
        <v>4.9810719266786211E-3</v>
      </c>
      <c r="J140" s="8">
        <v>1749.3548931883499</v>
      </c>
      <c r="K140">
        <v>-369.06930000711998</v>
      </c>
      <c r="L140">
        <v>5423856.3488769103</v>
      </c>
      <c r="M140">
        <v>-2.2128385216835</v>
      </c>
      <c r="N140">
        <v>-269503.24793356902</v>
      </c>
      <c r="O140">
        <v>73145.021531826002</v>
      </c>
      <c r="P140">
        <v>5.34368649509278</v>
      </c>
      <c r="Q140">
        <f t="shared" si="70"/>
        <v>1.3551415829017806E-2</v>
      </c>
      <c r="R140">
        <f t="shared" si="68"/>
        <v>7.415324519602722E-4</v>
      </c>
      <c r="S140">
        <f t="shared" si="71"/>
        <v>0.23663777362859373</v>
      </c>
      <c r="T140">
        <f t="shared" si="69"/>
        <v>2.3779291162601728E-6</v>
      </c>
      <c r="U140">
        <f t="shared" si="72"/>
        <v>3.0845655821288455E-6</v>
      </c>
      <c r="W140" s="8">
        <v>270</v>
      </c>
      <c r="X140" s="59">
        <v>7.1360999999999999</v>
      </c>
      <c r="Y140">
        <f>X140*1.953/1000</f>
        <v>1.3936803300000002E-2</v>
      </c>
      <c r="Z140">
        <f t="shared" si="61"/>
        <v>1.3571469534566479E-2</v>
      </c>
      <c r="AA140">
        <f t="shared" si="65"/>
        <v>-2.6213598453636977</v>
      </c>
      <c r="AB140">
        <f t="shared" si="73"/>
        <v>2.6213598453636977</v>
      </c>
      <c r="AC140">
        <f t="shared" si="41"/>
        <v>1.3748616029574884E-2</v>
      </c>
      <c r="AD140">
        <f t="shared" si="42"/>
        <v>-1.3502900656215577</v>
      </c>
      <c r="AE140">
        <f t="shared" si="35"/>
        <v>1.3502900656215577</v>
      </c>
      <c r="AF140">
        <f t="shared" si="43"/>
        <v>1.3403797593638942E-2</v>
      </c>
      <c r="AG140">
        <f t="shared" si="44"/>
        <v>-3.8244473634858536</v>
      </c>
      <c r="AH140">
        <f t="shared" si="36"/>
        <v>3.8244473634858536</v>
      </c>
      <c r="AI140">
        <f t="shared" si="45"/>
        <v>1.3753099443414794E-2</v>
      </c>
      <c r="AJ140">
        <f t="shared" si="46"/>
        <v>-1.3181204658690102</v>
      </c>
      <c r="AK140">
        <f t="shared" si="37"/>
        <v>1.3181204658690102</v>
      </c>
      <c r="AL140">
        <f>Y141+(-1+(1.023+0.23364*X140/467.6+0.58553*(X140/467)^2-0.40758*(X140/467)^3+0.093324*(X140/467)^4)^4)/(10000*(304.1282/((72.80829^4)*(44.095^3)))^(1/6))</f>
        <v>1.4189127721216083E-2</v>
      </c>
      <c r="AM140">
        <f t="shared" si="63"/>
        <v>1.8104899364984295</v>
      </c>
      <c r="AN140">
        <f t="shared" si="64"/>
        <v>1.8104899364984295</v>
      </c>
    </row>
    <row r="141" spans="1:40" x14ac:dyDescent="0.25">
      <c r="B141" s="173">
        <v>270</v>
      </c>
      <c r="C141" s="88">
        <v>0.19661000000000001</v>
      </c>
      <c r="D141" s="92">
        <v>3.9077700000000002</v>
      </c>
      <c r="E141" s="90">
        <f>D141*3.504/1000</f>
        <v>1.3692826080000001E-2</v>
      </c>
      <c r="F141" s="174"/>
      <c r="H141" s="25">
        <f t="shared" si="39"/>
        <v>1.5050910625429794</v>
      </c>
      <c r="I141" s="57">
        <f t="shared" si="67"/>
        <v>4.9810719266786211E-3</v>
      </c>
      <c r="J141" s="57">
        <v>1749.3548931883499</v>
      </c>
      <c r="K141" s="25">
        <v>-369.06930000711998</v>
      </c>
      <c r="L141" s="25">
        <v>5423856.3488769103</v>
      </c>
      <c r="M141" s="25">
        <v>-2.2128385216835</v>
      </c>
      <c r="N141" s="25">
        <v>-269503.24793356902</v>
      </c>
      <c r="O141" s="25">
        <v>73145.021531826002</v>
      </c>
      <c r="P141" s="25">
        <v>5.34368649509278</v>
      </c>
      <c r="Q141" s="25">
        <f t="shared" si="70"/>
        <v>1.3551415829017806E-2</v>
      </c>
      <c r="R141" s="25">
        <f t="shared" si="68"/>
        <v>7.415324519602722E-4</v>
      </c>
      <c r="S141" s="25">
        <f t="shared" si="71"/>
        <v>0.23663777362859373</v>
      </c>
      <c r="T141" s="25">
        <f t="shared" si="69"/>
        <v>2.3779291162601728E-6</v>
      </c>
      <c r="U141" s="25">
        <f t="shared" si="72"/>
        <v>9.2369783045461424E-7</v>
      </c>
      <c r="W141" s="57">
        <v>270</v>
      </c>
      <c r="X141" s="74">
        <v>3.9077700000000002</v>
      </c>
      <c r="Y141" s="25">
        <f>X141*3.504/1000</f>
        <v>1.3692826080000001E-2</v>
      </c>
      <c r="Z141" s="25">
        <f t="shared" si="61"/>
        <v>1.3561631926910908E-2</v>
      </c>
      <c r="AA141" s="25">
        <f t="shared" si="65"/>
        <v>-0.95812327070098069</v>
      </c>
      <c r="AB141" s="25">
        <f t="shared" si="73"/>
        <v>0.95812327070098069</v>
      </c>
      <c r="AC141" s="25">
        <f t="shared" si="41"/>
        <v>1.3748616029574884E-2</v>
      </c>
      <c r="AD141" s="25">
        <f t="shared" si="42"/>
        <v>0.4074392623475343</v>
      </c>
      <c r="AE141" s="25">
        <f t="shared" ref="AE141:AE188" si="74">ABS(AD141)</f>
        <v>0.4074392623475343</v>
      </c>
      <c r="AF141" s="25">
        <f t="shared" si="43"/>
        <v>1.3403797593638942E-2</v>
      </c>
      <c r="AG141" s="25">
        <f t="shared" si="44"/>
        <v>-2.1108022892602114</v>
      </c>
      <c r="AH141" s="25">
        <f t="shared" ref="AH141:AH188" si="75">ABS(AG141)</f>
        <v>2.1108022892602114</v>
      </c>
      <c r="AI141" s="25">
        <f t="shared" si="45"/>
        <v>1.3753099443414794E-2</v>
      </c>
      <c r="AJ141" s="25">
        <f t="shared" si="46"/>
        <v>0.4401820563749731</v>
      </c>
      <c r="AK141" s="25">
        <f t="shared" ref="AK141:AK188" si="76">ABS(AJ141)</f>
        <v>0.4401820563749731</v>
      </c>
      <c r="AL141" s="25">
        <f>Y141+(-1+(1.023+0.23364*X141/467.6+0.58553*(X141/467)^2-0.40758*(X141/467)^3+0.093324*(X141/467)^4)^4)/(10000*(304.1282/((72.80829^4)*(44.095^3)))^(1/6))</f>
        <v>1.4156205204132384E-2</v>
      </c>
      <c r="AM141" s="25">
        <f t="shared" si="63"/>
        <v>3.3841014369502824</v>
      </c>
      <c r="AN141" s="25">
        <f t="shared" si="64"/>
        <v>3.3841014369502824</v>
      </c>
    </row>
    <row r="142" spans="1:40" x14ac:dyDescent="0.25">
      <c r="A142" t="s">
        <v>275</v>
      </c>
      <c r="B142" s="170">
        <v>285</v>
      </c>
      <c r="C142" s="87">
        <v>3.05776</v>
      </c>
      <c r="D142" s="93">
        <v>71.813299999999998</v>
      </c>
      <c r="E142" s="89">
        <f>D142*0.2062/1000</f>
        <v>1.4807902459999999E-2</v>
      </c>
      <c r="F142" s="174"/>
      <c r="H142">
        <f t="shared" ref="H142:H188" si="77">1.16145/(W142*1.2593/304.1282)^0.14874 +0.52487*EXP(-0.7732*W142*1.2593/304.1282)+2.16178*EXP(-2.43787*W142*1.2593/304.1282)</f>
        <v>1.4656731567787802</v>
      </c>
      <c r="I142" s="8">
        <f t="shared" si="67"/>
        <v>4.9810719266786211E-3</v>
      </c>
      <c r="J142" s="8">
        <v>1749.3548931883499</v>
      </c>
      <c r="K142">
        <v>-369.06930000711998</v>
      </c>
      <c r="L142">
        <v>5423856.3488769103</v>
      </c>
      <c r="M142">
        <v>-2.2128385216835</v>
      </c>
      <c r="N142">
        <v>-269503.24793356902</v>
      </c>
      <c r="O142">
        <v>73145.021531826002</v>
      </c>
      <c r="P142">
        <v>5.34368649509278</v>
      </c>
      <c r="Q142">
        <f t="shared" si="70"/>
        <v>1.42749788742097E-2</v>
      </c>
      <c r="R142">
        <f t="shared" si="68"/>
        <v>7.415324519602722E-4</v>
      </c>
      <c r="S142">
        <f t="shared" si="71"/>
        <v>0.3648790964774874</v>
      </c>
      <c r="T142">
        <f t="shared" si="69"/>
        <v>3.8623766241684439E-6</v>
      </c>
      <c r="U142">
        <f t="shared" si="72"/>
        <v>3.0349654967746614E-4</v>
      </c>
      <c r="W142" s="8">
        <v>285</v>
      </c>
      <c r="X142" s="63">
        <v>71.813299999999998</v>
      </c>
      <c r="Y142">
        <f>X142*0.2062/1000</f>
        <v>1.4807902459999999E-2</v>
      </c>
      <c r="Z142">
        <f t="shared" si="61"/>
        <v>1.4855845435111561E-2</v>
      </c>
      <c r="AA142">
        <f t="shared" si="65"/>
        <v>0.32376614609035864</v>
      </c>
      <c r="AB142">
        <f t="shared" si="73"/>
        <v>0.32376614609035864</v>
      </c>
      <c r="AC142">
        <f xml:space="preserve"> (16.64*W142*SQRT(44.095)/(SQRT(195.2)*(3.941^2)))/10000</f>
        <v>1.4512428031217937E-2</v>
      </c>
      <c r="AD142">
        <f t="shared" ref="AD142:AD188" si="78">100*(AC142-Y142)/Y142</f>
        <v>-1.9953834081512607</v>
      </c>
      <c r="AE142">
        <f t="shared" si="74"/>
        <v>1.9953834081512607</v>
      </c>
      <c r="AF142">
        <f>((1-0.2756*0.225)*40.785*SQRT(W142*44.095)/(H142*94.11891^(2/3)))/10000</f>
        <v>1.4141453566456314E-2</v>
      </c>
      <c r="AG142">
        <f t="shared" ref="AG142:AG188" si="79">100*(AF142-Y142)/Y142</f>
        <v>-4.5006299531208906</v>
      </c>
      <c r="AH142">
        <f t="shared" si="75"/>
        <v>4.5006299531208906</v>
      </c>
      <c r="AI142">
        <f t="shared" ref="AI142:AI188" si="80">((0.807*(W142/304.1282)^0.618 -0.357*EXP(-0.449*W142/304.1282)+0.34*EXP(-4.058*W142/304.1282)+0.018)/(0.176*(304.1282/((73.773^4)*(44.095^3)))^(1/6)))/10000</f>
        <v>1.4496379447653519E-2</v>
      </c>
      <c r="AJ142">
        <f t="shared" ref="AJ142:AJ188" si="81">100*(AI142-Y142)/Y142</f>
        <v>-2.1037619148828508</v>
      </c>
      <c r="AK142">
        <f t="shared" si="76"/>
        <v>2.1037619148828508</v>
      </c>
      <c r="AL142">
        <f>Y153+(-1+(1.023+0.23364*X142/467.6+0.58553*(X142/467)^2-0.40758*(X142/467)^3+0.093324*(X142/467)^4)^4)/(10000*(304.1282/((72.80829^4)*(44.095^3)))^(1/6))</f>
        <v>1.6011319080154993E-2</v>
      </c>
      <c r="AM142">
        <f t="shared" si="63"/>
        <v>8.1268540457079297</v>
      </c>
      <c r="AN142">
        <f t="shared" si="64"/>
        <v>8.1268540457079297</v>
      </c>
    </row>
    <row r="143" spans="1:40" x14ac:dyDescent="0.25">
      <c r="A143" t="s">
        <v>315</v>
      </c>
      <c r="B143" s="170">
        <v>285</v>
      </c>
      <c r="C143" s="87">
        <v>2.8418899999999998</v>
      </c>
      <c r="D143" s="93">
        <v>65.260800000000003</v>
      </c>
      <c r="E143" s="89">
        <f>D143*0.2271/1000</f>
        <v>1.4820727680000001E-2</v>
      </c>
      <c r="F143" s="174"/>
      <c r="H143">
        <f t="shared" si="77"/>
        <v>1.4656731567787802</v>
      </c>
      <c r="I143" s="8">
        <f t="shared" si="67"/>
        <v>4.9810719266786211E-3</v>
      </c>
      <c r="J143" s="8">
        <v>1749.3548931883499</v>
      </c>
      <c r="K143">
        <v>-369.06930000711998</v>
      </c>
      <c r="L143">
        <v>5423856.3488769103</v>
      </c>
      <c r="M143">
        <v>-2.2128385216835</v>
      </c>
      <c r="N143">
        <v>-269503.24793356902</v>
      </c>
      <c r="O143">
        <v>73145.021531826002</v>
      </c>
      <c r="P143">
        <v>5.34368649509278</v>
      </c>
      <c r="Q143">
        <f t="shared" si="70"/>
        <v>1.42749788742097E-2</v>
      </c>
      <c r="R143">
        <f t="shared" si="68"/>
        <v>7.415324519602722E-4</v>
      </c>
      <c r="S143">
        <f t="shared" si="71"/>
        <v>0.3648790964774874</v>
      </c>
      <c r="T143">
        <f t="shared" si="69"/>
        <v>3.8623766241684439E-6</v>
      </c>
      <c r="U143">
        <f t="shared" si="72"/>
        <v>2.4987573838825445E-4</v>
      </c>
      <c r="W143" s="8">
        <v>285</v>
      </c>
      <c r="X143" s="63">
        <v>65.260800000000003</v>
      </c>
      <c r="Y143">
        <f>X143*0.2271/1000</f>
        <v>1.4820727680000001E-2</v>
      </c>
      <c r="Z143">
        <f t="shared" si="61"/>
        <v>1.4776916400992487E-2</v>
      </c>
      <c r="AA143">
        <f t="shared" si="65"/>
        <v>-0.29560815064860907</v>
      </c>
      <c r="AB143">
        <f t="shared" si="73"/>
        <v>0.29560815064860907</v>
      </c>
      <c r="AC143">
        <f t="shared" ref="AC143:AC188" si="82" xml:space="preserve"> (16.64*W143*SQRT(44.095)/(SQRT(195.2)*(3.941^2)))/10000</f>
        <v>1.4512428031217937E-2</v>
      </c>
      <c r="AD143">
        <f t="shared" si="78"/>
        <v>-2.0801923862220524</v>
      </c>
      <c r="AE143">
        <f t="shared" si="74"/>
        <v>2.0801923862220524</v>
      </c>
      <c r="AF143">
        <f t="shared" ref="AF143:AF188" si="83">((1-0.2756*0.225)*40.785*SQRT(W143*44.095)/(H143*94.11891^(2/3)))/10000</f>
        <v>1.4141453566456314E-2</v>
      </c>
      <c r="AG143">
        <f t="shared" si="79"/>
        <v>-4.5832709986321483</v>
      </c>
      <c r="AH143">
        <f t="shared" si="75"/>
        <v>4.5832709986321483</v>
      </c>
      <c r="AI143">
        <f t="shared" si="80"/>
        <v>1.4496379447653519E-2</v>
      </c>
      <c r="AJ143">
        <f t="shared" si="81"/>
        <v>-2.1884771068574325</v>
      </c>
      <c r="AK143">
        <f t="shared" si="76"/>
        <v>2.1884771068574325</v>
      </c>
      <c r="AL143">
        <f>Y153+(-1+(1.023+0.23364*X143/467.6+0.58553*(X143/467)^2-0.40758*(X143/467)^3+0.093324*(X143/467)^4)^4)/(10000*(304.1282/((72.80829^4)*(44.095^3)))^(1/6))</f>
        <v>1.5895103804221392E-2</v>
      </c>
      <c r="AM143">
        <f t="shared" si="63"/>
        <v>7.2491455711126749</v>
      </c>
      <c r="AN143">
        <f t="shared" si="64"/>
        <v>7.2491455711126749</v>
      </c>
    </row>
    <row r="144" spans="1:40" x14ac:dyDescent="0.25">
      <c r="B144" s="170">
        <v>285</v>
      </c>
      <c r="C144" s="87">
        <v>2.55966</v>
      </c>
      <c r="D144" s="93">
        <v>57.193399999999997</v>
      </c>
      <c r="E144" s="89">
        <f>D144*0.2576/1000</f>
        <v>1.4733019839999998E-2</v>
      </c>
      <c r="F144" s="174"/>
      <c r="H144">
        <f t="shared" si="77"/>
        <v>1.4656731567787802</v>
      </c>
      <c r="I144" s="8">
        <f t="shared" si="67"/>
        <v>4.9810719266786211E-3</v>
      </c>
      <c r="J144" s="8">
        <v>1749.3548931883499</v>
      </c>
      <c r="K144">
        <v>-369.06930000711998</v>
      </c>
      <c r="L144">
        <v>5423856.3488769103</v>
      </c>
      <c r="M144">
        <v>-2.2128385216835</v>
      </c>
      <c r="N144">
        <v>-269503.24793356902</v>
      </c>
      <c r="O144">
        <v>73145.021531826002</v>
      </c>
      <c r="P144">
        <v>5.34368649509278</v>
      </c>
      <c r="Q144">
        <f t="shared" si="70"/>
        <v>1.42749788742097E-2</v>
      </c>
      <c r="R144">
        <f t="shared" si="68"/>
        <v>7.415324519602722E-4</v>
      </c>
      <c r="S144">
        <f t="shared" si="71"/>
        <v>0.3648790964774874</v>
      </c>
      <c r="T144">
        <f t="shared" si="69"/>
        <v>3.8623766241684439E-6</v>
      </c>
      <c r="U144">
        <f t="shared" si="72"/>
        <v>1.9119416014188906E-4</v>
      </c>
      <c r="W144" s="8">
        <v>285</v>
      </c>
      <c r="X144" s="63">
        <v>57.193399999999997</v>
      </c>
      <c r="Y144">
        <f>X144*0.2576/1000</f>
        <v>1.4733019839999998E-2</v>
      </c>
      <c r="Z144">
        <f t="shared" si="61"/>
        <v>1.4687075485568305E-2</v>
      </c>
      <c r="AA144">
        <f t="shared" si="65"/>
        <v>-0.31184614512603021</v>
      </c>
      <c r="AB144">
        <f t="shared" si="73"/>
        <v>0.31184614512603021</v>
      </c>
      <c r="AC144">
        <f t="shared" si="82"/>
        <v>1.4512428031217937E-2</v>
      </c>
      <c r="AD144">
        <f t="shared" si="78"/>
        <v>-1.4972613298405857</v>
      </c>
      <c r="AE144">
        <f t="shared" si="74"/>
        <v>1.4972613298405857</v>
      </c>
      <c r="AF144">
        <f t="shared" si="83"/>
        <v>1.4141453566456314E-2</v>
      </c>
      <c r="AG144">
        <f t="shared" si="79"/>
        <v>-4.0152411383957265</v>
      </c>
      <c r="AH144">
        <f t="shared" si="75"/>
        <v>4.0152411383957265</v>
      </c>
      <c r="AI144">
        <f t="shared" si="80"/>
        <v>1.4496379447653519E-2</v>
      </c>
      <c r="AJ144">
        <f t="shared" si="81"/>
        <v>-1.6061906853882288</v>
      </c>
      <c r="AK144">
        <f t="shared" si="76"/>
        <v>1.6061906853882288</v>
      </c>
      <c r="AL144">
        <f>Y153+(-1+(1.023+0.23364*X144/467.6+0.58553*(X144/467)^2-0.40758*(X144/467)^3+0.093324*(X144/467)^4)^4)/(10000*(304.1282/((72.80829^4)*(44.095^3)))^(1/6))</f>
        <v>1.5759298554133779E-2</v>
      </c>
      <c r="AM144">
        <f t="shared" si="63"/>
        <v>6.9658408478311005</v>
      </c>
      <c r="AN144">
        <f t="shared" si="64"/>
        <v>6.9658408478311005</v>
      </c>
    </row>
    <row r="145" spans="1:40" x14ac:dyDescent="0.25">
      <c r="B145" s="170">
        <v>285</v>
      </c>
      <c r="C145" s="87">
        <v>2.2212499999999999</v>
      </c>
      <c r="D145" s="93">
        <v>48.151800000000001</v>
      </c>
      <c r="E145" s="89">
        <f>D145*0.3032/1000</f>
        <v>1.4599625760000002E-2</v>
      </c>
      <c r="F145" s="174"/>
      <c r="H145">
        <f t="shared" si="77"/>
        <v>1.4656731567787802</v>
      </c>
      <c r="I145" s="8">
        <f t="shared" si="67"/>
        <v>4.9810719266786211E-3</v>
      </c>
      <c r="J145" s="8">
        <v>1749.3548931883499</v>
      </c>
      <c r="K145">
        <v>-369.06930000711998</v>
      </c>
      <c r="L145">
        <v>5423856.3488769103</v>
      </c>
      <c r="M145">
        <v>-2.2128385216835</v>
      </c>
      <c r="N145">
        <v>-269503.24793356902</v>
      </c>
      <c r="O145">
        <v>73145.021531826002</v>
      </c>
      <c r="P145">
        <v>5.34368649509278</v>
      </c>
      <c r="Q145">
        <f t="shared" si="70"/>
        <v>1.42749788742097E-2</v>
      </c>
      <c r="R145">
        <f t="shared" si="68"/>
        <v>7.415324519602722E-4</v>
      </c>
      <c r="S145">
        <f t="shared" si="71"/>
        <v>0.3648790964774874</v>
      </c>
      <c r="T145">
        <f t="shared" si="69"/>
        <v>3.8623766241684439E-6</v>
      </c>
      <c r="U145">
        <f t="shared" si="72"/>
        <v>1.3494797081103983E-4</v>
      </c>
      <c r="W145" s="8">
        <v>285</v>
      </c>
      <c r="X145" s="63">
        <v>48.151800000000001</v>
      </c>
      <c r="Y145">
        <f>X145*0.3032/1000</f>
        <v>1.4599625760000002E-2</v>
      </c>
      <c r="Z145">
        <f t="shared" si="61"/>
        <v>1.4595907231752372E-2</v>
      </c>
      <c r="AA145">
        <f t="shared" si="65"/>
        <v>-2.5470024429101824E-2</v>
      </c>
      <c r="AB145">
        <f t="shared" si="73"/>
        <v>2.5470024429101824E-2</v>
      </c>
      <c r="AC145">
        <f t="shared" si="82"/>
        <v>1.4512428031217937E-2</v>
      </c>
      <c r="AD145">
        <f t="shared" si="78"/>
        <v>-0.59726002717801763</v>
      </c>
      <c r="AE145">
        <f t="shared" si="74"/>
        <v>0.59726002717801763</v>
      </c>
      <c r="AF145">
        <f t="shared" si="83"/>
        <v>1.4141453566456314E-2</v>
      </c>
      <c r="AG145">
        <f t="shared" si="79"/>
        <v>-3.1382461514800344</v>
      </c>
      <c r="AH145">
        <f t="shared" si="75"/>
        <v>3.1382461514800344</v>
      </c>
      <c r="AI145">
        <f t="shared" si="80"/>
        <v>1.4496379447653519E-2</v>
      </c>
      <c r="AJ145">
        <f t="shared" si="81"/>
        <v>-0.70718465009806719</v>
      </c>
      <c r="AK145">
        <f t="shared" si="76"/>
        <v>0.70718465009806719</v>
      </c>
      <c r="AL145">
        <f>Y153+(-1+(1.023+0.23364*X145/467.6+0.58553*(X145/467)^2-0.40758*(X145/467)^3+0.093324*(X145/467)^4)^4)/(10000*(304.1282/((72.80829^4)*(44.095^3)))^(1/6))</f>
        <v>1.5616536473345575E-2</v>
      </c>
      <c r="AM145">
        <f t="shared" si="63"/>
        <v>6.96532041342937</v>
      </c>
      <c r="AN145">
        <f t="shared" si="64"/>
        <v>6.96532041342937</v>
      </c>
    </row>
    <row r="146" spans="1:40" x14ac:dyDescent="0.25">
      <c r="B146" s="170">
        <v>285</v>
      </c>
      <c r="C146" s="87">
        <v>1.9472400000000001</v>
      </c>
      <c r="D146" s="93">
        <v>41.260100000000001</v>
      </c>
      <c r="E146" s="89">
        <f>D146*0.3524/1000</f>
        <v>1.454005924E-2</v>
      </c>
      <c r="F146" s="174"/>
      <c r="H146">
        <f t="shared" si="77"/>
        <v>1.4656731567787802</v>
      </c>
      <c r="I146" s="8">
        <f t="shared" si="67"/>
        <v>4.9810719266786211E-3</v>
      </c>
      <c r="J146" s="8">
        <v>1749.3548931883499</v>
      </c>
      <c r="K146">
        <v>-369.06930000711998</v>
      </c>
      <c r="L146">
        <v>5423856.3488769103</v>
      </c>
      <c r="M146">
        <v>-2.2128385216835</v>
      </c>
      <c r="N146">
        <v>-269503.24793356902</v>
      </c>
      <c r="O146">
        <v>73145.021531826002</v>
      </c>
      <c r="P146">
        <v>5.34368649509278</v>
      </c>
      <c r="Q146">
        <f t="shared" si="70"/>
        <v>1.42749788742097E-2</v>
      </c>
      <c r="R146">
        <f t="shared" si="68"/>
        <v>7.415324519602722E-4</v>
      </c>
      <c r="S146">
        <f t="shared" si="71"/>
        <v>0.3648790964774874</v>
      </c>
      <c r="T146">
        <f t="shared" si="69"/>
        <v>3.8623766241684439E-6</v>
      </c>
      <c r="U146">
        <f t="shared" si="72"/>
        <v>9.8762704853155986E-5</v>
      </c>
      <c r="W146" s="8">
        <v>285</v>
      </c>
      <c r="X146" s="63">
        <v>41.260100000000001</v>
      </c>
      <c r="Y146">
        <f>X146*0.3524/1000</f>
        <v>1.454005924E-2</v>
      </c>
      <c r="Z146">
        <f t="shared" si="61"/>
        <v>1.4533103624813708E-2</v>
      </c>
      <c r="AA146">
        <f t="shared" si="65"/>
        <v>-4.7837598674680459E-2</v>
      </c>
      <c r="AB146">
        <f t="shared" si="73"/>
        <v>4.7837598674680459E-2</v>
      </c>
      <c r="AC146">
        <f t="shared" si="82"/>
        <v>1.4512428031217937E-2</v>
      </c>
      <c r="AD146">
        <f t="shared" si="78"/>
        <v>-0.19003504955501818</v>
      </c>
      <c r="AE146">
        <f t="shared" si="74"/>
        <v>0.19003504955501818</v>
      </c>
      <c r="AF146">
        <f t="shared" si="83"/>
        <v>1.4141453566456314E-2</v>
      </c>
      <c r="AG146">
        <f t="shared" si="79"/>
        <v>-2.741430877029122</v>
      </c>
      <c r="AH146">
        <f t="shared" si="75"/>
        <v>2.741430877029122</v>
      </c>
      <c r="AI146">
        <f t="shared" si="80"/>
        <v>1.4496379447653519E-2</v>
      </c>
      <c r="AJ146">
        <f t="shared" si="81"/>
        <v>-0.30041000263821088</v>
      </c>
      <c r="AK146">
        <f t="shared" si="76"/>
        <v>0.30041000263821088</v>
      </c>
      <c r="AL146">
        <f t="shared" si="66"/>
        <v>1.5459202844786135E-2</v>
      </c>
      <c r="AM146">
        <f t="shared" si="63"/>
        <v>6.3214570835966901</v>
      </c>
      <c r="AN146">
        <f t="shared" si="64"/>
        <v>6.3214570835966901</v>
      </c>
    </row>
    <row r="147" spans="1:40" x14ac:dyDescent="0.25">
      <c r="B147" s="170">
        <v>285</v>
      </c>
      <c r="C147" s="87">
        <v>1.70723</v>
      </c>
      <c r="D147" s="93">
        <v>35.497500000000002</v>
      </c>
      <c r="E147" s="89">
        <f>D147*0.4086/1000</f>
        <v>1.4504278500000002E-2</v>
      </c>
      <c r="F147" s="174"/>
      <c r="H147">
        <f t="shared" si="77"/>
        <v>1.4656731567787802</v>
      </c>
      <c r="I147" s="8">
        <f t="shared" si="67"/>
        <v>4.9810719266786211E-3</v>
      </c>
      <c r="J147" s="8">
        <v>1749.3548931883499</v>
      </c>
      <c r="K147">
        <v>-369.06930000711998</v>
      </c>
      <c r="L147">
        <v>5423856.3488769103</v>
      </c>
      <c r="M147">
        <v>-2.2128385216835</v>
      </c>
      <c r="N147">
        <v>-269503.24793356902</v>
      </c>
      <c r="O147">
        <v>73145.021531826002</v>
      </c>
      <c r="P147">
        <v>5.34368649509278</v>
      </c>
      <c r="Q147">
        <f t="shared" si="70"/>
        <v>1.42749788742097E-2</v>
      </c>
      <c r="R147">
        <f t="shared" si="68"/>
        <v>7.415324519602722E-4</v>
      </c>
      <c r="S147">
        <f t="shared" si="71"/>
        <v>0.3648790964774874</v>
      </c>
      <c r="T147">
        <f t="shared" si="69"/>
        <v>3.8623766241684439E-6</v>
      </c>
      <c r="U147">
        <f t="shared" si="72"/>
        <v>7.2903164823638207E-5</v>
      </c>
      <c r="W147" s="8">
        <v>285</v>
      </c>
      <c r="X147" s="63">
        <v>35.497500000000002</v>
      </c>
      <c r="Y147">
        <f>X147*0.4086/1000</f>
        <v>1.4504278500000002E-2</v>
      </c>
      <c r="Z147">
        <f t="shared" si="61"/>
        <v>1.4484986753249758E-2</v>
      </c>
      <c r="AA147">
        <f t="shared" si="65"/>
        <v>-0.13300728299063189</v>
      </c>
      <c r="AB147">
        <f t="shared" si="73"/>
        <v>0.13300728299063189</v>
      </c>
      <c r="AC147">
        <f t="shared" si="82"/>
        <v>1.4512428031217937E-2</v>
      </c>
      <c r="AD147">
        <f t="shared" si="78"/>
        <v>5.6187084507064042E-2</v>
      </c>
      <c r="AE147">
        <f t="shared" si="74"/>
        <v>5.6187084507064042E-2</v>
      </c>
      <c r="AF147">
        <f t="shared" si="83"/>
        <v>1.4141453566456314E-2</v>
      </c>
      <c r="AG147">
        <f t="shared" si="79"/>
        <v>-2.5015028051459982</v>
      </c>
      <c r="AH147">
        <f t="shared" si="75"/>
        <v>2.5015028051459982</v>
      </c>
      <c r="AI147">
        <f t="shared" si="80"/>
        <v>1.4496379447653519E-2</v>
      </c>
      <c r="AJ147">
        <f t="shared" si="81"/>
        <v>-5.4460153578018353E-2</v>
      </c>
      <c r="AK147">
        <f t="shared" si="76"/>
        <v>5.4460153578018353E-2</v>
      </c>
      <c r="AL147">
        <f t="shared" si="66"/>
        <v>1.5342349496348795E-2</v>
      </c>
      <c r="AM147">
        <f t="shared" si="63"/>
        <v>5.7780950382936522</v>
      </c>
      <c r="AN147">
        <f t="shared" si="64"/>
        <v>5.7780950382936522</v>
      </c>
    </row>
    <row r="148" spans="1:40" x14ac:dyDescent="0.25">
      <c r="B148" s="170">
        <v>285</v>
      </c>
      <c r="C148" s="87">
        <v>1.5004</v>
      </c>
      <c r="D148" s="93">
        <v>30.715499999999999</v>
      </c>
      <c r="E148" s="89">
        <f>D148*0.4716/1000</f>
        <v>1.44854298E-2</v>
      </c>
      <c r="F148" s="174"/>
      <c r="H148">
        <f t="shared" si="77"/>
        <v>1.4656731567787802</v>
      </c>
      <c r="I148" s="8">
        <f t="shared" si="67"/>
        <v>4.9810719266786211E-3</v>
      </c>
      <c r="J148" s="8">
        <v>1749.3548931883499</v>
      </c>
      <c r="K148">
        <v>-369.06930000711998</v>
      </c>
      <c r="L148">
        <v>5423856.3488769103</v>
      </c>
      <c r="M148">
        <v>-2.2128385216835</v>
      </c>
      <c r="N148">
        <v>-269503.24793356902</v>
      </c>
      <c r="O148">
        <v>73145.021531826002</v>
      </c>
      <c r="P148">
        <v>5.34368649509278</v>
      </c>
      <c r="Q148">
        <f t="shared" si="70"/>
        <v>1.42749788742097E-2</v>
      </c>
      <c r="R148">
        <f t="shared" si="68"/>
        <v>7.415324519602722E-4</v>
      </c>
      <c r="S148">
        <f t="shared" si="71"/>
        <v>0.3648790964774874</v>
      </c>
      <c r="T148">
        <f t="shared" si="69"/>
        <v>3.8623766241684439E-6</v>
      </c>
      <c r="U148">
        <f t="shared" si="72"/>
        <v>5.4460680818693716E-5</v>
      </c>
      <c r="W148" s="8">
        <v>285</v>
      </c>
      <c r="X148" s="63">
        <v>30.715499999999999</v>
      </c>
      <c r="Y148">
        <f>X148*0.4716/1000</f>
        <v>1.44854298E-2</v>
      </c>
      <c r="Z148">
        <f t="shared" si="61"/>
        <v>1.444807438422804E-2</v>
      </c>
      <c r="AA148">
        <f t="shared" si="65"/>
        <v>-0.25788268824415272</v>
      </c>
      <c r="AB148">
        <f t="shared" si="73"/>
        <v>0.25788268824415272</v>
      </c>
      <c r="AC148">
        <f t="shared" si="82"/>
        <v>1.4512428031217937E-2</v>
      </c>
      <c r="AD148">
        <f t="shared" si="78"/>
        <v>0.18638198238299741</v>
      </c>
      <c r="AE148">
        <f t="shared" si="74"/>
        <v>0.18638198238299741</v>
      </c>
      <c r="AF148">
        <f t="shared" si="83"/>
        <v>1.4141453566456314E-2</v>
      </c>
      <c r="AG148">
        <f t="shared" si="79"/>
        <v>-2.3746360190409086</v>
      </c>
      <c r="AH148">
        <f t="shared" si="75"/>
        <v>2.3746360190409086</v>
      </c>
      <c r="AI148">
        <f t="shared" si="80"/>
        <v>1.4496379447653519E-2</v>
      </c>
      <c r="AJ148">
        <f t="shared" si="81"/>
        <v>7.5590768135295763E-2</v>
      </c>
      <c r="AK148">
        <f t="shared" si="76"/>
        <v>7.5590768135295763E-2</v>
      </c>
      <c r="AL148">
        <f t="shared" si="66"/>
        <v>1.5259226175197853E-2</v>
      </c>
      <c r="AM148">
        <f t="shared" si="63"/>
        <v>5.3418944821219858</v>
      </c>
      <c r="AN148">
        <f t="shared" si="64"/>
        <v>5.3418944821219858</v>
      </c>
    </row>
    <row r="149" spans="1:40" x14ac:dyDescent="0.25">
      <c r="B149" s="170">
        <v>285</v>
      </c>
      <c r="C149" s="87">
        <v>1.22851</v>
      </c>
      <c r="D149" s="93">
        <v>24.663</v>
      </c>
      <c r="E149" s="89">
        <f>D149*0.5874/1000</f>
        <v>1.4487046200000003E-2</v>
      </c>
      <c r="F149" s="174"/>
      <c r="H149">
        <f t="shared" si="77"/>
        <v>1.4656731567787802</v>
      </c>
      <c r="I149" s="8">
        <f t="shared" si="67"/>
        <v>4.9810719266786211E-3</v>
      </c>
      <c r="J149" s="8">
        <v>1749.3548931883499</v>
      </c>
      <c r="K149">
        <v>-369.06930000711998</v>
      </c>
      <c r="L149">
        <v>5423856.3488769103</v>
      </c>
      <c r="M149">
        <v>-2.2128385216835</v>
      </c>
      <c r="N149">
        <v>-269503.24793356902</v>
      </c>
      <c r="O149">
        <v>73145.021531826002</v>
      </c>
      <c r="P149">
        <v>5.34368649509278</v>
      </c>
      <c r="Q149">
        <f t="shared" si="70"/>
        <v>1.42749788742097E-2</v>
      </c>
      <c r="R149">
        <f t="shared" si="68"/>
        <v>7.415324519602722E-4</v>
      </c>
      <c r="S149">
        <f t="shared" si="71"/>
        <v>0.3648790964774874</v>
      </c>
      <c r="T149">
        <f t="shared" si="69"/>
        <v>3.8623766241684439E-6</v>
      </c>
      <c r="U149">
        <f t="shared" si="72"/>
        <v>3.5011634010445937E-5</v>
      </c>
      <c r="W149" s="8">
        <v>285</v>
      </c>
      <c r="X149" s="63">
        <v>24.663</v>
      </c>
      <c r="Y149">
        <f>X149*0.5874/1000</f>
        <v>1.4487046200000003E-2</v>
      </c>
      <c r="Z149">
        <f t="shared" si="61"/>
        <v>1.4405248302902013E-2</v>
      </c>
      <c r="AA149">
        <f t="shared" si="65"/>
        <v>-0.56462784731085758</v>
      </c>
      <c r="AB149">
        <f t="shared" si="73"/>
        <v>0.56462784731085758</v>
      </c>
      <c r="AC149">
        <f t="shared" si="82"/>
        <v>1.4512428031217937E-2</v>
      </c>
      <c r="AD149">
        <f t="shared" si="78"/>
        <v>0.17520363273180162</v>
      </c>
      <c r="AE149">
        <f t="shared" si="74"/>
        <v>0.17520363273180162</v>
      </c>
      <c r="AF149">
        <f t="shared" si="83"/>
        <v>1.4141453566456314E-2</v>
      </c>
      <c r="AG149">
        <f t="shared" si="79"/>
        <v>-2.3855286217261349</v>
      </c>
      <c r="AH149">
        <f t="shared" si="75"/>
        <v>2.3855286217261349</v>
      </c>
      <c r="AI149">
        <f t="shared" si="80"/>
        <v>1.4496379447653519E-2</v>
      </c>
      <c r="AJ149">
        <f t="shared" si="81"/>
        <v>6.4424780073635765E-2</v>
      </c>
      <c r="AK149">
        <f t="shared" si="76"/>
        <v>6.4424780073635765E-2</v>
      </c>
      <c r="AL149">
        <f t="shared" si="66"/>
        <v>1.518337512352429E-2</v>
      </c>
      <c r="AM149">
        <f t="shared" si="63"/>
        <v>4.8065624552525259</v>
      </c>
      <c r="AN149">
        <f t="shared" si="64"/>
        <v>4.8065624552525259</v>
      </c>
    </row>
    <row r="150" spans="1:40" x14ac:dyDescent="0.25">
      <c r="B150" s="170">
        <v>285</v>
      </c>
      <c r="C150" s="87">
        <v>1.01298</v>
      </c>
      <c r="D150" s="93">
        <v>20.037099999999999</v>
      </c>
      <c r="E150" s="89">
        <f>D150*0.7217/1000</f>
        <v>1.4460775069999999E-2</v>
      </c>
      <c r="F150" s="174"/>
      <c r="H150">
        <f t="shared" si="77"/>
        <v>1.4656731567787802</v>
      </c>
      <c r="I150" s="8">
        <f t="shared" si="67"/>
        <v>4.9810719266786211E-3</v>
      </c>
      <c r="J150" s="8">
        <v>1749.3548931883499</v>
      </c>
      <c r="K150">
        <v>-369.06930000711998</v>
      </c>
      <c r="L150">
        <v>5423856.3488769103</v>
      </c>
      <c r="M150">
        <v>-2.2128385216835</v>
      </c>
      <c r="N150">
        <v>-269503.24793356902</v>
      </c>
      <c r="O150">
        <v>73145.021531826002</v>
      </c>
      <c r="P150">
        <v>5.34368649509278</v>
      </c>
      <c r="Q150">
        <f t="shared" si="70"/>
        <v>1.42749788742097E-2</v>
      </c>
      <c r="R150">
        <f t="shared" si="68"/>
        <v>7.415324519602722E-4</v>
      </c>
      <c r="S150">
        <f t="shared" si="71"/>
        <v>0.3648790964774874</v>
      </c>
      <c r="T150">
        <f t="shared" si="69"/>
        <v>3.8623766241684439E-6</v>
      </c>
      <c r="U150">
        <f t="shared" si="72"/>
        <v>2.3058686669421649E-5</v>
      </c>
      <c r="W150" s="8">
        <v>285</v>
      </c>
      <c r="X150" s="63">
        <v>20.037099999999999</v>
      </c>
      <c r="Y150">
        <f>X150*0.7217/1000</f>
        <v>1.4460775069999999E-2</v>
      </c>
      <c r="Z150">
        <f t="shared" si="61"/>
        <v>1.4375428387535248E-2</v>
      </c>
      <c r="AA150">
        <f t="shared" si="65"/>
        <v>-0.5901943848211133</v>
      </c>
      <c r="AB150">
        <f t="shared" si="73"/>
        <v>0.5901943848211133</v>
      </c>
      <c r="AC150">
        <f t="shared" si="82"/>
        <v>1.4512428031217937E-2</v>
      </c>
      <c r="AD150">
        <f t="shared" si="78"/>
        <v>0.35719358725865191</v>
      </c>
      <c r="AE150">
        <f t="shared" si="74"/>
        <v>0.35719358725865191</v>
      </c>
      <c r="AF150">
        <f t="shared" si="83"/>
        <v>1.4141453566456314E-2</v>
      </c>
      <c r="AG150">
        <f t="shared" si="79"/>
        <v>-2.2081907919731241</v>
      </c>
      <c r="AH150">
        <f t="shared" si="75"/>
        <v>2.2081907919731241</v>
      </c>
      <c r="AI150">
        <f t="shared" si="80"/>
        <v>1.4496379447653519E-2</v>
      </c>
      <c r="AJ150">
        <f t="shared" si="81"/>
        <v>0.24621348082084105</v>
      </c>
      <c r="AK150">
        <f t="shared" si="76"/>
        <v>0.24621348082084105</v>
      </c>
      <c r="AL150">
        <f t="shared" si="66"/>
        <v>1.5100809132595067E-2</v>
      </c>
      <c r="AM150">
        <f t="shared" si="63"/>
        <v>4.426001092589205</v>
      </c>
      <c r="AN150">
        <f t="shared" si="64"/>
        <v>4.426001092589205</v>
      </c>
    </row>
    <row r="151" spans="1:40" x14ac:dyDescent="0.25">
      <c r="B151" s="170">
        <v>285</v>
      </c>
      <c r="C151" s="87">
        <v>0.78774</v>
      </c>
      <c r="D151" s="93">
        <v>15.3513</v>
      </c>
      <c r="E151" s="89">
        <f>D151*0.9437/1000</f>
        <v>1.448702181E-2</v>
      </c>
      <c r="F151" s="174"/>
      <c r="H151">
        <f t="shared" si="77"/>
        <v>1.4656731567787802</v>
      </c>
      <c r="I151" s="8">
        <f t="shared" si="67"/>
        <v>4.9810719266786211E-3</v>
      </c>
      <c r="J151" s="8">
        <v>1749.3548931883499</v>
      </c>
      <c r="K151">
        <v>-369.06930000711998</v>
      </c>
      <c r="L151">
        <v>5423856.3488769103</v>
      </c>
      <c r="M151">
        <v>-2.2128385216835</v>
      </c>
      <c r="N151">
        <v>-269503.24793356902</v>
      </c>
      <c r="O151">
        <v>73145.021531826002</v>
      </c>
      <c r="P151">
        <v>5.34368649509278</v>
      </c>
      <c r="Q151">
        <f t="shared" si="70"/>
        <v>1.42749788742097E-2</v>
      </c>
      <c r="R151">
        <f t="shared" si="68"/>
        <v>7.415324519602722E-4</v>
      </c>
      <c r="S151">
        <f t="shared" si="71"/>
        <v>0.3648790964774874</v>
      </c>
      <c r="T151">
        <f t="shared" si="69"/>
        <v>3.8623766241684439E-6</v>
      </c>
      <c r="U151">
        <f t="shared" si="72"/>
        <v>1.3504698486890792E-5</v>
      </c>
      <c r="W151" s="8">
        <v>285</v>
      </c>
      <c r="X151" s="63">
        <v>15.3513</v>
      </c>
      <c r="Y151">
        <f>X151*0.9437/1000</f>
        <v>1.448702181E-2</v>
      </c>
      <c r="Z151">
        <f t="shared" si="61"/>
        <v>1.4347776074967188E-2</v>
      </c>
      <c r="AA151">
        <f t="shared" si="65"/>
        <v>-0.9611757120203579</v>
      </c>
      <c r="AB151">
        <f t="shared" si="73"/>
        <v>0.9611757120203579</v>
      </c>
      <c r="AC151">
        <f t="shared" si="82"/>
        <v>1.4512428031217937E-2</v>
      </c>
      <c r="AD151">
        <f t="shared" si="78"/>
        <v>0.17537228528502311</v>
      </c>
      <c r="AE151">
        <f t="shared" si="74"/>
        <v>0.17537228528502311</v>
      </c>
      <c r="AF151">
        <f t="shared" si="83"/>
        <v>1.4141453566456314E-2</v>
      </c>
      <c r="AG151">
        <f t="shared" si="79"/>
        <v>-2.3853642803598856</v>
      </c>
      <c r="AH151">
        <f t="shared" si="75"/>
        <v>2.3853642803598856</v>
      </c>
      <c r="AI151">
        <f t="shared" si="80"/>
        <v>1.4496379447653519E-2</v>
      </c>
      <c r="AJ151">
        <f t="shared" si="81"/>
        <v>6.4593246122256628E-2</v>
      </c>
      <c r="AK151">
        <f t="shared" si="76"/>
        <v>6.4593246122256628E-2</v>
      </c>
      <c r="AL151">
        <f t="shared" si="66"/>
        <v>1.5072595926230897E-2</v>
      </c>
      <c r="AM151">
        <f t="shared" si="63"/>
        <v>4.0420600169642222</v>
      </c>
      <c r="AN151">
        <f t="shared" si="64"/>
        <v>4.0420600169642222</v>
      </c>
    </row>
    <row r="152" spans="1:40" x14ac:dyDescent="0.25">
      <c r="B152" s="170">
        <v>285</v>
      </c>
      <c r="C152" s="87">
        <v>0.57525000000000004</v>
      </c>
      <c r="D152" s="93">
        <v>11.0594</v>
      </c>
      <c r="E152" s="89">
        <f>D152*1.3113/1000</f>
        <v>1.4502191219999998E-2</v>
      </c>
      <c r="F152" s="174"/>
      <c r="H152">
        <f t="shared" si="77"/>
        <v>1.4656731567787802</v>
      </c>
      <c r="I152" s="8">
        <f t="shared" si="67"/>
        <v>4.9810719266786211E-3</v>
      </c>
      <c r="J152" s="8">
        <v>1749.3548931883499</v>
      </c>
      <c r="K152">
        <v>-369.06930000711998</v>
      </c>
      <c r="L152">
        <v>5423856.3488769103</v>
      </c>
      <c r="M152">
        <v>-2.2128385216835</v>
      </c>
      <c r="N152">
        <v>-269503.24793356902</v>
      </c>
      <c r="O152">
        <v>73145.021531826002</v>
      </c>
      <c r="P152">
        <v>5.34368649509278</v>
      </c>
      <c r="Q152">
        <f t="shared" si="70"/>
        <v>1.42749788742097E-2</v>
      </c>
      <c r="R152">
        <f t="shared" si="68"/>
        <v>7.415324519602722E-4</v>
      </c>
      <c r="S152">
        <f t="shared" si="71"/>
        <v>0.3648790964774874</v>
      </c>
      <c r="T152">
        <f t="shared" si="69"/>
        <v>3.8623766241684439E-6</v>
      </c>
      <c r="U152">
        <f t="shared" si="72"/>
        <v>6.994667927183361E-6</v>
      </c>
      <c r="W152" s="8">
        <v>285</v>
      </c>
      <c r="X152" s="63">
        <v>11.0594</v>
      </c>
      <c r="Y152">
        <f>X152*1.3113/1000</f>
        <v>1.4502191219999998E-2</v>
      </c>
      <c r="Z152">
        <f t="shared" si="61"/>
        <v>1.4324689110174212E-2</v>
      </c>
      <c r="AA152">
        <f t="shared" si="65"/>
        <v>-1.2239675172741715</v>
      </c>
      <c r="AB152">
        <f t="shared" si="73"/>
        <v>1.2239675172741715</v>
      </c>
      <c r="AC152">
        <f t="shared" si="82"/>
        <v>1.4512428031217937E-2</v>
      </c>
      <c r="AD152">
        <f t="shared" si="78"/>
        <v>7.0588030888883727E-2</v>
      </c>
      <c r="AE152">
        <f t="shared" si="74"/>
        <v>7.0588030888883727E-2</v>
      </c>
      <c r="AF152">
        <f t="shared" si="83"/>
        <v>1.4141453566456314E-2</v>
      </c>
      <c r="AG152">
        <f t="shared" si="79"/>
        <v>-2.4874699834752581</v>
      </c>
      <c r="AH152">
        <f t="shared" si="75"/>
        <v>2.4874699834752581</v>
      </c>
      <c r="AI152">
        <f t="shared" si="80"/>
        <v>1.4496379447653519E-2</v>
      </c>
      <c r="AJ152">
        <f t="shared" si="81"/>
        <v>-4.0075132497665672E-2</v>
      </c>
      <c r="AK152">
        <f t="shared" si="76"/>
        <v>4.0075132497665672E-2</v>
      </c>
      <c r="AL152">
        <f t="shared" si="66"/>
        <v>1.504014153051603E-2</v>
      </c>
      <c r="AM152">
        <f t="shared" si="63"/>
        <v>3.7094415757954122</v>
      </c>
      <c r="AN152">
        <f t="shared" si="64"/>
        <v>3.7094415757954122</v>
      </c>
    </row>
    <row r="153" spans="1:40" x14ac:dyDescent="0.25">
      <c r="B153" s="173">
        <v>285</v>
      </c>
      <c r="C153" s="88">
        <v>0.37147999999999998</v>
      </c>
      <c r="D153" s="94">
        <v>7.05253</v>
      </c>
      <c r="E153" s="90">
        <f>D153*2.0695/1000</f>
        <v>1.4595210835000001E-2</v>
      </c>
      <c r="F153" s="174"/>
      <c r="H153" s="25">
        <f t="shared" si="77"/>
        <v>1.4656731567787802</v>
      </c>
      <c r="I153" s="57">
        <f t="shared" si="67"/>
        <v>4.9810719266786211E-3</v>
      </c>
      <c r="J153" s="57">
        <v>1749.3548931883499</v>
      </c>
      <c r="K153" s="25">
        <v>-369.06930000711998</v>
      </c>
      <c r="L153" s="25">
        <v>5423856.3488769103</v>
      </c>
      <c r="M153" s="25">
        <v>-2.2128385216835</v>
      </c>
      <c r="N153" s="25">
        <v>-269503.24793356902</v>
      </c>
      <c r="O153" s="25">
        <v>73145.021531826002</v>
      </c>
      <c r="P153" s="25">
        <v>5.34368649509278</v>
      </c>
      <c r="Q153" s="25">
        <f t="shared" si="70"/>
        <v>1.42749788742097E-2</v>
      </c>
      <c r="R153" s="25">
        <f t="shared" si="68"/>
        <v>7.415324519602722E-4</v>
      </c>
      <c r="S153" s="25">
        <f t="shared" si="71"/>
        <v>0.3648790964774874</v>
      </c>
      <c r="T153" s="25">
        <f t="shared" si="69"/>
        <v>3.8623766241684439E-6</v>
      </c>
      <c r="U153" s="25">
        <f t="shared" si="72"/>
        <v>2.8389696021720683E-6</v>
      </c>
      <c r="W153" s="57">
        <v>285</v>
      </c>
      <c r="X153" s="64">
        <v>7.05253</v>
      </c>
      <c r="Y153" s="25">
        <f>X153*2.0695/1000</f>
        <v>1.4595210835000001E-2</v>
      </c>
      <c r="Z153" s="25">
        <f t="shared" si="61"/>
        <v>1.430505737082512E-2</v>
      </c>
      <c r="AA153" s="25">
        <f t="shared" si="65"/>
        <v>-1.988004609560547</v>
      </c>
      <c r="AB153" s="25">
        <f t="shared" si="73"/>
        <v>1.988004609560547</v>
      </c>
      <c r="AC153" s="25">
        <f t="shared" si="82"/>
        <v>1.4512428031217937E-2</v>
      </c>
      <c r="AD153" s="25">
        <f t="shared" si="78"/>
        <v>-0.56719155836753266</v>
      </c>
      <c r="AE153" s="25">
        <f t="shared" si="74"/>
        <v>0.56719155836753266</v>
      </c>
      <c r="AF153" s="25">
        <f t="shared" si="83"/>
        <v>1.4141453566456314E-2</v>
      </c>
      <c r="AG153" s="25">
        <f t="shared" si="79"/>
        <v>-3.1089463089875697</v>
      </c>
      <c r="AH153" s="25">
        <f t="shared" si="75"/>
        <v>3.1089463089875697</v>
      </c>
      <c r="AI153" s="25">
        <f t="shared" si="80"/>
        <v>1.4496379447653519E-2</v>
      </c>
      <c r="AJ153" s="25">
        <f t="shared" si="81"/>
        <v>-0.67714943253494897</v>
      </c>
      <c r="AK153" s="25">
        <f t="shared" si="76"/>
        <v>0.67714943253494897</v>
      </c>
      <c r="AL153" s="25">
        <f t="shared" si="66"/>
        <v>1.5090644884618448E-2</v>
      </c>
      <c r="AM153" s="25">
        <f t="shared" si="63"/>
        <v>3.3944973814997836</v>
      </c>
      <c r="AN153" s="25">
        <f t="shared" si="64"/>
        <v>3.3944973814997836</v>
      </c>
    </row>
    <row r="154" spans="1:40" x14ac:dyDescent="0.25">
      <c r="A154" t="s">
        <v>274</v>
      </c>
      <c r="B154" s="170">
        <v>300</v>
      </c>
      <c r="C154" s="87">
        <v>3.1457899999999999</v>
      </c>
      <c r="D154" s="93">
        <v>67.204899999999995</v>
      </c>
      <c r="E154" s="89">
        <f>D154*0.2334/1000</f>
        <v>1.5685623659999998E-2</v>
      </c>
      <c r="F154" s="174"/>
      <c r="H154">
        <f t="shared" si="77"/>
        <v>1.430074731571692</v>
      </c>
      <c r="I154" s="8">
        <f t="shared" si="67"/>
        <v>4.9810719266786211E-3</v>
      </c>
      <c r="J154" s="8">
        <v>1749.3548931883499</v>
      </c>
      <c r="K154">
        <v>-369.06930000711998</v>
      </c>
      <c r="L154">
        <v>5423856.3488769103</v>
      </c>
      <c r="M154">
        <v>-2.2128385216835</v>
      </c>
      <c r="N154">
        <v>-269503.24793356902</v>
      </c>
      <c r="O154">
        <v>73145.021531826002</v>
      </c>
      <c r="P154">
        <v>5.34368649509278</v>
      </c>
      <c r="Q154">
        <f t="shared" si="70"/>
        <v>1.4993786441418296E-2</v>
      </c>
      <c r="R154">
        <f t="shared" si="68"/>
        <v>7.415324519602722E-4</v>
      </c>
      <c r="S154">
        <f t="shared" si="71"/>
        <v>0.46234566963680124</v>
      </c>
      <c r="T154">
        <f t="shared" si="69"/>
        <v>5.140534487630204E-6</v>
      </c>
      <c r="U154">
        <f t="shared" si="72"/>
        <v>2.5158016099764789E-4</v>
      </c>
      <c r="W154" s="8">
        <v>300</v>
      </c>
      <c r="X154" s="63">
        <v>67.204899999999995</v>
      </c>
      <c r="Y154">
        <f>X154*0.2334/1000</f>
        <v>1.5685623659999998E-2</v>
      </c>
      <c r="Z154">
        <f t="shared" si="61"/>
        <v>1.5590835708603683E-2</v>
      </c>
      <c r="AA154">
        <f t="shared" si="65"/>
        <v>-0.60429826349865934</v>
      </c>
      <c r="AB154">
        <f t="shared" si="73"/>
        <v>0.60429826349865934</v>
      </c>
      <c r="AC154">
        <f t="shared" si="82"/>
        <v>1.527624003286098E-2</v>
      </c>
      <c r="AD154">
        <f t="shared" si="78"/>
        <v>-2.6099289133334902</v>
      </c>
      <c r="AE154">
        <f t="shared" si="74"/>
        <v>2.6099289133334902</v>
      </c>
      <c r="AF154">
        <f t="shared" si="83"/>
        <v>1.4869989099847544E-2</v>
      </c>
      <c r="AG154">
        <f t="shared" si="79"/>
        <v>-5.1998860729548761</v>
      </c>
      <c r="AH154">
        <f t="shared" si="75"/>
        <v>5.1998860729548761</v>
      </c>
      <c r="AI154">
        <f t="shared" si="80"/>
        <v>1.5231535286941111E-2</v>
      </c>
      <c r="AJ154">
        <f t="shared" si="81"/>
        <v>-2.8949334938900844</v>
      </c>
      <c r="AK154">
        <f t="shared" si="76"/>
        <v>2.8949334938900844</v>
      </c>
      <c r="AL154">
        <f>Y165+(-1+(1.023+0.23364*X154/467.6+0.58553*(X154/467)^2-0.40758*(X154/467)^3+0.093324*(X154/467)^4)^4)/(10000*(304.1282/((72.80829^4)*(44.095^3)))^(1/6))</f>
        <v>1.6600805809043117E-2</v>
      </c>
      <c r="AM154">
        <f t="shared" si="63"/>
        <v>5.8345282845012409</v>
      </c>
      <c r="AN154">
        <f t="shared" si="64"/>
        <v>5.8345282845012409</v>
      </c>
    </row>
    <row r="155" spans="1:40" x14ac:dyDescent="0.25">
      <c r="A155" t="s">
        <v>278</v>
      </c>
      <c r="B155" s="170">
        <v>300</v>
      </c>
      <c r="C155" s="87">
        <v>2.8939400000000002</v>
      </c>
      <c r="D155" s="93">
        <v>60.649700000000003</v>
      </c>
      <c r="E155" s="89">
        <f>D155*0.257/1000</f>
        <v>1.5586972900000001E-2</v>
      </c>
      <c r="F155" s="174"/>
      <c r="H155">
        <f t="shared" si="77"/>
        <v>1.430074731571692</v>
      </c>
      <c r="I155" s="8">
        <f t="shared" si="67"/>
        <v>4.9810719266786211E-3</v>
      </c>
      <c r="J155" s="8">
        <v>1749.3548931883499</v>
      </c>
      <c r="K155">
        <v>-369.06930000711998</v>
      </c>
      <c r="L155">
        <v>5423856.3488769103</v>
      </c>
      <c r="M155">
        <v>-2.2128385216835</v>
      </c>
      <c r="N155">
        <v>-269503.24793356902</v>
      </c>
      <c r="O155">
        <v>73145.021531826002</v>
      </c>
      <c r="P155">
        <v>5.34368649509278</v>
      </c>
      <c r="Q155">
        <f t="shared" si="70"/>
        <v>1.4993786441418296E-2</v>
      </c>
      <c r="R155">
        <f t="shared" si="68"/>
        <v>7.415324519602722E-4</v>
      </c>
      <c r="S155">
        <f t="shared" si="71"/>
        <v>0.46234566963680124</v>
      </c>
      <c r="T155">
        <f t="shared" si="69"/>
        <v>5.140534487630204E-6</v>
      </c>
      <c r="U155">
        <f t="shared" si="72"/>
        <v>2.0420095975914559E-4</v>
      </c>
      <c r="W155" s="8">
        <v>300</v>
      </c>
      <c r="X155" s="63">
        <v>60.649700000000003</v>
      </c>
      <c r="Y155">
        <f>X155*0.257/1000</f>
        <v>1.5586972900000001E-2</v>
      </c>
      <c r="Z155">
        <f t="shared" si="61"/>
        <v>1.5509759275691867E-2</v>
      </c>
      <c r="AA155">
        <f t="shared" si="65"/>
        <v>-0.49537280139965012</v>
      </c>
      <c r="AB155">
        <f t="shared" si="73"/>
        <v>0.49537280139965012</v>
      </c>
      <c r="AC155">
        <f t="shared" si="82"/>
        <v>1.527624003286098E-2</v>
      </c>
      <c r="AD155">
        <f t="shared" si="78"/>
        <v>-1.9935421016804447</v>
      </c>
      <c r="AE155">
        <f t="shared" si="74"/>
        <v>1.9935421016804447</v>
      </c>
      <c r="AF155">
        <f t="shared" si="83"/>
        <v>1.4869989099847544E-2</v>
      </c>
      <c r="AG155">
        <f t="shared" si="79"/>
        <v>-4.5998912345094105</v>
      </c>
      <c r="AH155">
        <f t="shared" si="75"/>
        <v>4.5998912345094105</v>
      </c>
      <c r="AI155">
        <f t="shared" si="80"/>
        <v>1.5231535286941111E-2</v>
      </c>
      <c r="AJ155">
        <f t="shared" si="81"/>
        <v>-2.2803504910109273</v>
      </c>
      <c r="AK155">
        <f t="shared" si="76"/>
        <v>2.2803504910109273</v>
      </c>
      <c r="AL155">
        <f>Y165+(-1+(1.023+0.23364*X155/467.6+0.58553*(X155/467)^2-0.40758*(X155/467)^3+0.093324*(X155/467)^4)^4)/(10000*(304.1282/((72.80829^4)*(44.095^3)))^(1/6))</f>
        <v>1.6488279931426316E-2</v>
      </c>
      <c r="AM155">
        <f t="shared" si="63"/>
        <v>5.7824379192082587</v>
      </c>
      <c r="AN155">
        <f t="shared" si="64"/>
        <v>5.7824379192082587</v>
      </c>
    </row>
    <row r="156" spans="1:40" x14ac:dyDescent="0.25">
      <c r="B156" s="170">
        <v>300</v>
      </c>
      <c r="C156" s="87">
        <v>2.5778599999999998</v>
      </c>
      <c r="D156" s="93">
        <v>52.807299999999998</v>
      </c>
      <c r="E156" s="89">
        <f>D156*0.2916/1000</f>
        <v>1.539860868E-2</v>
      </c>
      <c r="F156" s="174"/>
      <c r="H156">
        <f t="shared" si="77"/>
        <v>1.430074731571692</v>
      </c>
      <c r="I156" s="8">
        <f t="shared" si="67"/>
        <v>4.9810719266786211E-3</v>
      </c>
      <c r="J156" s="8">
        <v>1749.3548931883499</v>
      </c>
      <c r="K156">
        <v>-369.06930000711998</v>
      </c>
      <c r="L156">
        <v>5423856.3488769103</v>
      </c>
      <c r="M156">
        <v>-2.2128385216835</v>
      </c>
      <c r="N156">
        <v>-269503.24793356902</v>
      </c>
      <c r="O156">
        <v>73145.021531826002</v>
      </c>
      <c r="P156">
        <v>5.34368649509278</v>
      </c>
      <c r="Q156">
        <f t="shared" si="70"/>
        <v>1.4993786441418296E-2</v>
      </c>
      <c r="R156">
        <f t="shared" si="68"/>
        <v>7.415324519602722E-4</v>
      </c>
      <c r="S156">
        <f t="shared" si="71"/>
        <v>0.46234566963680124</v>
      </c>
      <c r="T156">
        <f t="shared" si="69"/>
        <v>5.140534487630204E-6</v>
      </c>
      <c r="U156">
        <f t="shared" si="72"/>
        <v>1.5417654148981884E-4</v>
      </c>
      <c r="W156" s="8">
        <v>300</v>
      </c>
      <c r="X156" s="63">
        <v>52.807299999999998</v>
      </c>
      <c r="Y156">
        <f>X156*0.2916/1000</f>
        <v>1.539860868E-2</v>
      </c>
      <c r="Z156">
        <f t="shared" si="61"/>
        <v>1.5419420729756749E-2</v>
      </c>
      <c r="AA156">
        <f t="shared" si="65"/>
        <v>0.13515539091385839</v>
      </c>
      <c r="AB156">
        <f t="shared" si="73"/>
        <v>0.13515539091385839</v>
      </c>
      <c r="AC156">
        <f t="shared" si="82"/>
        <v>1.527624003286098E-2</v>
      </c>
      <c r="AD156">
        <f t="shared" si="78"/>
        <v>-0.79467339992836694</v>
      </c>
      <c r="AE156">
        <f t="shared" si="74"/>
        <v>0.79467339992836694</v>
      </c>
      <c r="AF156">
        <f t="shared" si="83"/>
        <v>1.4869989099847544E-2</v>
      </c>
      <c r="AG156">
        <f t="shared" si="79"/>
        <v>-3.432904823661358</v>
      </c>
      <c r="AH156">
        <f t="shared" si="75"/>
        <v>3.432904823661358</v>
      </c>
      <c r="AI156">
        <f t="shared" si="80"/>
        <v>1.5231535286941111E-2</v>
      </c>
      <c r="AJ156">
        <f t="shared" si="81"/>
        <v>-1.084990186651652</v>
      </c>
      <c r="AK156">
        <f t="shared" si="76"/>
        <v>1.084990186651652</v>
      </c>
      <c r="AL156">
        <f>Y165+(-1+(1.023+0.23364*X156/467.6+0.58553*(X156/467)^2-0.40758*(X156/467)^3+0.093324*(X156/467)^4)^4)/(10000*(304.1282/((72.80829^4)*(44.095^3)))^(1/6))</f>
        <v>1.6360581682657738E-2</v>
      </c>
      <c r="AM156">
        <f t="shared" si="63"/>
        <v>6.2471423402503028</v>
      </c>
      <c r="AN156">
        <f t="shared" si="64"/>
        <v>6.2471423402503028</v>
      </c>
    </row>
    <row r="157" spans="1:40" x14ac:dyDescent="0.25">
      <c r="B157" s="170">
        <v>300</v>
      </c>
      <c r="C157" s="87">
        <v>2.2722099999999998</v>
      </c>
      <c r="D157" s="93">
        <v>45.585099999999997</v>
      </c>
      <c r="E157" s="89">
        <f>D157*0.337/1000</f>
        <v>1.53621787E-2</v>
      </c>
      <c r="F157" s="174"/>
      <c r="H157">
        <f t="shared" si="77"/>
        <v>1.430074731571692</v>
      </c>
      <c r="I157" s="8">
        <f t="shared" si="67"/>
        <v>4.9810719266786211E-3</v>
      </c>
      <c r="J157" s="8">
        <v>1749.3548931883499</v>
      </c>
      <c r="K157">
        <v>-369.06930000711998</v>
      </c>
      <c r="L157">
        <v>5423856.3488769103</v>
      </c>
      <c r="M157">
        <v>-2.2128385216835</v>
      </c>
      <c r="N157">
        <v>-269503.24793356902</v>
      </c>
      <c r="O157">
        <v>73145.021531826002</v>
      </c>
      <c r="P157">
        <v>5.34368649509278</v>
      </c>
      <c r="Q157">
        <f t="shared" si="70"/>
        <v>1.4993786441418296E-2</v>
      </c>
      <c r="R157">
        <f t="shared" si="68"/>
        <v>7.415324519602722E-4</v>
      </c>
      <c r="S157">
        <f t="shared" si="71"/>
        <v>0.46234566963680124</v>
      </c>
      <c r="T157">
        <f t="shared" si="69"/>
        <v>5.140534487630204E-6</v>
      </c>
      <c r="U157">
        <f t="shared" si="72"/>
        <v>1.1445629553681532E-4</v>
      </c>
      <c r="W157" s="8">
        <v>300</v>
      </c>
      <c r="X157" s="63">
        <v>45.585099999999997</v>
      </c>
      <c r="Y157">
        <f>X157*0.337/1000</f>
        <v>1.53621787E-2</v>
      </c>
      <c r="Z157">
        <f t="shared" si="61"/>
        <v>1.5342574515627184E-2</v>
      </c>
      <c r="AA157">
        <f t="shared" si="65"/>
        <v>-0.12761330769323156</v>
      </c>
      <c r="AB157">
        <f t="shared" si="73"/>
        <v>0.12761330769323156</v>
      </c>
      <c r="AC157">
        <f t="shared" si="82"/>
        <v>1.527624003286098E-2</v>
      </c>
      <c r="AD157">
        <f t="shared" si="78"/>
        <v>-0.55941718175052901</v>
      </c>
      <c r="AE157">
        <f t="shared" si="74"/>
        <v>0.55941718175052901</v>
      </c>
      <c r="AF157">
        <f t="shared" si="83"/>
        <v>1.4869989099847544E-2</v>
      </c>
      <c r="AG157">
        <f t="shared" si="79"/>
        <v>-3.2039049262749173</v>
      </c>
      <c r="AH157">
        <f t="shared" si="75"/>
        <v>3.2039049262749173</v>
      </c>
      <c r="AI157">
        <f t="shared" si="80"/>
        <v>1.5231535286941111E-2</v>
      </c>
      <c r="AJ157">
        <f t="shared" si="81"/>
        <v>-0.85042242776988985</v>
      </c>
      <c r="AK157">
        <f t="shared" si="76"/>
        <v>0.85042242776988985</v>
      </c>
      <c r="AL157">
        <f>Y165+(-1+(1.023+0.23364*X157/467.6+0.58553*(X157/467)^2-0.40758*(X157/467)^3+0.093324*(X157/467)^4)^4)/(10000*(304.1282/((72.80829^4)*(44.095^3)))^(1/6))</f>
        <v>1.6249589841198887E-2</v>
      </c>
      <c r="AM157">
        <f t="shared" si="63"/>
        <v>5.7765969171995577</v>
      </c>
      <c r="AN157">
        <f t="shared" si="64"/>
        <v>5.7765969171995577</v>
      </c>
    </row>
    <row r="158" spans="1:40" x14ac:dyDescent="0.25">
      <c r="B158" s="170">
        <v>300</v>
      </c>
      <c r="C158" s="87">
        <v>1.99146</v>
      </c>
      <c r="D158" s="93">
        <v>39.230400000000003</v>
      </c>
      <c r="E158" s="89">
        <f>D158*0.3899/1000</f>
        <v>1.5295932960000001E-2</v>
      </c>
      <c r="F158" s="174"/>
      <c r="H158">
        <f t="shared" si="77"/>
        <v>1.430074731571692</v>
      </c>
      <c r="I158" s="8">
        <f t="shared" si="67"/>
        <v>4.9810719266786211E-3</v>
      </c>
      <c r="J158" s="8">
        <v>1749.3548931883499</v>
      </c>
      <c r="K158">
        <v>-369.06930000711998</v>
      </c>
      <c r="L158">
        <v>5423856.3488769103</v>
      </c>
      <c r="M158">
        <v>-2.2128385216835</v>
      </c>
      <c r="N158">
        <v>-269503.24793356902</v>
      </c>
      <c r="O158">
        <v>73145.021531826002</v>
      </c>
      <c r="P158">
        <v>5.34368649509278</v>
      </c>
      <c r="Q158">
        <f t="shared" si="70"/>
        <v>1.4993786441418296E-2</v>
      </c>
      <c r="R158">
        <f t="shared" si="68"/>
        <v>7.415324519602722E-4</v>
      </c>
      <c r="S158">
        <f t="shared" si="71"/>
        <v>0.46234566963680124</v>
      </c>
      <c r="T158">
        <f t="shared" si="69"/>
        <v>5.140534487630204E-6</v>
      </c>
      <c r="U158">
        <f t="shared" si="72"/>
        <v>8.4487853487513065E-5</v>
      </c>
      <c r="W158" s="8">
        <v>300</v>
      </c>
      <c r="X158" s="63">
        <v>39.230400000000003</v>
      </c>
      <c r="Y158">
        <f>X158*0.3899/1000</f>
        <v>1.5295932960000001E-2</v>
      </c>
      <c r="Z158">
        <f t="shared" si="61"/>
        <v>1.5279939519069337E-2</v>
      </c>
      <c r="AA158">
        <f t="shared" si="65"/>
        <v>-0.10456008778600263</v>
      </c>
      <c r="AB158">
        <f t="shared" si="73"/>
        <v>0.10456008778600263</v>
      </c>
      <c r="AC158">
        <f t="shared" si="82"/>
        <v>1.527624003286098E-2</v>
      </c>
      <c r="AD158">
        <f t="shared" si="78"/>
        <v>-0.12874616534029171</v>
      </c>
      <c r="AE158">
        <f t="shared" si="74"/>
        <v>0.12874616534029171</v>
      </c>
      <c r="AF158">
        <f t="shared" si="83"/>
        <v>1.4869989099847544E-2</v>
      </c>
      <c r="AG158">
        <f t="shared" si="79"/>
        <v>-2.7846870227944418</v>
      </c>
      <c r="AH158">
        <f t="shared" si="75"/>
        <v>2.7846870227944418</v>
      </c>
      <c r="AI158">
        <f t="shared" si="80"/>
        <v>1.5231535286941111E-2</v>
      </c>
      <c r="AJ158">
        <f t="shared" si="81"/>
        <v>-0.42101173708916823</v>
      </c>
      <c r="AK158">
        <f t="shared" si="76"/>
        <v>0.42101173708916823</v>
      </c>
      <c r="AL158">
        <f>Y165+(-1+(1.023+0.23364*X158/467.6+0.58553*(X158/467)^2-0.40758*(X158/467)^3+0.093324*(X158/467)^4)^4)/(10000*(304.1282/((72.80829^4)*(44.095^3)))^(1/6))</f>
        <v>1.6157123602493939E-2</v>
      </c>
      <c r="AM158">
        <f t="shared" si="63"/>
        <v>5.6301936256259433</v>
      </c>
      <c r="AN158">
        <f t="shared" si="64"/>
        <v>5.6301936256259433</v>
      </c>
    </row>
    <row r="159" spans="1:40" x14ac:dyDescent="0.25">
      <c r="B159" s="170">
        <v>300</v>
      </c>
      <c r="C159" s="87">
        <v>1.74776</v>
      </c>
      <c r="D159" s="93">
        <v>33.910699999999999</v>
      </c>
      <c r="E159" s="89">
        <f>D159*0.4502/1000</f>
        <v>1.5266597139999998E-2</v>
      </c>
      <c r="F159" s="174"/>
      <c r="H159">
        <f t="shared" si="77"/>
        <v>1.430074731571692</v>
      </c>
      <c r="I159" s="8">
        <f t="shared" si="67"/>
        <v>4.9810719266786211E-3</v>
      </c>
      <c r="J159" s="8">
        <v>1749.3548931883499</v>
      </c>
      <c r="K159">
        <v>-369.06930000711998</v>
      </c>
      <c r="L159">
        <v>5423856.3488769103</v>
      </c>
      <c r="M159">
        <v>-2.2128385216835</v>
      </c>
      <c r="N159">
        <v>-269503.24793356902</v>
      </c>
      <c r="O159">
        <v>73145.021531826002</v>
      </c>
      <c r="P159">
        <v>5.34368649509278</v>
      </c>
      <c r="Q159">
        <f t="shared" si="70"/>
        <v>1.4993786441418296E-2</v>
      </c>
      <c r="R159">
        <f t="shared" si="68"/>
        <v>7.415324519602722E-4</v>
      </c>
      <c r="S159">
        <f t="shared" si="71"/>
        <v>0.46234566963680124</v>
      </c>
      <c r="T159">
        <f t="shared" si="69"/>
        <v>5.140534487630204E-6</v>
      </c>
      <c r="U159">
        <f t="shared" si="72"/>
        <v>6.2951909268251405E-5</v>
      </c>
      <c r="W159" s="8">
        <v>300</v>
      </c>
      <c r="X159" s="63">
        <v>33.910699999999999</v>
      </c>
      <c r="Y159">
        <f>X159*0.4502/1000</f>
        <v>1.5266597139999998E-2</v>
      </c>
      <c r="Z159">
        <f t="shared" si="61"/>
        <v>1.5231057473536229E-2</v>
      </c>
      <c r="AA159">
        <f t="shared" si="65"/>
        <v>-0.23279363526696792</v>
      </c>
      <c r="AB159">
        <f t="shared" si="73"/>
        <v>0.23279363526696792</v>
      </c>
      <c r="AC159">
        <f t="shared" si="82"/>
        <v>1.527624003286098E-2</v>
      </c>
      <c r="AD159">
        <f t="shared" si="78"/>
        <v>6.3163341329789027E-2</v>
      </c>
      <c r="AE159">
        <f t="shared" si="74"/>
        <v>6.3163341329789027E-2</v>
      </c>
      <c r="AF159">
        <f t="shared" si="83"/>
        <v>1.4869989099847544E-2</v>
      </c>
      <c r="AG159">
        <f t="shared" si="79"/>
        <v>-2.5978810897767231</v>
      </c>
      <c r="AH159">
        <f t="shared" si="75"/>
        <v>2.5978810897767231</v>
      </c>
      <c r="AI159">
        <f t="shared" si="80"/>
        <v>1.5231535286941111E-2</v>
      </c>
      <c r="AJ159">
        <f t="shared" si="81"/>
        <v>-0.22966383888536179</v>
      </c>
      <c r="AK159">
        <f t="shared" si="76"/>
        <v>0.22966383888536179</v>
      </c>
      <c r="AL159">
        <f t="shared" si="66"/>
        <v>1.6083038904589897E-2</v>
      </c>
      <c r="AM159">
        <f t="shared" si="63"/>
        <v>5.3478961755710515</v>
      </c>
      <c r="AN159">
        <f t="shared" si="64"/>
        <v>5.3478961755710515</v>
      </c>
    </row>
    <row r="160" spans="1:40" x14ac:dyDescent="0.25">
      <c r="B160" s="170">
        <v>300</v>
      </c>
      <c r="C160" s="87">
        <v>1.5261400000000001</v>
      </c>
      <c r="D160" s="93">
        <v>29.218599999999999</v>
      </c>
      <c r="E160" s="89">
        <f>D160*0.5216/1000</f>
        <v>1.5240421759999999E-2</v>
      </c>
      <c r="F160" s="174"/>
      <c r="H160">
        <f t="shared" si="77"/>
        <v>1.430074731571692</v>
      </c>
      <c r="I160" s="8">
        <f t="shared" si="67"/>
        <v>4.9810719266786211E-3</v>
      </c>
      <c r="J160" s="8">
        <v>1749.3548931883499</v>
      </c>
      <c r="K160">
        <v>-369.06930000711998</v>
      </c>
      <c r="L160">
        <v>5423856.3488769103</v>
      </c>
      <c r="M160">
        <v>-2.2128385216835</v>
      </c>
      <c r="N160">
        <v>-269503.24793356902</v>
      </c>
      <c r="O160">
        <v>73145.021531826002</v>
      </c>
      <c r="P160">
        <v>5.34368649509278</v>
      </c>
      <c r="Q160">
        <f t="shared" si="70"/>
        <v>1.4993786441418296E-2</v>
      </c>
      <c r="R160">
        <f t="shared" si="68"/>
        <v>7.415324519602722E-4</v>
      </c>
      <c r="S160">
        <f t="shared" si="71"/>
        <v>0.46234566963680124</v>
      </c>
      <c r="T160">
        <f t="shared" si="69"/>
        <v>5.140534487630204E-6</v>
      </c>
      <c r="U160">
        <f t="shared" si="72"/>
        <v>4.6620951011098733E-5</v>
      </c>
      <c r="W160" s="8">
        <v>300</v>
      </c>
      <c r="X160" s="63">
        <v>29.218599999999999</v>
      </c>
      <c r="Y160">
        <f>X160*0.5216/1000</f>
        <v>1.5240421759999999E-2</v>
      </c>
      <c r="Z160">
        <f t="shared" si="61"/>
        <v>1.5190606613409667E-2</v>
      </c>
      <c r="AA160">
        <f t="shared" si="65"/>
        <v>-0.32686199486340078</v>
      </c>
      <c r="AB160">
        <f t="shared" si="73"/>
        <v>0.32686199486340078</v>
      </c>
      <c r="AC160">
        <f t="shared" si="82"/>
        <v>1.527624003286098E-2</v>
      </c>
      <c r="AD160">
        <f t="shared" si="78"/>
        <v>0.23502153303256287</v>
      </c>
      <c r="AE160">
        <f t="shared" si="74"/>
        <v>0.23502153303256287</v>
      </c>
      <c r="AF160">
        <f t="shared" si="83"/>
        <v>1.4869989099847544E-2</v>
      </c>
      <c r="AG160">
        <f t="shared" si="79"/>
        <v>-2.4305932341366892</v>
      </c>
      <c r="AH160">
        <f t="shared" si="75"/>
        <v>2.4305932341366892</v>
      </c>
      <c r="AI160">
        <f t="shared" si="80"/>
        <v>1.5231535286941111E-2</v>
      </c>
      <c r="AJ160">
        <f t="shared" si="81"/>
        <v>-5.8308577012035089E-2</v>
      </c>
      <c r="AK160">
        <f t="shared" si="76"/>
        <v>5.8308577012035089E-2</v>
      </c>
      <c r="AL160">
        <f t="shared" si="66"/>
        <v>1.5994655796356925E-2</v>
      </c>
      <c r="AM160">
        <f t="shared" si="63"/>
        <v>4.9489052746328035</v>
      </c>
      <c r="AN160">
        <f t="shared" si="64"/>
        <v>4.9489052746328035</v>
      </c>
    </row>
    <row r="161" spans="1:40" x14ac:dyDescent="0.25">
      <c r="B161" s="170">
        <v>300</v>
      </c>
      <c r="C161" s="87">
        <v>1.2370099999999999</v>
      </c>
      <c r="D161" s="93">
        <v>23.289400000000001</v>
      </c>
      <c r="E161" s="89">
        <f>D161*0.6539/1000</f>
        <v>1.522893866E-2</v>
      </c>
      <c r="F161" s="174"/>
      <c r="H161">
        <f t="shared" si="77"/>
        <v>1.430074731571692</v>
      </c>
      <c r="I161" s="8">
        <f t="shared" si="67"/>
        <v>4.9810719266786211E-3</v>
      </c>
      <c r="J161" s="8">
        <v>1749.3548931883499</v>
      </c>
      <c r="K161">
        <v>-369.06930000711998</v>
      </c>
      <c r="L161">
        <v>5423856.3488769103</v>
      </c>
      <c r="M161">
        <v>-2.2128385216835</v>
      </c>
      <c r="N161">
        <v>-269503.24793356902</v>
      </c>
      <c r="O161">
        <v>73145.021531826002</v>
      </c>
      <c r="P161">
        <v>5.34368649509278</v>
      </c>
      <c r="Q161">
        <f t="shared" si="70"/>
        <v>1.4993786441418296E-2</v>
      </c>
      <c r="R161">
        <f t="shared" si="68"/>
        <v>7.415324519602722E-4</v>
      </c>
      <c r="S161">
        <f t="shared" si="71"/>
        <v>0.46234566963680124</v>
      </c>
      <c r="T161">
        <f t="shared" si="69"/>
        <v>5.140534487630204E-6</v>
      </c>
      <c r="U161">
        <f t="shared" si="72"/>
        <v>2.9526986287837695E-5</v>
      </c>
      <c r="W161" s="8">
        <v>300</v>
      </c>
      <c r="X161" s="63">
        <v>23.289400000000001</v>
      </c>
      <c r="Y161">
        <f>X161*0.6539/1000</f>
        <v>1.522893866E-2</v>
      </c>
      <c r="Z161">
        <f t="shared" si="61"/>
        <v>1.514303339160235E-2</v>
      </c>
      <c r="AA161">
        <f t="shared" si="65"/>
        <v>-0.56409228716172588</v>
      </c>
      <c r="AB161">
        <f t="shared" si="73"/>
        <v>0.56409228716172588</v>
      </c>
      <c r="AC161">
        <f t="shared" si="82"/>
        <v>1.527624003286098E-2</v>
      </c>
      <c r="AD161">
        <f t="shared" si="78"/>
        <v>0.31060190021790746</v>
      </c>
      <c r="AE161">
        <f t="shared" si="74"/>
        <v>0.31060190021790746</v>
      </c>
      <c r="AF161">
        <f t="shared" si="83"/>
        <v>1.4869989099847544E-2</v>
      </c>
      <c r="AG161">
        <f t="shared" si="79"/>
        <v>-2.3570228245469633</v>
      </c>
      <c r="AH161">
        <f t="shared" si="75"/>
        <v>2.3570228245469633</v>
      </c>
      <c r="AI161">
        <f t="shared" si="80"/>
        <v>1.5231535286941111E-2</v>
      </c>
      <c r="AJ161">
        <f t="shared" si="81"/>
        <v>1.7050610020059535E-2</v>
      </c>
      <c r="AK161">
        <f t="shared" si="76"/>
        <v>1.7050610020059535E-2</v>
      </c>
      <c r="AL161">
        <f t="shared" si="66"/>
        <v>1.5908288601628431E-2</v>
      </c>
      <c r="AM161">
        <f t="shared" si="63"/>
        <v>4.460914557445796</v>
      </c>
      <c r="AN161">
        <f t="shared" si="64"/>
        <v>4.460914557445796</v>
      </c>
    </row>
    <row r="162" spans="1:40" x14ac:dyDescent="0.25">
      <c r="B162" s="170">
        <v>300</v>
      </c>
      <c r="C162" s="87">
        <v>0.99326000000000003</v>
      </c>
      <c r="D162" s="93">
        <v>18.447299999999998</v>
      </c>
      <c r="E162" s="89">
        <f>D162*0.8257/1000</f>
        <v>1.5231935609999999E-2</v>
      </c>
      <c r="F162" s="174"/>
      <c r="H162">
        <f t="shared" si="77"/>
        <v>1.430074731571692</v>
      </c>
      <c r="I162" s="8">
        <f t="shared" si="67"/>
        <v>4.9810719266786211E-3</v>
      </c>
      <c r="J162" s="8">
        <v>1749.3548931883499</v>
      </c>
      <c r="K162">
        <v>-369.06930000711998</v>
      </c>
      <c r="L162">
        <v>5423856.3488769103</v>
      </c>
      <c r="M162">
        <v>-2.2128385216835</v>
      </c>
      <c r="N162">
        <v>-269503.24793356902</v>
      </c>
      <c r="O162">
        <v>73145.021531826002</v>
      </c>
      <c r="P162">
        <v>5.34368649509278</v>
      </c>
      <c r="Q162">
        <f t="shared" si="70"/>
        <v>1.4993786441418296E-2</v>
      </c>
      <c r="R162">
        <f t="shared" si="68"/>
        <v>7.415324519602722E-4</v>
      </c>
      <c r="S162">
        <f t="shared" si="71"/>
        <v>0.46234566963680124</v>
      </c>
      <c r="T162">
        <f t="shared" si="69"/>
        <v>5.140534487630204E-6</v>
      </c>
      <c r="U162">
        <f t="shared" si="72"/>
        <v>1.847797994702305E-5</v>
      </c>
      <c r="W162" s="8">
        <v>300</v>
      </c>
      <c r="X162" s="63">
        <v>18.447299999999998</v>
      </c>
      <c r="Y162">
        <f>X162*0.8257/1000</f>
        <v>1.5231935609999999E-2</v>
      </c>
      <c r="Z162">
        <f t="shared" si="61"/>
        <v>1.5107093403218979E-2</v>
      </c>
      <c r="AA162">
        <f t="shared" si="65"/>
        <v>-0.81960828864756086</v>
      </c>
      <c r="AB162">
        <f t="shared" si="73"/>
        <v>0.81960828864756086</v>
      </c>
      <c r="AC162">
        <f t="shared" si="82"/>
        <v>1.527624003286098E-2</v>
      </c>
      <c r="AD162">
        <f t="shared" si="78"/>
        <v>0.29086535024409038</v>
      </c>
      <c r="AE162">
        <f t="shared" si="74"/>
        <v>0.29086535024409038</v>
      </c>
      <c r="AF162">
        <f t="shared" si="83"/>
        <v>1.4869989099847544E-2</v>
      </c>
      <c r="AG162">
        <f t="shared" si="79"/>
        <v>-2.3762345076802434</v>
      </c>
      <c r="AH162">
        <f t="shared" si="75"/>
        <v>2.3762345076802434</v>
      </c>
      <c r="AI162">
        <f t="shared" si="80"/>
        <v>1.5231535286941111E-2</v>
      </c>
      <c r="AJ162">
        <f t="shared" si="81"/>
        <v>-2.6281824525650516E-3</v>
      </c>
      <c r="AK162">
        <f t="shared" si="76"/>
        <v>2.6281824525650516E-3</v>
      </c>
      <c r="AL162">
        <f t="shared" si="66"/>
        <v>1.5853203643064286E-2</v>
      </c>
      <c r="AM162">
        <f t="shared" si="63"/>
        <v>4.0787201900749563</v>
      </c>
      <c r="AN162">
        <f t="shared" si="64"/>
        <v>4.0787201900749563</v>
      </c>
    </row>
    <row r="163" spans="1:40" x14ac:dyDescent="0.25">
      <c r="B163" s="170">
        <v>300</v>
      </c>
      <c r="C163" s="87">
        <v>0.74853999999999998</v>
      </c>
      <c r="D163" s="93">
        <v>13.7194</v>
      </c>
      <c r="E163" s="89">
        <f>D163*1.1095/1000</f>
        <v>1.52216743E-2</v>
      </c>
      <c r="F163" s="174"/>
      <c r="H163">
        <f t="shared" si="77"/>
        <v>1.430074731571692</v>
      </c>
      <c r="I163" s="8">
        <f t="shared" si="67"/>
        <v>4.9810719266786211E-3</v>
      </c>
      <c r="J163" s="8">
        <v>1749.3548931883499</v>
      </c>
      <c r="K163">
        <v>-369.06930000711998</v>
      </c>
      <c r="L163">
        <v>5423856.3488769103</v>
      </c>
      <c r="M163">
        <v>-2.2128385216835</v>
      </c>
      <c r="N163">
        <v>-269503.24793356902</v>
      </c>
      <c r="O163">
        <v>73145.021531826002</v>
      </c>
      <c r="P163">
        <v>5.34368649509278</v>
      </c>
      <c r="Q163">
        <f t="shared" si="70"/>
        <v>1.4993786441418296E-2</v>
      </c>
      <c r="R163">
        <f t="shared" si="68"/>
        <v>7.415324519602722E-4</v>
      </c>
      <c r="S163">
        <f t="shared" si="71"/>
        <v>0.46234566963680124</v>
      </c>
      <c r="T163">
        <f t="shared" si="69"/>
        <v>5.140534487630204E-6</v>
      </c>
      <c r="U163">
        <f t="shared" si="72"/>
        <v>1.0194571078767396E-5</v>
      </c>
      <c r="W163" s="8">
        <v>300</v>
      </c>
      <c r="X163" s="63">
        <v>13.7194</v>
      </c>
      <c r="Y163">
        <f>X163*1.1095/1000</f>
        <v>1.52216743E-2</v>
      </c>
      <c r="Z163">
        <f t="shared" si="61"/>
        <v>1.5074506061346658E-2</v>
      </c>
      <c r="AA163">
        <f t="shared" si="65"/>
        <v>-0.96683344915178937</v>
      </c>
      <c r="AB163">
        <f t="shared" si="73"/>
        <v>0.96683344915178937</v>
      </c>
      <c r="AC163">
        <f t="shared" si="82"/>
        <v>1.527624003286098E-2</v>
      </c>
      <c r="AD163">
        <f t="shared" si="78"/>
        <v>0.35847392202433154</v>
      </c>
      <c r="AE163">
        <f t="shared" si="74"/>
        <v>0.35847392202433154</v>
      </c>
      <c r="AF163">
        <f t="shared" si="83"/>
        <v>1.4869989099847544E-2</v>
      </c>
      <c r="AG163">
        <f t="shared" si="79"/>
        <v>-2.310423894383657</v>
      </c>
      <c r="AH163">
        <f t="shared" si="75"/>
        <v>2.310423894383657</v>
      </c>
      <c r="AI163">
        <f t="shared" si="80"/>
        <v>1.5231535286941111E-2</v>
      </c>
      <c r="AJ163">
        <f t="shared" si="81"/>
        <v>6.4782538022843242E-2</v>
      </c>
      <c r="AK163">
        <f t="shared" si="76"/>
        <v>6.4782538022843242E-2</v>
      </c>
      <c r="AL163">
        <f t="shared" si="66"/>
        <v>1.5788886400014853E-2</v>
      </c>
      <c r="AM163">
        <f t="shared" si="63"/>
        <v>3.7263450053904599</v>
      </c>
      <c r="AN163">
        <f t="shared" si="64"/>
        <v>3.7263450053904599</v>
      </c>
    </row>
    <row r="164" spans="1:40" x14ac:dyDescent="0.25">
      <c r="B164" s="170">
        <v>300</v>
      </c>
      <c r="C164" s="87">
        <v>0.53188999999999997</v>
      </c>
      <c r="D164" s="93">
        <v>9.6383500000000009</v>
      </c>
      <c r="E164" s="89">
        <f>D164*1.5815/1000</f>
        <v>1.5243050525000001E-2</v>
      </c>
      <c r="F164" s="174"/>
      <c r="H164">
        <f t="shared" si="77"/>
        <v>1.430074731571692</v>
      </c>
      <c r="I164" s="8">
        <f t="shared" si="67"/>
        <v>4.9810719266786211E-3</v>
      </c>
      <c r="J164" s="8">
        <v>1749.3548931883499</v>
      </c>
      <c r="K164">
        <v>-369.06930000711998</v>
      </c>
      <c r="L164">
        <v>5423856.3488769103</v>
      </c>
      <c r="M164">
        <v>-2.2128385216835</v>
      </c>
      <c r="N164">
        <v>-269503.24793356902</v>
      </c>
      <c r="O164">
        <v>73145.021531826002</v>
      </c>
      <c r="P164">
        <v>5.34368649509278</v>
      </c>
      <c r="Q164">
        <f t="shared" ref="Q164:Q188" si="84">1.0055*SQRT(B164)/(J164+K164*B164^(1/6)+L164*EXP(M164*B164^(1/3))+P164*SQRT(B164)+(N164+O164*B164^(1/3))/EXP(B164^(1/3)))</f>
        <v>1.4993786441418296E-2</v>
      </c>
      <c r="R164">
        <f t="shared" si="68"/>
        <v>7.415324519602722E-4</v>
      </c>
      <c r="S164">
        <f t="shared" ref="S164:S188" si="85">-19.572881+219.73999/(B164*I164)^(0.25)-1015.3226/(B164*I164)^(0.5)+2471.0125/(B164*I164)^(0.75)-3375.1717/(B164*I164)^(1)+2491.6597/(B164*I164)^(1.25)-787.26086/(B164*I164)^(1.5)+14.085455/(B164*I164)^(2.5)-0.34664158/(B164*I164)^(5.5)</f>
        <v>0.46234566963680124</v>
      </c>
      <c r="T164">
        <f t="shared" si="69"/>
        <v>5.140534487630204E-6</v>
      </c>
      <c r="U164">
        <f t="shared" ref="U164:U188" si="86">0.09436059794459*(0.360603235428487*((B164/216.592)*(D164/1178.53)^3)+(((D164/1178.53)^2)+(D164/1178.53)^(8.06282737481277))/((B164/216.592)-0.121550806591497))</f>
        <v>5.0206610387816204E-6</v>
      </c>
      <c r="W164" s="8">
        <v>300</v>
      </c>
      <c r="X164" s="63">
        <v>9.6383500000000009</v>
      </c>
      <c r="Y164">
        <f>X164*1.5815/1000</f>
        <v>1.5243050525000001E-2</v>
      </c>
      <c r="Z164">
        <f t="shared" si="61"/>
        <v>1.5048353373035929E-2</v>
      </c>
      <c r="AA164">
        <f t="shared" si="65"/>
        <v>-1.2772846986549771</v>
      </c>
      <c r="AB164">
        <f t="shared" si="73"/>
        <v>1.2772846986549771</v>
      </c>
      <c r="AC164">
        <f t="shared" si="82"/>
        <v>1.527624003286098E-2</v>
      </c>
      <c r="AD164">
        <f t="shared" si="78"/>
        <v>0.21773533982941648</v>
      </c>
      <c r="AE164">
        <f t="shared" si="74"/>
        <v>0.21773533982941648</v>
      </c>
      <c r="AF164">
        <f t="shared" si="83"/>
        <v>1.4869989099847544E-2</v>
      </c>
      <c r="AG164">
        <f t="shared" si="79"/>
        <v>-2.4474197244219758</v>
      </c>
      <c r="AH164">
        <f t="shared" si="75"/>
        <v>2.4474197244219758</v>
      </c>
      <c r="AI164">
        <f t="shared" si="80"/>
        <v>1.5231535286941111E-2</v>
      </c>
      <c r="AJ164">
        <f t="shared" si="81"/>
        <v>-7.5544183495320688E-2</v>
      </c>
      <c r="AK164">
        <f t="shared" si="76"/>
        <v>7.5544183495320688E-2</v>
      </c>
      <c r="AL164">
        <f t="shared" si="66"/>
        <v>1.5765707546926248E-2</v>
      </c>
      <c r="AM164">
        <f t="shared" si="63"/>
        <v>3.4288216854562092</v>
      </c>
      <c r="AN164">
        <f t="shared" si="64"/>
        <v>3.4288216854562092</v>
      </c>
    </row>
    <row r="165" spans="1:40" x14ac:dyDescent="0.25">
      <c r="B165" s="173">
        <v>300</v>
      </c>
      <c r="C165" s="88">
        <v>0.31342999999999999</v>
      </c>
      <c r="D165" s="94">
        <v>5.6165799999999999</v>
      </c>
      <c r="E165" s="90">
        <f>D165*2.7182/1000</f>
        <v>1.5266987756E-2</v>
      </c>
      <c r="F165" s="174"/>
      <c r="H165" s="25">
        <f t="shared" si="77"/>
        <v>1.430074731571692</v>
      </c>
      <c r="I165" s="57">
        <f t="shared" si="67"/>
        <v>4.9810719266786211E-3</v>
      </c>
      <c r="J165" s="57">
        <v>1749.3548931883499</v>
      </c>
      <c r="K165" s="25">
        <v>-369.06930000711998</v>
      </c>
      <c r="L165" s="25">
        <v>5423856.3488769103</v>
      </c>
      <c r="M165" s="25">
        <v>-2.2128385216835</v>
      </c>
      <c r="N165" s="25">
        <v>-269503.24793356902</v>
      </c>
      <c r="O165" s="25">
        <v>73145.021531826002</v>
      </c>
      <c r="P165" s="25">
        <v>5.34368649509278</v>
      </c>
      <c r="Q165" s="25">
        <f t="shared" si="84"/>
        <v>1.4993786441418296E-2</v>
      </c>
      <c r="R165" s="25">
        <f t="shared" si="68"/>
        <v>7.415324519602722E-4</v>
      </c>
      <c r="S165" s="25">
        <f t="shared" si="85"/>
        <v>0.46234566963680124</v>
      </c>
      <c r="T165" s="25">
        <f t="shared" si="69"/>
        <v>5.140534487630204E-6</v>
      </c>
      <c r="U165" s="25">
        <f t="shared" si="86"/>
        <v>1.7012490716905139E-6</v>
      </c>
      <c r="W165" s="57">
        <v>300</v>
      </c>
      <c r="X165" s="64">
        <v>5.6165799999999999</v>
      </c>
      <c r="Y165" s="25">
        <f>X165*2.7182/1000</f>
        <v>1.5266987756E-2</v>
      </c>
      <c r="Z165" s="25">
        <f t="shared" si="61"/>
        <v>1.5024359913682521E-2</v>
      </c>
      <c r="AA165" s="25">
        <f t="shared" si="65"/>
        <v>-1.5892319178819312</v>
      </c>
      <c r="AB165" s="25">
        <f t="shared" si="73"/>
        <v>1.5892319178819312</v>
      </c>
      <c r="AC165" s="25">
        <f t="shared" si="82"/>
        <v>1.527624003286098E-2</v>
      </c>
      <c r="AD165" s="25">
        <f t="shared" si="78"/>
        <v>6.0603158978388895E-2</v>
      </c>
      <c r="AE165" s="25">
        <f t="shared" si="74"/>
        <v>6.0603158978388895E-2</v>
      </c>
      <c r="AF165" s="25">
        <f t="shared" si="83"/>
        <v>1.4869989099847544E-2</v>
      </c>
      <c r="AG165" s="25">
        <f t="shared" si="79"/>
        <v>-2.6003731875427341</v>
      </c>
      <c r="AH165" s="25">
        <f t="shared" si="75"/>
        <v>2.6003731875427341</v>
      </c>
      <c r="AI165" s="25">
        <f t="shared" si="80"/>
        <v>1.5231535286941111E-2</v>
      </c>
      <c r="AJ165" s="25">
        <f t="shared" si="81"/>
        <v>-0.23221652905928358</v>
      </c>
      <c r="AK165" s="25">
        <f t="shared" si="76"/>
        <v>0.23221652905928358</v>
      </c>
      <c r="AL165" s="25">
        <f t="shared" si="66"/>
        <v>1.5747641740403419E-2</v>
      </c>
      <c r="AM165" s="25">
        <f t="shared" si="63"/>
        <v>3.1483223284470103</v>
      </c>
      <c r="AN165" s="25">
        <f t="shared" si="64"/>
        <v>3.1483223284470103</v>
      </c>
    </row>
    <row r="166" spans="1:40" x14ac:dyDescent="0.25">
      <c r="A166" t="s">
        <v>276</v>
      </c>
      <c r="B166" s="170">
        <v>304.77</v>
      </c>
      <c r="C166" s="89">
        <v>3.1358799999999998</v>
      </c>
      <c r="D166" s="93">
        <v>65.043899999999994</v>
      </c>
      <c r="E166" s="89">
        <f>D166*0.2441/1000</f>
        <v>1.5877215989999999E-2</v>
      </c>
      <c r="F166" s="174"/>
      <c r="H166">
        <f t="shared" si="77"/>
        <v>1.4194765801540765</v>
      </c>
      <c r="I166" s="8">
        <f t="shared" si="67"/>
        <v>4.9810719266786211E-3</v>
      </c>
      <c r="J166" s="8">
        <v>1749.3548931883499</v>
      </c>
      <c r="K166">
        <v>-369.06930000711998</v>
      </c>
      <c r="L166">
        <v>5423856.3488769103</v>
      </c>
      <c r="M166">
        <v>-2.2128385216835</v>
      </c>
      <c r="N166">
        <v>-269503.24793356902</v>
      </c>
      <c r="O166">
        <v>73145.021531826002</v>
      </c>
      <c r="P166">
        <v>5.34368649509278</v>
      </c>
      <c r="Q166">
        <f t="shared" si="84"/>
        <v>1.5221246031048935E-2</v>
      </c>
      <c r="R166">
        <f t="shared" si="68"/>
        <v>7.415324519602722E-4</v>
      </c>
      <c r="S166">
        <f t="shared" si="85"/>
        <v>0.4881236425573422</v>
      </c>
      <c r="T166">
        <f t="shared" si="69"/>
        <v>5.5094749304177311E-6</v>
      </c>
      <c r="U166">
        <f t="shared" si="86"/>
        <v>2.3162684911985797E-4</v>
      </c>
      <c r="W166" s="8">
        <v>304.77</v>
      </c>
      <c r="X166" s="63">
        <v>65.043899999999994</v>
      </c>
      <c r="Y166">
        <f>X166*0.2441/1000</f>
        <v>1.5877215989999999E-2</v>
      </c>
      <c r="Z166">
        <f t="shared" si="61"/>
        <v>1.5811230616595392E-2</v>
      </c>
      <c r="AA166">
        <f t="shared" si="65"/>
        <v>-0.4155978821864405</v>
      </c>
      <c r="AB166">
        <f t="shared" si="73"/>
        <v>0.4155978821864405</v>
      </c>
      <c r="AC166">
        <f t="shared" si="82"/>
        <v>1.5519132249383472E-2</v>
      </c>
      <c r="AD166">
        <f t="shared" si="78"/>
        <v>-2.2553307887356318</v>
      </c>
      <c r="AE166">
        <f t="shared" si="74"/>
        <v>2.2553307887356318</v>
      </c>
      <c r="AF166">
        <f t="shared" si="83"/>
        <v>1.5099641345878595E-2</v>
      </c>
      <c r="AG166">
        <f t="shared" si="79"/>
        <v>-4.8974243633842729</v>
      </c>
      <c r="AH166">
        <f t="shared" si="75"/>
        <v>4.8974243633842729</v>
      </c>
      <c r="AI166">
        <f t="shared" si="80"/>
        <v>1.5463533033018839E-2</v>
      </c>
      <c r="AJ166">
        <f t="shared" si="81"/>
        <v>-2.6055131909883373</v>
      </c>
      <c r="AK166">
        <f t="shared" si="76"/>
        <v>2.6055131909883373</v>
      </c>
      <c r="AL166">
        <f>Y177+(-1+(1.023+0.23364*X166/467.6+0.58553*(X166/467)^2-0.40758*(X166/467)^3+0.093324*(X166/467)^4)^4)/(10000*(304.1282/((72.80829^4)*(44.095^3)))^(1/6))</f>
        <v>1.6882542352012482E-2</v>
      </c>
      <c r="AM166">
        <f t="shared" si="63"/>
        <v>6.3318806184010565</v>
      </c>
      <c r="AN166">
        <f t="shared" si="64"/>
        <v>6.3318806184010565</v>
      </c>
    </row>
    <row r="167" spans="1:40" x14ac:dyDescent="0.25">
      <c r="A167" t="s">
        <v>277</v>
      </c>
      <c r="B167" s="170">
        <v>304.77</v>
      </c>
      <c r="C167" s="89">
        <v>2.8810199999999999</v>
      </c>
      <c r="D167" s="93">
        <v>58.710099999999997</v>
      </c>
      <c r="E167" s="89">
        <f>D167*0.2686/1000</f>
        <v>1.5769532860000001E-2</v>
      </c>
      <c r="F167" s="174"/>
      <c r="H167">
        <f t="shared" si="77"/>
        <v>1.4194765801540765</v>
      </c>
      <c r="I167" s="8">
        <f t="shared" si="67"/>
        <v>4.9810719266786211E-3</v>
      </c>
      <c r="J167" s="8">
        <v>1749.3548931883499</v>
      </c>
      <c r="K167">
        <v>-369.06930000711998</v>
      </c>
      <c r="L167">
        <v>5423856.3488769103</v>
      </c>
      <c r="M167">
        <v>-2.2128385216835</v>
      </c>
      <c r="N167">
        <v>-269503.24793356902</v>
      </c>
      <c r="O167">
        <v>73145.021531826002</v>
      </c>
      <c r="P167">
        <v>5.34368649509278</v>
      </c>
      <c r="Q167">
        <f t="shared" si="84"/>
        <v>1.5221246031048935E-2</v>
      </c>
      <c r="R167">
        <f t="shared" si="68"/>
        <v>7.415324519602722E-4</v>
      </c>
      <c r="S167">
        <f t="shared" si="85"/>
        <v>0.4881236425573422</v>
      </c>
      <c r="T167">
        <f t="shared" si="69"/>
        <v>5.5094749304177311E-6</v>
      </c>
      <c r="U167">
        <f t="shared" si="86"/>
        <v>1.8807422869865657E-4</v>
      </c>
      <c r="W167" s="8">
        <v>304.77</v>
      </c>
      <c r="X167" s="63">
        <v>58.710099999999997</v>
      </c>
      <c r="Y167">
        <f>X167*0.2686/1000</f>
        <v>1.5769532860000001E-2</v>
      </c>
      <c r="Z167">
        <f t="shared" ref="Z167:Z188" si="87">Q167+X167*T167+U167</f>
        <v>1.5732782083859909E-2</v>
      </c>
      <c r="AA167">
        <f t="shared" si="65"/>
        <v>-0.23304923783323633</v>
      </c>
      <c r="AB167">
        <f t="shared" si="73"/>
        <v>0.23304923783323633</v>
      </c>
      <c r="AC167">
        <f t="shared" si="82"/>
        <v>1.5519132249383472E-2</v>
      </c>
      <c r="AD167">
        <f t="shared" si="78"/>
        <v>-1.5878758923270295</v>
      </c>
      <c r="AE167">
        <f t="shared" si="74"/>
        <v>1.5878758923270295</v>
      </c>
      <c r="AF167">
        <f t="shared" si="83"/>
        <v>1.5099641345878595E-2</v>
      </c>
      <c r="AG167">
        <f t="shared" si="79"/>
        <v>-4.2480111495287858</v>
      </c>
      <c r="AH167">
        <f t="shared" si="75"/>
        <v>4.2480111495287858</v>
      </c>
      <c r="AI167">
        <f t="shared" si="80"/>
        <v>1.5463533033018839E-2</v>
      </c>
      <c r="AJ167">
        <f t="shared" si="81"/>
        <v>-1.9404495345410115</v>
      </c>
      <c r="AK167">
        <f t="shared" si="76"/>
        <v>1.9404495345410115</v>
      </c>
      <c r="AL167">
        <f>Y177+(-1+(1.023+0.23364*X167/467.6+0.58553*(X167/467)^2-0.40758*(X167/467)^3+0.093324*(X167/467)^4)^4)/(10000*(304.1282/((72.80829^4)*(44.095^3)))^(1/6))</f>
        <v>1.6775415627196467E-2</v>
      </c>
      <c r="AM167">
        <f t="shared" si="63"/>
        <v>6.3786465720105401</v>
      </c>
      <c r="AN167">
        <f t="shared" si="64"/>
        <v>6.3786465720105401</v>
      </c>
    </row>
    <row r="168" spans="1:40" x14ac:dyDescent="0.25">
      <c r="B168" s="170">
        <v>304.77</v>
      </c>
      <c r="C168" s="89">
        <v>2.5527199999999999</v>
      </c>
      <c r="D168" s="93">
        <v>50.904000000000003</v>
      </c>
      <c r="E168" s="89">
        <f>D168*0.3072/1000</f>
        <v>1.56377088E-2</v>
      </c>
      <c r="F168" s="174"/>
      <c r="H168">
        <f t="shared" si="77"/>
        <v>1.4194765801540765</v>
      </c>
      <c r="I168" s="8">
        <f t="shared" si="67"/>
        <v>4.9810719266786211E-3</v>
      </c>
      <c r="J168" s="8">
        <v>1749.3548931883499</v>
      </c>
      <c r="K168">
        <v>-369.06930000711998</v>
      </c>
      <c r="L168">
        <v>5423856.3488769103</v>
      </c>
      <c r="M168">
        <v>-2.2128385216835</v>
      </c>
      <c r="N168">
        <v>-269503.24793356902</v>
      </c>
      <c r="O168">
        <v>73145.021531826002</v>
      </c>
      <c r="P168">
        <v>5.34368649509278</v>
      </c>
      <c r="Q168">
        <f t="shared" si="84"/>
        <v>1.5221246031048935E-2</v>
      </c>
      <c r="R168">
        <f t="shared" si="68"/>
        <v>7.415324519602722E-4</v>
      </c>
      <c r="S168">
        <f t="shared" si="85"/>
        <v>0.4881236425573422</v>
      </c>
      <c r="T168">
        <f t="shared" si="69"/>
        <v>5.5094749304177311E-6</v>
      </c>
      <c r="U168">
        <f t="shared" si="86"/>
        <v>1.4079469297676697E-4</v>
      </c>
      <c r="W168" s="8">
        <v>304.77</v>
      </c>
      <c r="X168" s="63">
        <v>50.904000000000003</v>
      </c>
      <c r="Y168">
        <f>X168*0.3072/1000</f>
        <v>1.56377088E-2</v>
      </c>
      <c r="Z168">
        <f t="shared" si="87"/>
        <v>1.5642495035883688E-2</v>
      </c>
      <c r="AA168">
        <f t="shared" si="65"/>
        <v>3.0607015035906425E-2</v>
      </c>
      <c r="AB168">
        <f t="shared" si="73"/>
        <v>3.0607015035906425E-2</v>
      </c>
      <c r="AC168">
        <f t="shared" si="82"/>
        <v>1.5519132249383472E-2</v>
      </c>
      <c r="AD168">
        <f t="shared" si="78"/>
        <v>-0.75827317245176296</v>
      </c>
      <c r="AE168">
        <f t="shared" si="74"/>
        <v>0.75827317245176296</v>
      </c>
      <c r="AF168">
        <f t="shared" si="83"/>
        <v>1.5099641345878595E-2</v>
      </c>
      <c r="AG168">
        <f t="shared" si="79"/>
        <v>-3.4408330593891421</v>
      </c>
      <c r="AH168">
        <f t="shared" si="75"/>
        <v>3.4408330593891421</v>
      </c>
      <c r="AI168">
        <f t="shared" si="80"/>
        <v>1.5463533033018839E-2</v>
      </c>
      <c r="AJ168">
        <f t="shared" si="81"/>
        <v>-1.1138189693183265</v>
      </c>
      <c r="AK168">
        <f t="shared" si="76"/>
        <v>1.1138189693183265</v>
      </c>
      <c r="AL168">
        <f>Y177+(-1+(1.023+0.23364*X168/467.6+0.58553*(X168/467)^2-0.40758*(X168/467)^3+0.093324*(X168/467)^4)^4)/(10000*(304.1282/((72.80829^4)*(44.095^3)))^(1/6))</f>
        <v>1.6650136842558325E-2</v>
      </c>
      <c r="AM168">
        <f t="shared" si="63"/>
        <v>6.4742735365319257</v>
      </c>
      <c r="AN168">
        <f t="shared" si="64"/>
        <v>6.4742735365319257</v>
      </c>
    </row>
    <row r="169" spans="1:40" x14ac:dyDescent="0.25">
      <c r="B169" s="170">
        <v>304.77</v>
      </c>
      <c r="C169" s="89">
        <v>2.2351800000000002</v>
      </c>
      <c r="D169" s="93">
        <v>43.692900000000002</v>
      </c>
      <c r="E169" s="89">
        <f>D169*0.3566/1000</f>
        <v>1.5580888139999999E-2</v>
      </c>
      <c r="F169" s="174"/>
      <c r="H169">
        <f t="shared" si="77"/>
        <v>1.4194765801540765</v>
      </c>
      <c r="I169" s="8">
        <f t="shared" si="67"/>
        <v>4.9810719266786211E-3</v>
      </c>
      <c r="J169" s="8">
        <v>1749.3548931883499</v>
      </c>
      <c r="K169">
        <v>-369.06930000711998</v>
      </c>
      <c r="L169">
        <v>5423856.3488769103</v>
      </c>
      <c r="M169">
        <v>-2.2128385216835</v>
      </c>
      <c r="N169">
        <v>-269503.24793356902</v>
      </c>
      <c r="O169">
        <v>73145.021531826002</v>
      </c>
      <c r="P169">
        <v>5.34368649509278</v>
      </c>
      <c r="Q169">
        <f t="shared" si="84"/>
        <v>1.5221246031048935E-2</v>
      </c>
      <c r="R169">
        <f t="shared" si="68"/>
        <v>7.415324519602722E-4</v>
      </c>
      <c r="S169">
        <f t="shared" si="85"/>
        <v>0.4881236425573422</v>
      </c>
      <c r="T169">
        <f t="shared" si="69"/>
        <v>5.5094749304177311E-6</v>
      </c>
      <c r="U169">
        <f t="shared" si="86"/>
        <v>1.0332728667284613E-4</v>
      </c>
      <c r="W169" s="8">
        <v>304.77</v>
      </c>
      <c r="X169" s="63">
        <v>43.692900000000002</v>
      </c>
      <c r="Y169">
        <f>X169*0.3566/1000</f>
        <v>1.5580888139999999E-2</v>
      </c>
      <c r="Z169">
        <f t="shared" si="87"/>
        <v>1.556529825490903E-2</v>
      </c>
      <c r="AA169">
        <f t="shared" si="65"/>
        <v>-0.10005774350530154</v>
      </c>
      <c r="AB169">
        <f t="shared" si="73"/>
        <v>0.10005774350530154</v>
      </c>
      <c r="AC169">
        <f t="shared" si="82"/>
        <v>1.5519132249383472E-2</v>
      </c>
      <c r="AD169">
        <f t="shared" si="78"/>
        <v>-0.39635667788400447</v>
      </c>
      <c r="AE169">
        <f t="shared" si="74"/>
        <v>0.39635667788400447</v>
      </c>
      <c r="AF169">
        <f t="shared" si="83"/>
        <v>1.5099641345878595E-2</v>
      </c>
      <c r="AG169">
        <f t="shared" si="79"/>
        <v>-3.0886993719306908</v>
      </c>
      <c r="AH169">
        <f t="shared" si="75"/>
        <v>3.0886993719306908</v>
      </c>
      <c r="AI169">
        <f t="shared" si="80"/>
        <v>1.5463533033018839E-2</v>
      </c>
      <c r="AJ169">
        <f t="shared" si="81"/>
        <v>-0.75319908548653247</v>
      </c>
      <c r="AK169">
        <f t="shared" si="76"/>
        <v>0.75319908548653247</v>
      </c>
      <c r="AL169">
        <f t="shared" si="66"/>
        <v>1.6535450619630965E-2</v>
      </c>
      <c r="AM169">
        <f t="shared" si="63"/>
        <v>6.1264959420404779</v>
      </c>
      <c r="AN169">
        <f t="shared" si="64"/>
        <v>6.1264959420404779</v>
      </c>
    </row>
    <row r="170" spans="1:40" x14ac:dyDescent="0.25">
      <c r="B170" s="170">
        <v>304.77</v>
      </c>
      <c r="C170" s="89">
        <v>1.94998</v>
      </c>
      <c r="D170" s="93">
        <v>37.471699999999998</v>
      </c>
      <c r="E170" s="89">
        <f>D170*0.4142/1000</f>
        <v>1.5520778139999998E-2</v>
      </c>
      <c r="F170" s="174"/>
      <c r="H170">
        <f t="shared" si="77"/>
        <v>1.4194765801540765</v>
      </c>
      <c r="I170" s="8">
        <f t="shared" si="67"/>
        <v>4.9810719266786211E-3</v>
      </c>
      <c r="J170" s="8">
        <v>1749.3548931883499</v>
      </c>
      <c r="K170">
        <v>-369.06930000711998</v>
      </c>
      <c r="L170">
        <v>5423856.3488769103</v>
      </c>
      <c r="M170">
        <v>-2.2128385216835</v>
      </c>
      <c r="N170">
        <v>-269503.24793356902</v>
      </c>
      <c r="O170">
        <v>73145.021531826002</v>
      </c>
      <c r="P170">
        <v>5.34368649509278</v>
      </c>
      <c r="Q170">
        <f t="shared" si="84"/>
        <v>1.5221246031048935E-2</v>
      </c>
      <c r="R170">
        <f t="shared" si="68"/>
        <v>7.415324519602722E-4</v>
      </c>
      <c r="S170">
        <f t="shared" si="85"/>
        <v>0.4881236425573422</v>
      </c>
      <c r="T170">
        <f t="shared" si="69"/>
        <v>5.5094749304177311E-6</v>
      </c>
      <c r="U170">
        <f t="shared" si="86"/>
        <v>7.5742123984844344E-5</v>
      </c>
      <c r="W170" s="8">
        <v>304.77</v>
      </c>
      <c r="X170" s="63">
        <v>37.471699999999998</v>
      </c>
      <c r="Y170">
        <f>X170*0.4142/1000</f>
        <v>1.5520778139999998E-2</v>
      </c>
      <c r="Z170">
        <f t="shared" si="87"/>
        <v>1.5503437546783913E-2</v>
      </c>
      <c r="AA170">
        <f t="shared" si="65"/>
        <v>-0.11172502473567991</v>
      </c>
      <c r="AB170">
        <f t="shared" si="73"/>
        <v>0.11172502473567991</v>
      </c>
      <c r="AC170">
        <f t="shared" si="82"/>
        <v>1.5519132249383472E-2</v>
      </c>
      <c r="AD170">
        <f t="shared" si="78"/>
        <v>-1.0604433628779903E-2</v>
      </c>
      <c r="AE170">
        <f t="shared" si="74"/>
        <v>1.0604433628779903E-2</v>
      </c>
      <c r="AF170">
        <f t="shared" si="83"/>
        <v>1.5099641345878595E-2</v>
      </c>
      <c r="AG170">
        <f t="shared" si="79"/>
        <v>-2.7133742285514244</v>
      </c>
      <c r="AH170">
        <f t="shared" si="75"/>
        <v>2.7133742285514244</v>
      </c>
      <c r="AI170">
        <f t="shared" si="80"/>
        <v>1.5463533033018839E-2</v>
      </c>
      <c r="AJ170">
        <f t="shared" si="81"/>
        <v>-0.36882884649724929</v>
      </c>
      <c r="AK170">
        <f t="shared" si="76"/>
        <v>0.36882884649724929</v>
      </c>
      <c r="AL170">
        <f t="shared" si="66"/>
        <v>1.6386177370155512E-2</v>
      </c>
      <c r="AM170">
        <f t="shared" si="63"/>
        <v>5.5757464113555963</v>
      </c>
      <c r="AN170">
        <f t="shared" si="64"/>
        <v>5.5757464113555963</v>
      </c>
    </row>
    <row r="171" spans="1:40" x14ac:dyDescent="0.25">
      <c r="B171" s="170">
        <v>304.77</v>
      </c>
      <c r="C171" s="89">
        <v>1.6993799999999999</v>
      </c>
      <c r="D171" s="93">
        <v>32.187399999999997</v>
      </c>
      <c r="E171" s="89">
        <f>D171*0.4816/1000</f>
        <v>1.5501451839999998E-2</v>
      </c>
      <c r="F171" s="174"/>
      <c r="H171">
        <f t="shared" si="77"/>
        <v>1.4194765801540765</v>
      </c>
      <c r="I171" s="8">
        <f t="shared" si="67"/>
        <v>4.9810719266786211E-3</v>
      </c>
      <c r="J171" s="8">
        <v>1749.3548931883499</v>
      </c>
      <c r="K171">
        <v>-369.06930000711998</v>
      </c>
      <c r="L171">
        <v>5423856.3488769103</v>
      </c>
      <c r="M171">
        <v>-2.2128385216835</v>
      </c>
      <c r="N171">
        <v>-269503.24793356902</v>
      </c>
      <c r="O171">
        <v>73145.021531826002</v>
      </c>
      <c r="P171">
        <v>5.34368649509278</v>
      </c>
      <c r="Q171">
        <f t="shared" si="84"/>
        <v>1.5221246031048935E-2</v>
      </c>
      <c r="R171">
        <f t="shared" si="68"/>
        <v>7.415324519602722E-4</v>
      </c>
      <c r="S171">
        <f t="shared" si="85"/>
        <v>0.4881236425573422</v>
      </c>
      <c r="T171">
        <f t="shared" si="69"/>
        <v>5.5094749304177311E-6</v>
      </c>
      <c r="U171">
        <f t="shared" si="86"/>
        <v>5.5725794349326936E-5</v>
      </c>
      <c r="W171" s="8">
        <v>304.77</v>
      </c>
      <c r="X171" s="63">
        <v>32.187399999999997</v>
      </c>
      <c r="Y171">
        <f>X171*0.4816/1000</f>
        <v>1.5501451839999998E-2</v>
      </c>
      <c r="Z171">
        <f t="shared" si="87"/>
        <v>1.5454307498773591E-2</v>
      </c>
      <c r="AA171">
        <f t="shared" si="65"/>
        <v>-0.30412855333173239</v>
      </c>
      <c r="AB171">
        <f t="shared" si="73"/>
        <v>0.30412855333173239</v>
      </c>
      <c r="AC171">
        <f t="shared" si="82"/>
        <v>1.5519132249383472E-2</v>
      </c>
      <c r="AD171">
        <f t="shared" si="78"/>
        <v>0.11405647397395084</v>
      </c>
      <c r="AE171">
        <f t="shared" si="74"/>
        <v>0.11405647397395084</v>
      </c>
      <c r="AF171">
        <f t="shared" si="83"/>
        <v>1.5099641345878595E-2</v>
      </c>
      <c r="AG171">
        <f t="shared" si="79"/>
        <v>-2.592082975638252</v>
      </c>
      <c r="AH171">
        <f t="shared" si="75"/>
        <v>2.592082975638252</v>
      </c>
      <c r="AI171">
        <f t="shared" si="80"/>
        <v>1.5463533033018839E-2</v>
      </c>
      <c r="AJ171">
        <f t="shared" si="81"/>
        <v>-0.24461455205965157</v>
      </c>
      <c r="AK171">
        <f t="shared" si="76"/>
        <v>0.24461455205965157</v>
      </c>
      <c r="AL171">
        <f t="shared" si="66"/>
        <v>1.6294742733825179E-2</v>
      </c>
      <c r="AM171">
        <f t="shared" si="63"/>
        <v>5.1175264227713848</v>
      </c>
      <c r="AN171">
        <f t="shared" si="64"/>
        <v>5.1175264227713848</v>
      </c>
    </row>
    <row r="172" spans="1:40" x14ac:dyDescent="0.25">
      <c r="B172" s="170">
        <v>304.77</v>
      </c>
      <c r="C172" s="89">
        <v>1.4788600000000001</v>
      </c>
      <c r="D172" s="93">
        <v>27.6677</v>
      </c>
      <c r="E172" s="89">
        <f>D172*0.5593/1000</f>
        <v>1.547454461E-2</v>
      </c>
      <c r="F172" s="174"/>
      <c r="H172">
        <f t="shared" si="77"/>
        <v>1.4194765801540765</v>
      </c>
      <c r="I172" s="8">
        <f t="shared" si="67"/>
        <v>4.9810719266786211E-3</v>
      </c>
      <c r="J172" s="8">
        <v>1749.3548931883499</v>
      </c>
      <c r="K172">
        <v>-369.06930000711998</v>
      </c>
      <c r="L172">
        <v>5423856.3488769103</v>
      </c>
      <c r="M172">
        <v>-2.2128385216835</v>
      </c>
      <c r="N172">
        <v>-269503.24793356902</v>
      </c>
      <c r="O172">
        <v>73145.021531826002</v>
      </c>
      <c r="P172">
        <v>5.34368649509278</v>
      </c>
      <c r="Q172">
        <f t="shared" si="84"/>
        <v>1.5221246031048935E-2</v>
      </c>
      <c r="R172">
        <f t="shared" si="68"/>
        <v>7.415324519602722E-4</v>
      </c>
      <c r="S172">
        <f t="shared" si="85"/>
        <v>0.4881236425573422</v>
      </c>
      <c r="T172">
        <f t="shared" si="69"/>
        <v>5.5094749304177311E-6</v>
      </c>
      <c r="U172">
        <f t="shared" si="86"/>
        <v>4.1073513049644799E-5</v>
      </c>
      <c r="W172" s="8">
        <v>304.77</v>
      </c>
      <c r="X172" s="63">
        <v>27.6677</v>
      </c>
      <c r="Y172">
        <f>X172*0.5593/1000</f>
        <v>1.547454461E-2</v>
      </c>
      <c r="Z172">
        <f t="shared" si="87"/>
        <v>1.5414754043630899E-2</v>
      </c>
      <c r="AA172">
        <f t="shared" si="65"/>
        <v>-0.38638013509272157</v>
      </c>
      <c r="AB172">
        <f t="shared" si="73"/>
        <v>0.38638013509272157</v>
      </c>
      <c r="AC172">
        <f t="shared" si="82"/>
        <v>1.5519132249383472E-2</v>
      </c>
      <c r="AD172">
        <f t="shared" si="78"/>
        <v>0.28813538948770373</v>
      </c>
      <c r="AE172">
        <f t="shared" si="74"/>
        <v>0.28813538948770373</v>
      </c>
      <c r="AF172">
        <f t="shared" si="83"/>
        <v>1.5099641345878595E-2</v>
      </c>
      <c r="AG172">
        <f t="shared" si="79"/>
        <v>-2.4227095114587973</v>
      </c>
      <c r="AH172">
        <f t="shared" si="75"/>
        <v>2.4227095114587973</v>
      </c>
      <c r="AI172">
        <f t="shared" si="80"/>
        <v>1.5463533033018839E-2</v>
      </c>
      <c r="AJ172">
        <f t="shared" si="81"/>
        <v>-7.1159295854463095E-2</v>
      </c>
      <c r="AK172">
        <f t="shared" si="76"/>
        <v>7.1159295854463095E-2</v>
      </c>
      <c r="AL172">
        <f t="shared" si="66"/>
        <v>1.620879028176463E-2</v>
      </c>
      <c r="AM172">
        <f t="shared" si="63"/>
        <v>4.7448612561441301</v>
      </c>
      <c r="AN172">
        <f t="shared" si="64"/>
        <v>4.7448612561441301</v>
      </c>
    </row>
    <row r="173" spans="1:40" x14ac:dyDescent="0.25">
      <c r="B173" s="170">
        <v>304.77</v>
      </c>
      <c r="C173" s="89">
        <v>1.20173</v>
      </c>
      <c r="D173" s="93">
        <v>22.148800000000001</v>
      </c>
      <c r="E173" s="89">
        <f>D173*0.6981/1000</f>
        <v>1.5462077280000002E-2</v>
      </c>
      <c r="F173" s="174"/>
      <c r="H173">
        <f t="shared" si="77"/>
        <v>1.4194765801540765</v>
      </c>
      <c r="I173" s="8">
        <f t="shared" si="67"/>
        <v>4.9810719266786211E-3</v>
      </c>
      <c r="J173" s="8">
        <v>1749.3548931883499</v>
      </c>
      <c r="K173">
        <v>-369.06930000711998</v>
      </c>
      <c r="L173">
        <v>5423856.3488769103</v>
      </c>
      <c r="M173">
        <v>-2.2128385216835</v>
      </c>
      <c r="N173">
        <v>-269503.24793356902</v>
      </c>
      <c r="O173">
        <v>73145.021531826002</v>
      </c>
      <c r="P173">
        <v>5.34368649509278</v>
      </c>
      <c r="Q173">
        <f t="shared" si="84"/>
        <v>1.5221246031048935E-2</v>
      </c>
      <c r="R173">
        <f t="shared" si="68"/>
        <v>7.415324519602722E-4</v>
      </c>
      <c r="S173">
        <f t="shared" si="85"/>
        <v>0.4881236425573422</v>
      </c>
      <c r="T173">
        <f t="shared" si="69"/>
        <v>5.5094749304177311E-6</v>
      </c>
      <c r="U173">
        <f t="shared" si="86"/>
        <v>2.6242641502035775E-5</v>
      </c>
      <c r="W173" s="8">
        <v>304.77</v>
      </c>
      <c r="X173" s="63">
        <v>22.148800000000001</v>
      </c>
      <c r="Y173">
        <f>X173*0.6981/1000</f>
        <v>1.5462077280000002E-2</v>
      </c>
      <c r="Z173">
        <f t="shared" si="87"/>
        <v>1.5369516930889808E-2</v>
      </c>
      <c r="AA173">
        <f t="shared" si="65"/>
        <v>-0.59862816252975082</v>
      </c>
      <c r="AB173">
        <f t="shared" si="73"/>
        <v>0.59862816252975082</v>
      </c>
      <c r="AC173">
        <f t="shared" si="82"/>
        <v>1.5519132249383472E-2</v>
      </c>
      <c r="AD173">
        <f t="shared" si="78"/>
        <v>0.36899938055069759</v>
      </c>
      <c r="AE173">
        <f t="shared" si="74"/>
        <v>0.36899938055069759</v>
      </c>
      <c r="AF173">
        <f t="shared" si="83"/>
        <v>1.5099641345878595E-2</v>
      </c>
      <c r="AG173">
        <f t="shared" si="79"/>
        <v>-2.3440313197128608</v>
      </c>
      <c r="AH173">
        <f t="shared" si="75"/>
        <v>2.3440313197128608</v>
      </c>
      <c r="AI173">
        <f t="shared" si="80"/>
        <v>1.5463533033018839E-2</v>
      </c>
      <c r="AJ173">
        <f t="shared" si="81"/>
        <v>9.4149899297193366E-3</v>
      </c>
      <c r="AK173">
        <f t="shared" si="76"/>
        <v>9.4149899297193366E-3</v>
      </c>
      <c r="AL173">
        <f t="shared" si="66"/>
        <v>1.6127497225307333E-2</v>
      </c>
      <c r="AM173">
        <f t="shared" si="63"/>
        <v>4.3035611144438093</v>
      </c>
      <c r="AN173">
        <f t="shared" si="64"/>
        <v>4.3035611144438093</v>
      </c>
    </row>
    <row r="174" spans="1:40" x14ac:dyDescent="0.25">
      <c r="B174" s="170">
        <v>304.77</v>
      </c>
      <c r="C174" s="89">
        <v>0.97977000000000003</v>
      </c>
      <c r="D174" s="93">
        <v>17.849299999999999</v>
      </c>
      <c r="E174" s="89">
        <f>D174*0.8661/1000</f>
        <v>1.545927873E-2</v>
      </c>
      <c r="F174" s="174"/>
      <c r="H174">
        <f t="shared" si="77"/>
        <v>1.4194765801540765</v>
      </c>
      <c r="I174" s="8">
        <f t="shared" si="67"/>
        <v>4.9810719266786211E-3</v>
      </c>
      <c r="J174" s="8">
        <v>1749.3548931883499</v>
      </c>
      <c r="K174">
        <v>-369.06930000711998</v>
      </c>
      <c r="L174">
        <v>5423856.3488769103</v>
      </c>
      <c r="M174">
        <v>-2.2128385216835</v>
      </c>
      <c r="N174">
        <v>-269503.24793356902</v>
      </c>
      <c r="O174">
        <v>73145.021531826002</v>
      </c>
      <c r="P174">
        <v>5.34368649509278</v>
      </c>
      <c r="Q174">
        <f t="shared" si="84"/>
        <v>1.5221246031048935E-2</v>
      </c>
      <c r="R174">
        <f t="shared" si="68"/>
        <v>7.415324519602722E-4</v>
      </c>
      <c r="S174">
        <f t="shared" si="85"/>
        <v>0.4881236425573422</v>
      </c>
      <c r="T174">
        <f t="shared" si="69"/>
        <v>5.5094749304177311E-6</v>
      </c>
      <c r="U174">
        <f t="shared" si="86"/>
        <v>1.7003069348879751E-5</v>
      </c>
      <c r="W174" s="8">
        <v>304.77</v>
      </c>
      <c r="X174" s="63">
        <v>17.849299999999999</v>
      </c>
      <c r="Y174">
        <f>X174*0.8661/1000</f>
        <v>1.545927873E-2</v>
      </c>
      <c r="Z174">
        <f t="shared" si="87"/>
        <v>1.5336589371273321E-2</v>
      </c>
      <c r="AA174">
        <f t="shared" si="65"/>
        <v>-0.79362925573358267</v>
      </c>
      <c r="AB174">
        <f t="shared" si="73"/>
        <v>0.79362925573358267</v>
      </c>
      <c r="AC174">
        <f t="shared" si="82"/>
        <v>1.5519132249383472E-2</v>
      </c>
      <c r="AD174">
        <f t="shared" si="78"/>
        <v>0.38716889984861752</v>
      </c>
      <c r="AE174">
        <f t="shared" si="74"/>
        <v>0.38716889984861752</v>
      </c>
      <c r="AF174">
        <f t="shared" si="83"/>
        <v>1.5099641345878595E-2</v>
      </c>
      <c r="AG174">
        <f t="shared" si="79"/>
        <v>-2.3263529327762131</v>
      </c>
      <c r="AH174">
        <f t="shared" si="75"/>
        <v>2.3263529327762131</v>
      </c>
      <c r="AI174">
        <f t="shared" si="80"/>
        <v>1.5463533033018839E-2</v>
      </c>
      <c r="AJ174">
        <f t="shared" si="81"/>
        <v>2.7519414670904234E-2</v>
      </c>
      <c r="AK174">
        <f t="shared" si="76"/>
        <v>2.7519414670904234E-2</v>
      </c>
      <c r="AL174">
        <f t="shared" si="66"/>
        <v>1.6073564772463553E-2</v>
      </c>
      <c r="AM174">
        <f t="shared" si="63"/>
        <v>3.9735750496009969</v>
      </c>
      <c r="AN174">
        <f t="shared" si="64"/>
        <v>3.9735750496009969</v>
      </c>
    </row>
    <row r="175" spans="1:40" x14ac:dyDescent="0.25">
      <c r="B175" s="170">
        <v>304.77</v>
      </c>
      <c r="C175" s="89">
        <v>0.74524999999999997</v>
      </c>
      <c r="D175" s="93">
        <v>13.415699999999999</v>
      </c>
      <c r="E175" s="89">
        <f>D175*1.1528/1000</f>
        <v>1.546561896E-2</v>
      </c>
      <c r="F175" s="174"/>
      <c r="H175">
        <f t="shared" si="77"/>
        <v>1.4194765801540765</v>
      </c>
      <c r="I175" s="8">
        <f t="shared" si="67"/>
        <v>4.9810719266786211E-3</v>
      </c>
      <c r="J175" s="8">
        <v>1749.3548931883499</v>
      </c>
      <c r="K175">
        <v>-369.06930000711998</v>
      </c>
      <c r="L175">
        <v>5423856.3488769103</v>
      </c>
      <c r="M175">
        <v>-2.2128385216835</v>
      </c>
      <c r="N175">
        <v>-269503.24793356902</v>
      </c>
      <c r="O175">
        <v>73145.021531826002</v>
      </c>
      <c r="P175">
        <v>5.34368649509278</v>
      </c>
      <c r="Q175">
        <f t="shared" si="84"/>
        <v>1.5221246031048935E-2</v>
      </c>
      <c r="R175">
        <f t="shared" si="68"/>
        <v>7.415324519602722E-4</v>
      </c>
      <c r="S175">
        <f t="shared" si="85"/>
        <v>0.4881236425573422</v>
      </c>
      <c r="T175">
        <f t="shared" si="69"/>
        <v>5.5094749304177311E-6</v>
      </c>
      <c r="U175">
        <f t="shared" si="86"/>
        <v>9.5819747122548634E-6</v>
      </c>
      <c r="W175" s="8">
        <v>304.77</v>
      </c>
      <c r="X175" s="63">
        <v>13.415699999999999</v>
      </c>
      <c r="Y175">
        <f>X175*1.1528/1000</f>
        <v>1.546561896E-2</v>
      </c>
      <c r="Z175">
        <f t="shared" si="87"/>
        <v>1.5304741468585195E-2</v>
      </c>
      <c r="AA175">
        <f t="shared" si="65"/>
        <v>-1.0402266590874609</v>
      </c>
      <c r="AB175">
        <f t="shared" si="73"/>
        <v>1.0402266590874609</v>
      </c>
      <c r="AC175">
        <f t="shared" si="82"/>
        <v>1.5519132249383472E-2</v>
      </c>
      <c r="AD175">
        <f t="shared" si="78"/>
        <v>0.34601453405697946</v>
      </c>
      <c r="AE175">
        <f t="shared" si="74"/>
        <v>0.34601453405697946</v>
      </c>
      <c r="AF175">
        <f t="shared" si="83"/>
        <v>1.5099641345878595E-2</v>
      </c>
      <c r="AG175">
        <f t="shared" si="79"/>
        <v>-2.366394872833494</v>
      </c>
      <c r="AH175">
        <f t="shared" si="75"/>
        <v>2.366394872833494</v>
      </c>
      <c r="AI175">
        <f t="shared" si="80"/>
        <v>1.5463533033018839E-2</v>
      </c>
      <c r="AJ175">
        <f t="shared" si="81"/>
        <v>-1.3487510500264276E-2</v>
      </c>
      <c r="AK175">
        <f t="shared" si="76"/>
        <v>1.3487510500264276E-2</v>
      </c>
      <c r="AL175">
        <f t="shared" si="66"/>
        <v>1.6029448275877274E-2</v>
      </c>
      <c r="AM175">
        <f t="shared" ref="AM175:AM188" si="88">100*(AL175-Y175)/Y175</f>
        <v>3.6456951211299859</v>
      </c>
      <c r="AN175">
        <f t="shared" ref="AN175:AN188" si="89">ABS(AM175)</f>
        <v>3.6456951211299859</v>
      </c>
    </row>
    <row r="176" spans="1:40" x14ac:dyDescent="0.25">
      <c r="B176" s="170">
        <v>304.77</v>
      </c>
      <c r="C176" s="89">
        <v>0.52705000000000002</v>
      </c>
      <c r="D176" s="93">
        <v>9.3856999999999999</v>
      </c>
      <c r="E176" s="89">
        <f>D176*1.6498/1000</f>
        <v>1.548452786E-2</v>
      </c>
      <c r="F176" s="174"/>
      <c r="H176">
        <f t="shared" si="77"/>
        <v>1.4194765801540765</v>
      </c>
      <c r="I176" s="8">
        <f t="shared" si="67"/>
        <v>4.9810719266786211E-3</v>
      </c>
      <c r="J176" s="8">
        <v>1749.3548931883499</v>
      </c>
      <c r="K176">
        <v>-369.06930000711998</v>
      </c>
      <c r="L176">
        <v>5423856.3488769103</v>
      </c>
      <c r="M176">
        <v>-2.2128385216835</v>
      </c>
      <c r="N176">
        <v>-269503.24793356902</v>
      </c>
      <c r="O176">
        <v>73145.021531826002</v>
      </c>
      <c r="P176">
        <v>5.34368649509278</v>
      </c>
      <c r="Q176">
        <f t="shared" si="84"/>
        <v>1.5221246031048935E-2</v>
      </c>
      <c r="R176">
        <f t="shared" si="68"/>
        <v>7.415324519602722E-4</v>
      </c>
      <c r="S176">
        <f t="shared" si="85"/>
        <v>0.4881236425573422</v>
      </c>
      <c r="T176">
        <f t="shared" si="69"/>
        <v>5.5094749304177311E-6</v>
      </c>
      <c r="U176">
        <f t="shared" si="86"/>
        <v>4.6794954226344187E-6</v>
      </c>
      <c r="W176" s="8">
        <v>304.77</v>
      </c>
      <c r="X176" s="63">
        <v>9.3856999999999999</v>
      </c>
      <c r="Y176">
        <f>X176*1.6498/1000</f>
        <v>1.548452786E-2</v>
      </c>
      <c r="Z176">
        <f t="shared" si="87"/>
        <v>1.5277635805325991E-2</v>
      </c>
      <c r="AA176">
        <f t="shared" ref="AA176:AA188" si="90">100*(Z176-Y176)/Y176</f>
        <v>-1.3361211691087918</v>
      </c>
      <c r="AB176">
        <f t="shared" si="73"/>
        <v>1.3361211691087918</v>
      </c>
      <c r="AC176">
        <f t="shared" si="82"/>
        <v>1.5519132249383472E-2</v>
      </c>
      <c r="AD176">
        <f t="shared" si="78"/>
        <v>0.22347720057298684</v>
      </c>
      <c r="AE176">
        <f t="shared" si="74"/>
        <v>0.22347720057298684</v>
      </c>
      <c r="AF176">
        <f t="shared" si="83"/>
        <v>1.5099641345878595E-2</v>
      </c>
      <c r="AG176">
        <f t="shared" si="79"/>
        <v>-2.4856199530348766</v>
      </c>
      <c r="AH176">
        <f t="shared" si="75"/>
        <v>2.4856199530348766</v>
      </c>
      <c r="AI176">
        <f t="shared" si="80"/>
        <v>1.5463533033018839E-2</v>
      </c>
      <c r="AJ176">
        <f t="shared" si="81"/>
        <v>-0.1355858387868244</v>
      </c>
      <c r="AK176">
        <f t="shared" si="76"/>
        <v>0.1355858387868244</v>
      </c>
      <c r="AL176">
        <f t="shared" ref="AL176:AL188" si="91">Y176+(-1+(1.023+0.23364*X176/467.6+0.58553*(X176/467)^2-0.40758*(X176/467)^3+0.093324*(X176/467)^4)^4)/(10000*(304.1282/((72.80829^4)*(44.095^3)))^(1/6))</f>
        <v>1.6004490591602142E-2</v>
      </c>
      <c r="AM176">
        <f t="shared" si="88"/>
        <v>3.3579501829392058</v>
      </c>
      <c r="AN176">
        <f t="shared" si="89"/>
        <v>3.3579501829392058</v>
      </c>
    </row>
    <row r="177" spans="2:46" x14ac:dyDescent="0.25">
      <c r="B177" s="173">
        <v>304.77</v>
      </c>
      <c r="C177" s="90">
        <v>0.31780999999999998</v>
      </c>
      <c r="D177" s="94">
        <v>5.6025900000000002</v>
      </c>
      <c r="E177" s="90">
        <f>D177*2.782/1000</f>
        <v>1.558640538E-2</v>
      </c>
      <c r="F177" s="174"/>
      <c r="H177" s="25">
        <f t="shared" si="77"/>
        <v>1.4194765801540765</v>
      </c>
      <c r="I177" s="57">
        <f t="shared" si="67"/>
        <v>4.9810719266786211E-3</v>
      </c>
      <c r="J177" s="57">
        <v>1749.3548931883499</v>
      </c>
      <c r="K177" s="25">
        <v>-369.06930000711998</v>
      </c>
      <c r="L177" s="25">
        <v>5423856.3488769103</v>
      </c>
      <c r="M177" s="25">
        <v>-2.2128385216835</v>
      </c>
      <c r="N177" s="25">
        <v>-269503.24793356902</v>
      </c>
      <c r="O177" s="25">
        <v>73145.021531826002</v>
      </c>
      <c r="P177" s="25">
        <v>5.34368649509278</v>
      </c>
      <c r="Q177" s="25">
        <f t="shared" si="84"/>
        <v>1.5221246031048935E-2</v>
      </c>
      <c r="R177" s="25">
        <f t="shared" si="68"/>
        <v>7.415324519602722E-4</v>
      </c>
      <c r="S177" s="25">
        <f t="shared" si="85"/>
        <v>0.4881236425573422</v>
      </c>
      <c r="T177" s="25">
        <f t="shared" si="69"/>
        <v>5.5094749304177311E-6</v>
      </c>
      <c r="U177" s="25">
        <f t="shared" si="86"/>
        <v>1.6639403297629693E-6</v>
      </c>
      <c r="W177" s="57">
        <v>304.77</v>
      </c>
      <c r="X177" s="64">
        <v>5.6025900000000002</v>
      </c>
      <c r="Y177" s="25">
        <f>X177*2.782/1000</f>
        <v>1.558640538E-2</v>
      </c>
      <c r="Z177" s="25">
        <f t="shared" si="87"/>
        <v>1.5253777300529106E-2</v>
      </c>
      <c r="AA177" s="25">
        <f t="shared" si="90"/>
        <v>-2.1340910322896605</v>
      </c>
      <c r="AB177" s="25">
        <f t="shared" si="73"/>
        <v>2.1340910322896605</v>
      </c>
      <c r="AC177" s="25">
        <f t="shared" si="82"/>
        <v>1.5519132249383472E-2</v>
      </c>
      <c r="AD177" s="25">
        <f t="shared" si="78"/>
        <v>-0.43161414692094741</v>
      </c>
      <c r="AE177" s="25">
        <f t="shared" si="74"/>
        <v>0.43161414692094741</v>
      </c>
      <c r="AF177" s="25">
        <f t="shared" si="83"/>
        <v>1.5099641345878595E-2</v>
      </c>
      <c r="AG177" s="25">
        <f t="shared" si="79"/>
        <v>-3.1230038116806909</v>
      </c>
      <c r="AH177" s="25">
        <f t="shared" si="75"/>
        <v>3.1230038116806909</v>
      </c>
      <c r="AI177" s="25">
        <f t="shared" si="80"/>
        <v>1.5463533033018839E-2</v>
      </c>
      <c r="AJ177" s="25">
        <f t="shared" si="81"/>
        <v>-0.78833024026711407</v>
      </c>
      <c r="AK177" s="25">
        <f t="shared" si="76"/>
        <v>0.78833024026711407</v>
      </c>
      <c r="AL177" s="25">
        <f t="shared" si="91"/>
        <v>1.6066916551340026E-2</v>
      </c>
      <c r="AM177" s="25">
        <f t="shared" si="88"/>
        <v>3.0828863976334402</v>
      </c>
      <c r="AN177" s="25">
        <f t="shared" si="89"/>
        <v>3.0828863976334402</v>
      </c>
    </row>
    <row r="178" spans="2:46" x14ac:dyDescent="0.25">
      <c r="B178" s="170">
        <v>310</v>
      </c>
      <c r="C178" s="87">
        <v>3.0779899999999998</v>
      </c>
      <c r="D178" s="93">
        <v>61.7425</v>
      </c>
      <c r="E178" s="89">
        <f>D178*0.2605/1000</f>
        <v>1.6083921250000001E-2</v>
      </c>
      <c r="F178" s="174"/>
      <c r="H178">
        <f t="shared" si="77"/>
        <v>1.408228623933433</v>
      </c>
      <c r="I178" s="8">
        <f t="shared" si="67"/>
        <v>4.9810719266786211E-3</v>
      </c>
      <c r="J178" s="8">
        <v>1749.3548931883499</v>
      </c>
      <c r="K178">
        <v>-369.06930000711998</v>
      </c>
      <c r="L178">
        <v>5423856.3488769103</v>
      </c>
      <c r="M178">
        <v>-2.2128385216835</v>
      </c>
      <c r="N178">
        <v>-269503.24793356902</v>
      </c>
      <c r="O178">
        <v>73145.021531826002</v>
      </c>
      <c r="P178">
        <v>5.34368649509278</v>
      </c>
      <c r="Q178">
        <f t="shared" si="84"/>
        <v>1.5469975128058901E-2</v>
      </c>
      <c r="R178">
        <f t="shared" si="68"/>
        <v>7.415324519602722E-4</v>
      </c>
      <c r="S178">
        <f t="shared" si="85"/>
        <v>0.51389326632231747</v>
      </c>
      <c r="T178">
        <f t="shared" si="69"/>
        <v>5.8951207403100657E-6</v>
      </c>
      <c r="U178">
        <f t="shared" si="86"/>
        <v>2.047462394576734E-4</v>
      </c>
      <c r="W178" s="8">
        <v>310</v>
      </c>
      <c r="X178" s="63">
        <v>61.7425</v>
      </c>
      <c r="Y178">
        <f>X178*0.2605/1000</f>
        <v>1.6083921250000001E-2</v>
      </c>
      <c r="Z178">
        <f t="shared" si="87"/>
        <v>1.6038700859825169E-2</v>
      </c>
      <c r="AA178">
        <f t="shared" si="90"/>
        <v>-0.28115277034716896</v>
      </c>
      <c r="AB178">
        <f t="shared" si="73"/>
        <v>0.28115277034716896</v>
      </c>
      <c r="AC178">
        <f t="shared" si="82"/>
        <v>1.5785448033956352E-2</v>
      </c>
      <c r="AD178">
        <f t="shared" si="78"/>
        <v>-1.8557241819599728</v>
      </c>
      <c r="AE178">
        <f t="shared" si="74"/>
        <v>1.8557241819599728</v>
      </c>
      <c r="AF178">
        <f t="shared" si="83"/>
        <v>1.5350284715358441E-2</v>
      </c>
      <c r="AG178">
        <f t="shared" si="79"/>
        <v>-4.5613039459613089</v>
      </c>
      <c r="AH178">
        <f t="shared" si="75"/>
        <v>4.5613039459613089</v>
      </c>
      <c r="AI178">
        <f t="shared" si="80"/>
        <v>1.5716891196853201E-2</v>
      </c>
      <c r="AJ178">
        <f t="shared" si="81"/>
        <v>-2.2819687279108027</v>
      </c>
      <c r="AK178">
        <f t="shared" si="76"/>
        <v>2.2819687279108027</v>
      </c>
      <c r="AL178">
        <f>Y188+(-1+(1.023+0.23364*X178/467.6+0.58553*(X178/467)^2-0.40758*(X178/467)^3+0.093324*(X178/467)^4)^4)/(10000*(304.1282/((72.80829^4)*(44.095^3)))^(1/6))</f>
        <v>1.7020025559779255E-2</v>
      </c>
      <c r="AM178">
        <f t="shared" si="88"/>
        <v>5.8201249261852386</v>
      </c>
      <c r="AN178">
        <f t="shared" si="89"/>
        <v>5.8201249261852386</v>
      </c>
    </row>
    <row r="179" spans="2:46" x14ac:dyDescent="0.25">
      <c r="B179" s="170">
        <v>310</v>
      </c>
      <c r="C179" s="87">
        <v>2.70878</v>
      </c>
      <c r="D179" s="93">
        <v>53.105200000000004</v>
      </c>
      <c r="E179" s="89">
        <f>D179*0.3003/1000</f>
        <v>1.5947491560000002E-2</v>
      </c>
      <c r="F179" s="174"/>
      <c r="H179">
        <f t="shared" si="77"/>
        <v>1.408228623933433</v>
      </c>
      <c r="I179" s="8">
        <f t="shared" si="67"/>
        <v>4.9810719266786211E-3</v>
      </c>
      <c r="J179" s="8">
        <v>1749.3548931883499</v>
      </c>
      <c r="K179">
        <v>-369.06930000711998</v>
      </c>
      <c r="L179">
        <v>5423856.3488769103</v>
      </c>
      <c r="M179">
        <v>-2.2128385216835</v>
      </c>
      <c r="N179">
        <v>-269503.24793356902</v>
      </c>
      <c r="O179">
        <v>73145.021531826002</v>
      </c>
      <c r="P179">
        <v>5.34368649509278</v>
      </c>
      <c r="Q179">
        <f t="shared" si="84"/>
        <v>1.5469975128058901E-2</v>
      </c>
      <c r="R179">
        <f t="shared" si="68"/>
        <v>7.415324519602722E-4</v>
      </c>
      <c r="S179">
        <f t="shared" si="85"/>
        <v>0.51389326632231747</v>
      </c>
      <c r="T179">
        <f t="shared" si="69"/>
        <v>5.8951207403100657E-6</v>
      </c>
      <c r="U179">
        <f t="shared" si="86"/>
        <v>1.5074353029381361E-4</v>
      </c>
      <c r="W179" s="8">
        <v>310</v>
      </c>
      <c r="X179" s="63">
        <v>53.105200000000004</v>
      </c>
      <c r="Y179">
        <f>X179*0.3003/1000</f>
        <v>1.5947491560000002E-2</v>
      </c>
      <c r="Z179">
        <f t="shared" si="87"/>
        <v>1.5933780224291028E-2</v>
      </c>
      <c r="AA179">
        <f t="shared" si="90"/>
        <v>-8.5978008876112497E-2</v>
      </c>
      <c r="AB179">
        <f t="shared" si="73"/>
        <v>8.5978008876112497E-2</v>
      </c>
      <c r="AC179">
        <f t="shared" si="82"/>
        <v>1.5785448033956352E-2</v>
      </c>
      <c r="AD179">
        <f t="shared" si="78"/>
        <v>-1.0161066737924656</v>
      </c>
      <c r="AE179">
        <f t="shared" si="74"/>
        <v>1.0161066737924656</v>
      </c>
      <c r="AF179">
        <f t="shared" si="83"/>
        <v>1.5350284715358441E-2</v>
      </c>
      <c r="AG179">
        <f t="shared" si="79"/>
        <v>-3.7448324860035913</v>
      </c>
      <c r="AH179">
        <f t="shared" si="75"/>
        <v>3.7448324860035913</v>
      </c>
      <c r="AI179">
        <f t="shared" si="80"/>
        <v>1.5716891196853201E-2</v>
      </c>
      <c r="AJ179">
        <f t="shared" si="81"/>
        <v>-1.4459977124251993</v>
      </c>
      <c r="AK179">
        <f t="shared" si="76"/>
        <v>1.4459977124251993</v>
      </c>
      <c r="AL179">
        <f>Y188+(-1+(1.023+0.23364*X179/467.6+0.58553*(X179/467)^2-0.40758*(X179/467)^3+0.093324*(X179/467)^4)^4)/(10000*(304.1282/((72.80829^4)*(44.095^3)))^(1/6))</f>
        <v>1.6878649742476853E-2</v>
      </c>
      <c r="AM179">
        <f t="shared" si="88"/>
        <v>5.8389006131372474</v>
      </c>
      <c r="AN179">
        <f t="shared" si="89"/>
        <v>5.8389006131372474</v>
      </c>
    </row>
    <row r="180" spans="2:46" x14ac:dyDescent="0.25">
      <c r="B180" s="170">
        <v>310</v>
      </c>
      <c r="C180" s="87">
        <v>2.3629600000000002</v>
      </c>
      <c r="D180" s="93">
        <v>45.391300000000001</v>
      </c>
      <c r="E180" s="89">
        <f>D180*0.3494/1000</f>
        <v>1.5859720219999998E-2</v>
      </c>
      <c r="F180" s="174"/>
      <c r="H180">
        <f t="shared" si="77"/>
        <v>1.408228623933433</v>
      </c>
      <c r="I180" s="8">
        <f t="shared" si="67"/>
        <v>4.9810719266786211E-3</v>
      </c>
      <c r="J180" s="8">
        <v>1749.3548931883499</v>
      </c>
      <c r="K180">
        <v>-369.06930000711998</v>
      </c>
      <c r="L180">
        <v>5423856.3488769103</v>
      </c>
      <c r="M180">
        <v>-2.2128385216835</v>
      </c>
      <c r="N180">
        <v>-269503.24793356902</v>
      </c>
      <c r="O180">
        <v>73145.021531826002</v>
      </c>
      <c r="P180">
        <v>5.34368649509278</v>
      </c>
      <c r="Q180">
        <f t="shared" si="84"/>
        <v>1.5469975128058901E-2</v>
      </c>
      <c r="R180">
        <f t="shared" si="68"/>
        <v>7.415324519602722E-4</v>
      </c>
      <c r="S180">
        <f t="shared" si="85"/>
        <v>0.51389326632231747</v>
      </c>
      <c r="T180">
        <f t="shared" si="69"/>
        <v>5.8951207403100657E-6</v>
      </c>
      <c r="U180">
        <f t="shared" si="86"/>
        <v>1.0965819664773752E-4</v>
      </c>
      <c r="W180" s="8">
        <v>310</v>
      </c>
      <c r="X180" s="63">
        <v>45.391300000000001</v>
      </c>
      <c r="Y180">
        <f>X180*0.3494/1000</f>
        <v>1.5859720219999998E-2</v>
      </c>
      <c r="Z180">
        <f t="shared" si="87"/>
        <v>1.5847220518766275E-2</v>
      </c>
      <c r="AA180">
        <f t="shared" si="90"/>
        <v>-7.8814134551757037E-2</v>
      </c>
      <c r="AB180">
        <f t="shared" si="73"/>
        <v>7.8814134551757037E-2</v>
      </c>
      <c r="AC180">
        <f t="shared" si="82"/>
        <v>1.5785448033956352E-2</v>
      </c>
      <c r="AD180">
        <f t="shared" si="78"/>
        <v>-0.46830703829178899</v>
      </c>
      <c r="AE180">
        <f t="shared" si="74"/>
        <v>0.46830703829178899</v>
      </c>
      <c r="AF180">
        <f t="shared" si="83"/>
        <v>1.5350284715358441E-2</v>
      </c>
      <c r="AG180">
        <f t="shared" si="79"/>
        <v>-3.2121342468521608</v>
      </c>
      <c r="AH180">
        <f t="shared" si="75"/>
        <v>3.2121342468521608</v>
      </c>
      <c r="AI180">
        <f t="shared" si="80"/>
        <v>1.5716891196853201E-2</v>
      </c>
      <c r="AJ180">
        <f t="shared" si="81"/>
        <v>-0.90057719282262072</v>
      </c>
      <c r="AK180">
        <f t="shared" si="76"/>
        <v>0.90057719282262072</v>
      </c>
      <c r="AL180">
        <f>Y188+(-1+(1.023+0.23364*X180/467.6+0.58553*(X180/467)^2-0.40758*(X180/467)^3+0.093324*(X180/467)^4)^4)/(10000*(304.1282/((72.80829^4)*(44.095^3)))^(1/6))</f>
        <v>1.6760052495742684E-2</v>
      </c>
      <c r="AM180">
        <f t="shared" si="88"/>
        <v>5.6768484138031408</v>
      </c>
      <c r="AN180">
        <f t="shared" si="89"/>
        <v>5.6768484138031408</v>
      </c>
    </row>
    <row r="181" spans="2:46" x14ac:dyDescent="0.25">
      <c r="B181" s="170">
        <v>310</v>
      </c>
      <c r="C181" s="87">
        <v>2.05558</v>
      </c>
      <c r="D181" s="93">
        <v>38.809199999999997</v>
      </c>
      <c r="E181" s="89">
        <f>D181*0.4075/1000</f>
        <v>1.5814748999999996E-2</v>
      </c>
      <c r="F181" s="174"/>
      <c r="H181">
        <f t="shared" si="77"/>
        <v>1.408228623933433</v>
      </c>
      <c r="I181" s="8">
        <f t="shared" si="67"/>
        <v>4.9810719266786211E-3</v>
      </c>
      <c r="J181" s="8">
        <v>1749.3548931883499</v>
      </c>
      <c r="K181">
        <v>-369.06930000711998</v>
      </c>
      <c r="L181">
        <v>5423856.3488769103</v>
      </c>
      <c r="M181">
        <v>-2.2128385216835</v>
      </c>
      <c r="N181">
        <v>-269503.24793356902</v>
      </c>
      <c r="O181">
        <v>73145.021531826002</v>
      </c>
      <c r="P181">
        <v>5.34368649509278</v>
      </c>
      <c r="Q181">
        <f t="shared" si="84"/>
        <v>1.5469975128058901E-2</v>
      </c>
      <c r="R181">
        <f t="shared" si="68"/>
        <v>7.415324519602722E-4</v>
      </c>
      <c r="S181">
        <f t="shared" si="85"/>
        <v>0.51389326632231747</v>
      </c>
      <c r="T181">
        <f t="shared" si="69"/>
        <v>5.8951207403100657E-6</v>
      </c>
      <c r="U181">
        <f t="shared" si="86"/>
        <v>7.9866437579201102E-5</v>
      </c>
      <c r="W181" s="8">
        <v>310</v>
      </c>
      <c r="X181" s="63">
        <v>38.809199999999997</v>
      </c>
      <c r="Y181">
        <f>X181*0.4075/1000</f>
        <v>1.5814748999999996E-2</v>
      </c>
      <c r="Z181">
        <f t="shared" si="87"/>
        <v>1.5778626485472944E-2</v>
      </c>
      <c r="AA181">
        <f t="shared" si="90"/>
        <v>-0.22841029299328405</v>
      </c>
      <c r="AB181">
        <f t="shared" si="73"/>
        <v>0.22841029299328405</v>
      </c>
      <c r="AC181">
        <f t="shared" si="82"/>
        <v>1.5785448033956352E-2</v>
      </c>
      <c r="AD181">
        <f t="shared" si="78"/>
        <v>-0.18527620035982775</v>
      </c>
      <c r="AE181">
        <f t="shared" si="74"/>
        <v>0.18527620035982775</v>
      </c>
      <c r="AF181">
        <f t="shared" si="83"/>
        <v>1.5350284715358441E-2</v>
      </c>
      <c r="AG181">
        <f t="shared" si="79"/>
        <v>-2.9369058253251743</v>
      </c>
      <c r="AH181">
        <f t="shared" si="75"/>
        <v>2.9369058253251743</v>
      </c>
      <c r="AI181">
        <f t="shared" si="80"/>
        <v>1.5716891196853201E-2</v>
      </c>
      <c r="AJ181">
        <f t="shared" si="81"/>
        <v>-0.61877556922841725</v>
      </c>
      <c r="AK181">
        <f t="shared" si="76"/>
        <v>0.61877556922841725</v>
      </c>
      <c r="AL181">
        <f>Y188+(-1+(1.023+0.23364*X181/467.6+0.58553*(X181/467)^2-0.40758*(X181/467)^3+0.093324*(X181/467)^4)^4)/(10000*(304.1282/((72.80829^4)*(44.095^3)))^(1/6))</f>
        <v>1.6664519946450667E-2</v>
      </c>
      <c r="AM181">
        <f t="shared" si="88"/>
        <v>5.373281273390246</v>
      </c>
      <c r="AN181">
        <f t="shared" si="89"/>
        <v>5.373281273390246</v>
      </c>
    </row>
    <row r="182" spans="2:46" x14ac:dyDescent="0.25">
      <c r="B182" s="170">
        <v>310</v>
      </c>
      <c r="C182" s="87">
        <v>1.7865800000000001</v>
      </c>
      <c r="D182" s="93">
        <v>33.2423</v>
      </c>
      <c r="E182" s="89">
        <f>D182*0.4745/1000</f>
        <v>1.5773471349999998E-2</v>
      </c>
      <c r="F182" s="174"/>
      <c r="H182">
        <f t="shared" si="77"/>
        <v>1.408228623933433</v>
      </c>
      <c r="I182" s="8">
        <f t="shared" si="67"/>
        <v>4.9810719266786211E-3</v>
      </c>
      <c r="J182" s="8">
        <v>1749.3548931883499</v>
      </c>
      <c r="K182">
        <v>-369.06930000711998</v>
      </c>
      <c r="L182">
        <v>5423856.3488769103</v>
      </c>
      <c r="M182">
        <v>-2.2128385216835</v>
      </c>
      <c r="N182">
        <v>-269503.24793356902</v>
      </c>
      <c r="O182">
        <v>73145.021531826002</v>
      </c>
      <c r="P182">
        <v>5.34368649509278</v>
      </c>
      <c r="Q182">
        <f t="shared" si="84"/>
        <v>1.5469975128058901E-2</v>
      </c>
      <c r="R182">
        <f t="shared" si="68"/>
        <v>7.415324519602722E-4</v>
      </c>
      <c r="S182">
        <f t="shared" si="85"/>
        <v>0.51389326632231747</v>
      </c>
      <c r="T182">
        <f t="shared" si="69"/>
        <v>5.8951207403100657E-6</v>
      </c>
      <c r="U182">
        <f t="shared" si="86"/>
        <v>5.8414200398933423E-5</v>
      </c>
      <c r="W182" s="8">
        <v>310</v>
      </c>
      <c r="X182" s="63">
        <v>33.2423</v>
      </c>
      <c r="Y182">
        <f>X182*0.4745/1000</f>
        <v>1.5773471349999998E-2</v>
      </c>
      <c r="Z182">
        <f t="shared" si="87"/>
        <v>1.5724356700643444E-2</v>
      </c>
      <c r="AA182">
        <f t="shared" si="90"/>
        <v>-0.31137501864200651</v>
      </c>
      <c r="AB182">
        <f t="shared" si="73"/>
        <v>0.31137501864200651</v>
      </c>
      <c r="AC182">
        <f t="shared" si="82"/>
        <v>1.5785448033956352E-2</v>
      </c>
      <c r="AD182">
        <f t="shared" si="78"/>
        <v>7.5929284623537915E-2</v>
      </c>
      <c r="AE182">
        <f t="shared" si="74"/>
        <v>7.5929284623537915E-2</v>
      </c>
      <c r="AF182">
        <f t="shared" si="83"/>
        <v>1.5350284715358441E-2</v>
      </c>
      <c r="AG182">
        <f t="shared" si="79"/>
        <v>-2.6829010891223835</v>
      </c>
      <c r="AH182">
        <f t="shared" si="75"/>
        <v>2.6829010891223835</v>
      </c>
      <c r="AI182">
        <f t="shared" si="80"/>
        <v>1.5716891196853201E-2</v>
      </c>
      <c r="AJ182">
        <f t="shared" si="81"/>
        <v>-0.35870451019520094</v>
      </c>
      <c r="AK182">
        <f t="shared" si="76"/>
        <v>0.35870451019520094</v>
      </c>
      <c r="AL182">
        <f t="shared" si="91"/>
        <v>1.6580891939083853E-2</v>
      </c>
      <c r="AM182">
        <f t="shared" si="88"/>
        <v>5.1188515905463916</v>
      </c>
      <c r="AN182">
        <f t="shared" si="89"/>
        <v>5.1188515905463916</v>
      </c>
    </row>
    <row r="183" spans="2:46" x14ac:dyDescent="0.25">
      <c r="B183" s="170">
        <v>310</v>
      </c>
      <c r="C183" s="87">
        <v>1.54904</v>
      </c>
      <c r="D183" s="93">
        <v>28.465299999999999</v>
      </c>
      <c r="E183" s="89">
        <f>D183*0.5533/1000</f>
        <v>1.5749850490000002E-2</v>
      </c>
      <c r="F183" s="174"/>
      <c r="H183">
        <f t="shared" si="77"/>
        <v>1.408228623933433</v>
      </c>
      <c r="I183" s="8">
        <f t="shared" si="67"/>
        <v>4.9810719266786211E-3</v>
      </c>
      <c r="J183" s="8">
        <v>1749.3548931883499</v>
      </c>
      <c r="K183">
        <v>-369.06930000711998</v>
      </c>
      <c r="L183">
        <v>5423856.3488769103</v>
      </c>
      <c r="M183">
        <v>-2.2128385216835</v>
      </c>
      <c r="N183">
        <v>-269503.24793356902</v>
      </c>
      <c r="O183">
        <v>73145.021531826002</v>
      </c>
      <c r="P183">
        <v>5.34368649509278</v>
      </c>
      <c r="Q183">
        <f t="shared" si="84"/>
        <v>1.5469975128058901E-2</v>
      </c>
      <c r="R183">
        <f t="shared" si="68"/>
        <v>7.415324519602722E-4</v>
      </c>
      <c r="S183">
        <f t="shared" si="85"/>
        <v>0.51389326632231747</v>
      </c>
      <c r="T183">
        <f t="shared" si="69"/>
        <v>5.8951207403100657E-6</v>
      </c>
      <c r="U183">
        <f t="shared" si="86"/>
        <v>4.2716788350482221E-5</v>
      </c>
      <c r="W183" s="8">
        <v>310</v>
      </c>
      <c r="X183" s="63">
        <v>28.465299999999999</v>
      </c>
      <c r="Y183">
        <f>X183*0.5533/1000</f>
        <v>1.5749850490000002E-2</v>
      </c>
      <c r="Z183">
        <f t="shared" si="87"/>
        <v>1.5680498296818533E-2</v>
      </c>
      <c r="AA183">
        <f t="shared" si="90"/>
        <v>-0.44033556525188977</v>
      </c>
      <c r="AB183">
        <f t="shared" si="73"/>
        <v>0.44033556525188977</v>
      </c>
      <c r="AC183">
        <f t="shared" si="82"/>
        <v>1.5785448033956352E-2</v>
      </c>
      <c r="AD183">
        <f t="shared" si="78"/>
        <v>0.22601829762734785</v>
      </c>
      <c r="AE183">
        <f t="shared" si="74"/>
        <v>0.22601829762734785</v>
      </c>
      <c r="AF183">
        <f t="shared" si="83"/>
        <v>1.5350284715358441E-2</v>
      </c>
      <c r="AG183">
        <f t="shared" si="79"/>
        <v>-2.5369496357775279</v>
      </c>
      <c r="AH183">
        <f t="shared" si="75"/>
        <v>2.5369496357775279</v>
      </c>
      <c r="AI183">
        <f t="shared" si="80"/>
        <v>1.5716891196853201E-2</v>
      </c>
      <c r="AJ183">
        <f t="shared" si="81"/>
        <v>-0.20926733982476706</v>
      </c>
      <c r="AK183">
        <f t="shared" si="76"/>
        <v>0.20926733982476706</v>
      </c>
      <c r="AL183">
        <f t="shared" si="91"/>
        <v>1.649434029143345E-2</v>
      </c>
      <c r="AM183">
        <f t="shared" si="88"/>
        <v>4.7269642458266175</v>
      </c>
      <c r="AN183">
        <f t="shared" si="89"/>
        <v>4.7269642458266175</v>
      </c>
    </row>
    <row r="184" spans="2:46" x14ac:dyDescent="0.25">
      <c r="B184" s="170">
        <v>310</v>
      </c>
      <c r="C184" s="87">
        <v>1.2592699999999999</v>
      </c>
      <c r="D184" s="93">
        <v>22.802099999999999</v>
      </c>
      <c r="E184" s="89">
        <f>D184*0.6896/1000</f>
        <v>1.5724328159999999E-2</v>
      </c>
      <c r="F184" s="174"/>
      <c r="H184">
        <f t="shared" si="77"/>
        <v>1.408228623933433</v>
      </c>
      <c r="I184" s="8">
        <f t="shared" si="67"/>
        <v>4.9810719266786211E-3</v>
      </c>
      <c r="J184" s="8">
        <v>1749.3548931883499</v>
      </c>
      <c r="K184">
        <v>-369.06930000711998</v>
      </c>
      <c r="L184">
        <v>5423856.3488769103</v>
      </c>
      <c r="M184">
        <v>-2.2128385216835</v>
      </c>
      <c r="N184">
        <v>-269503.24793356902</v>
      </c>
      <c r="O184">
        <v>73145.021531826002</v>
      </c>
      <c r="P184">
        <v>5.34368649509278</v>
      </c>
      <c r="Q184">
        <f t="shared" si="84"/>
        <v>1.5469975128058901E-2</v>
      </c>
      <c r="R184">
        <f t="shared" si="68"/>
        <v>7.415324519602722E-4</v>
      </c>
      <c r="S184">
        <f t="shared" si="85"/>
        <v>0.51389326632231747</v>
      </c>
      <c r="T184">
        <f t="shared" si="69"/>
        <v>5.8951207403100657E-6</v>
      </c>
      <c r="U184">
        <f t="shared" si="86"/>
        <v>2.7322882092756233E-5</v>
      </c>
      <c r="W184" s="8">
        <v>310</v>
      </c>
      <c r="X184" s="63">
        <v>22.802099999999999</v>
      </c>
      <c r="Y184">
        <f>X184*0.6896/1000</f>
        <v>1.5724328159999999E-2</v>
      </c>
      <c r="Z184">
        <f t="shared" si="87"/>
        <v>1.563171914278428E-2</v>
      </c>
      <c r="AA184">
        <f t="shared" si="90"/>
        <v>-0.58895372999973616</v>
      </c>
      <c r="AB184">
        <f t="shared" si="73"/>
        <v>0.58895372999973616</v>
      </c>
      <c r="AC184">
        <f t="shared" si="82"/>
        <v>1.5785448033956352E-2</v>
      </c>
      <c r="AD184">
        <f t="shared" si="78"/>
        <v>0.3886962503862777</v>
      </c>
      <c r="AE184">
        <f t="shared" si="74"/>
        <v>0.3886962503862777</v>
      </c>
      <c r="AF184">
        <f t="shared" si="83"/>
        <v>1.5350284715358441E-2</v>
      </c>
      <c r="AG184">
        <f t="shared" si="79"/>
        <v>-2.3787562866632341</v>
      </c>
      <c r="AH184">
        <f t="shared" si="75"/>
        <v>2.3787562866632341</v>
      </c>
      <c r="AI184">
        <f t="shared" si="80"/>
        <v>1.5716891196853201E-2</v>
      </c>
      <c r="AJ184">
        <f t="shared" si="81"/>
        <v>-4.7295903972014164E-2</v>
      </c>
      <c r="AK184">
        <f t="shared" si="76"/>
        <v>4.7295903972014164E-2</v>
      </c>
      <c r="AL184">
        <f t="shared" si="91"/>
        <v>1.639770803109291E-2</v>
      </c>
      <c r="AM184">
        <f t="shared" si="88"/>
        <v>4.2824078983919618</v>
      </c>
      <c r="AN184">
        <f t="shared" si="89"/>
        <v>4.2824078983919618</v>
      </c>
    </row>
    <row r="185" spans="2:46" x14ac:dyDescent="0.25">
      <c r="B185" s="170">
        <v>310</v>
      </c>
      <c r="C185" s="87">
        <v>1.0180400000000001</v>
      </c>
      <c r="D185" s="93">
        <v>18.216200000000001</v>
      </c>
      <c r="E185" s="89">
        <f>D185*0.8635/1000</f>
        <v>1.5729688700000001E-2</v>
      </c>
      <c r="F185" s="174"/>
      <c r="H185">
        <f t="shared" si="77"/>
        <v>1.408228623933433</v>
      </c>
      <c r="I185" s="8">
        <f t="shared" si="67"/>
        <v>4.9810719266786211E-3</v>
      </c>
      <c r="J185" s="8">
        <v>1749.3548931883499</v>
      </c>
      <c r="K185">
        <v>-369.06930000711998</v>
      </c>
      <c r="L185">
        <v>5423856.3488769103</v>
      </c>
      <c r="M185">
        <v>-2.2128385216835</v>
      </c>
      <c r="N185">
        <v>-269503.24793356902</v>
      </c>
      <c r="O185">
        <v>73145.021531826002</v>
      </c>
      <c r="P185">
        <v>5.34368649509278</v>
      </c>
      <c r="Q185">
        <f t="shared" si="84"/>
        <v>1.5469975128058901E-2</v>
      </c>
      <c r="R185">
        <f t="shared" si="68"/>
        <v>7.415324519602722E-4</v>
      </c>
      <c r="S185">
        <f t="shared" si="85"/>
        <v>0.51389326632231747</v>
      </c>
      <c r="T185">
        <f t="shared" si="69"/>
        <v>5.8951207403100657E-6</v>
      </c>
      <c r="U185">
        <f t="shared" si="86"/>
        <v>1.739255299259773E-5</v>
      </c>
      <c r="W185" s="8">
        <v>310</v>
      </c>
      <c r="X185" s="63">
        <v>18.216200000000001</v>
      </c>
      <c r="Y185">
        <f>X185*0.8635/1000</f>
        <v>1.5729688700000001E-2</v>
      </c>
      <c r="Z185">
        <f t="shared" si="87"/>
        <v>1.5594754379481135E-2</v>
      </c>
      <c r="AA185">
        <f t="shared" si="90"/>
        <v>-0.85783211030022732</v>
      </c>
      <c r="AB185">
        <f t="shared" si="73"/>
        <v>0.85783211030022732</v>
      </c>
      <c r="AC185">
        <f t="shared" si="82"/>
        <v>1.5785448033956352E-2</v>
      </c>
      <c r="AD185">
        <f t="shared" si="78"/>
        <v>0.35448466285509594</v>
      </c>
      <c r="AE185">
        <f t="shared" si="74"/>
        <v>0.35448466285509594</v>
      </c>
      <c r="AF185">
        <f t="shared" si="83"/>
        <v>1.5350284715358441E-2</v>
      </c>
      <c r="AG185">
        <f t="shared" si="79"/>
        <v>-2.412024750633238</v>
      </c>
      <c r="AH185">
        <f t="shared" si="75"/>
        <v>2.412024750633238</v>
      </c>
      <c r="AI185">
        <f t="shared" si="80"/>
        <v>1.5716891196853201E-2</v>
      </c>
      <c r="AJ185">
        <f t="shared" si="81"/>
        <v>-8.135890919952167E-2</v>
      </c>
      <c r="AK185">
        <f t="shared" si="76"/>
        <v>8.135890919952167E-2</v>
      </c>
      <c r="AL185">
        <f t="shared" si="91"/>
        <v>1.6348253532577416E-2</v>
      </c>
      <c r="AM185">
        <f t="shared" si="88"/>
        <v>3.9324670969325366</v>
      </c>
      <c r="AN185">
        <f t="shared" si="89"/>
        <v>3.9324670969325366</v>
      </c>
    </row>
    <row r="186" spans="2:46" x14ac:dyDescent="0.25">
      <c r="B186" s="170">
        <v>310</v>
      </c>
      <c r="C186" s="87">
        <v>0.77376</v>
      </c>
      <c r="D186" s="93">
        <v>13.683999999999999</v>
      </c>
      <c r="E186" s="89">
        <f>D186*1.1495/1000</f>
        <v>1.5729758E-2</v>
      </c>
      <c r="F186" s="174"/>
      <c r="H186">
        <f t="shared" si="77"/>
        <v>1.408228623933433</v>
      </c>
      <c r="I186" s="8">
        <f t="shared" si="67"/>
        <v>4.9810719266786211E-3</v>
      </c>
      <c r="J186" s="8">
        <v>1749.3548931883499</v>
      </c>
      <c r="K186">
        <v>-369.06930000711998</v>
      </c>
      <c r="L186">
        <v>5423856.3488769103</v>
      </c>
      <c r="M186">
        <v>-2.2128385216835</v>
      </c>
      <c r="N186">
        <v>-269503.24793356902</v>
      </c>
      <c r="O186">
        <v>73145.021531826002</v>
      </c>
      <c r="P186">
        <v>5.34368649509278</v>
      </c>
      <c r="Q186">
        <f t="shared" si="84"/>
        <v>1.5469975128058901E-2</v>
      </c>
      <c r="R186">
        <f t="shared" si="68"/>
        <v>7.415324519602722E-4</v>
      </c>
      <c r="S186">
        <f t="shared" si="85"/>
        <v>0.51389326632231747</v>
      </c>
      <c r="T186">
        <f t="shared" si="69"/>
        <v>5.8951207403100657E-6</v>
      </c>
      <c r="U186">
        <f t="shared" si="86"/>
        <v>9.7893796532278523E-6</v>
      </c>
      <c r="W186" s="8">
        <v>310</v>
      </c>
      <c r="X186" s="63">
        <v>13.683999999999999</v>
      </c>
      <c r="Y186">
        <f>X186*1.1495/1000</f>
        <v>1.5729758E-2</v>
      </c>
      <c r="Z186">
        <f t="shared" si="87"/>
        <v>1.5560433339922533E-2</v>
      </c>
      <c r="AA186">
        <f t="shared" si="90"/>
        <v>-1.0764606809428783</v>
      </c>
      <c r="AB186">
        <f t="shared" si="73"/>
        <v>1.0764606809428783</v>
      </c>
      <c r="AC186">
        <f t="shared" si="82"/>
        <v>1.5785448033956352E-2</v>
      </c>
      <c r="AD186">
        <f t="shared" si="78"/>
        <v>0.35404253489692733</v>
      </c>
      <c r="AE186">
        <f t="shared" si="74"/>
        <v>0.35404253489692733</v>
      </c>
      <c r="AF186">
        <f t="shared" si="83"/>
        <v>1.5350284715358441E-2</v>
      </c>
      <c r="AG186">
        <f t="shared" si="79"/>
        <v>-2.4124546902854993</v>
      </c>
      <c r="AH186">
        <f t="shared" si="75"/>
        <v>2.4124546902854993</v>
      </c>
      <c r="AI186">
        <f t="shared" si="80"/>
        <v>1.5716891196853201E-2</v>
      </c>
      <c r="AJ186">
        <f t="shared" si="81"/>
        <v>-8.1799116978146347E-2</v>
      </c>
      <c r="AK186">
        <f t="shared" si="76"/>
        <v>8.1799116978146347E-2</v>
      </c>
      <c r="AL186">
        <f t="shared" si="91"/>
        <v>1.6296575238521207E-2</v>
      </c>
      <c r="AM186">
        <f t="shared" si="88"/>
        <v>3.6034708132267959</v>
      </c>
      <c r="AN186">
        <f t="shared" si="89"/>
        <v>3.6034708132267959</v>
      </c>
    </row>
    <row r="187" spans="2:46" x14ac:dyDescent="0.25">
      <c r="B187" s="170">
        <v>310</v>
      </c>
      <c r="C187" s="87">
        <v>0.55205000000000004</v>
      </c>
      <c r="D187" s="93">
        <v>9.6624300000000005</v>
      </c>
      <c r="E187" s="89">
        <f>D187*1.63/1000</f>
        <v>1.57497609E-2</v>
      </c>
      <c r="F187" s="174"/>
      <c r="H187">
        <f t="shared" si="77"/>
        <v>1.408228623933433</v>
      </c>
      <c r="I187" s="8">
        <f t="shared" si="67"/>
        <v>4.9810719266786211E-3</v>
      </c>
      <c r="J187" s="8">
        <v>1749.3548931883499</v>
      </c>
      <c r="K187">
        <v>-369.06930000711998</v>
      </c>
      <c r="L187">
        <v>5423856.3488769103</v>
      </c>
      <c r="M187">
        <v>-2.2128385216835</v>
      </c>
      <c r="N187">
        <v>-269503.24793356902</v>
      </c>
      <c r="O187">
        <v>73145.021531826002</v>
      </c>
      <c r="P187">
        <v>5.34368649509278</v>
      </c>
      <c r="Q187">
        <f t="shared" si="84"/>
        <v>1.5469975128058901E-2</v>
      </c>
      <c r="R187">
        <f t="shared" si="68"/>
        <v>7.415324519602722E-4</v>
      </c>
      <c r="S187">
        <f t="shared" si="85"/>
        <v>0.51389326632231747</v>
      </c>
      <c r="T187">
        <f t="shared" si="69"/>
        <v>5.8951207403100657E-6</v>
      </c>
      <c r="U187">
        <f t="shared" si="86"/>
        <v>4.8697499706268941E-6</v>
      </c>
      <c r="W187" s="8">
        <v>310</v>
      </c>
      <c r="X187" s="63">
        <v>9.6624300000000005</v>
      </c>
      <c r="Y187">
        <f>X187*1.63/1000</f>
        <v>1.57497609E-2</v>
      </c>
      <c r="Z187">
        <f t="shared" si="87"/>
        <v>1.5531806069524321E-2</v>
      </c>
      <c r="AA187">
        <f t="shared" si="90"/>
        <v>-1.3838612018273808</v>
      </c>
      <c r="AB187">
        <f t="shared" si="73"/>
        <v>1.3838612018273808</v>
      </c>
      <c r="AC187">
        <f t="shared" si="82"/>
        <v>1.5785448033956352E-2</v>
      </c>
      <c r="AD187">
        <f t="shared" si="78"/>
        <v>0.2265884173286242</v>
      </c>
      <c r="AE187">
        <f t="shared" si="74"/>
        <v>0.2265884173286242</v>
      </c>
      <c r="AF187">
        <f t="shared" si="83"/>
        <v>1.5350284715358441E-2</v>
      </c>
      <c r="AG187">
        <f t="shared" si="79"/>
        <v>-2.5363952327781578</v>
      </c>
      <c r="AH187">
        <f t="shared" si="75"/>
        <v>2.5363952327781578</v>
      </c>
      <c r="AI187">
        <f t="shared" si="80"/>
        <v>1.5716891196853201E-2</v>
      </c>
      <c r="AJ187">
        <f t="shared" si="81"/>
        <v>-0.20869969617633416</v>
      </c>
      <c r="AK187">
        <f t="shared" si="76"/>
        <v>0.20869969617633416</v>
      </c>
      <c r="AL187">
        <f t="shared" si="91"/>
        <v>1.6272675103456213E-2</v>
      </c>
      <c r="AM187">
        <f t="shared" si="88"/>
        <v>3.3201405835704656</v>
      </c>
      <c r="AN187">
        <f t="shared" si="89"/>
        <v>3.3201405835704656</v>
      </c>
    </row>
    <row r="188" spans="2:46" ht="15.75" thickBot="1" x14ac:dyDescent="0.3">
      <c r="B188" s="175">
        <v>310</v>
      </c>
      <c r="C188" s="176">
        <v>0.34208</v>
      </c>
      <c r="D188" s="177">
        <v>5.9302299999999999</v>
      </c>
      <c r="E188" s="178">
        <f>D188*2.661/1000</f>
        <v>1.5780342029999998E-2</v>
      </c>
      <c r="F188" s="179"/>
      <c r="H188">
        <f t="shared" si="77"/>
        <v>1.408228623933433</v>
      </c>
      <c r="I188" s="8">
        <f t="shared" si="67"/>
        <v>4.9810719266786211E-3</v>
      </c>
      <c r="J188" s="8">
        <v>1749.3548931883499</v>
      </c>
      <c r="K188">
        <v>-369.06930000711998</v>
      </c>
      <c r="L188">
        <v>5423856.3488769103</v>
      </c>
      <c r="M188">
        <v>-2.2128385216835</v>
      </c>
      <c r="N188">
        <v>-269503.24793356902</v>
      </c>
      <c r="O188">
        <v>73145.021531826002</v>
      </c>
      <c r="P188">
        <v>5.34368649509278</v>
      </c>
      <c r="Q188">
        <f t="shared" si="84"/>
        <v>1.5469975128058901E-2</v>
      </c>
      <c r="R188">
        <f t="shared" si="68"/>
        <v>7.415324519602722E-4</v>
      </c>
      <c r="S188">
        <f t="shared" si="85"/>
        <v>0.51389326632231747</v>
      </c>
      <c r="T188">
        <f t="shared" si="69"/>
        <v>5.8951207403100657E-6</v>
      </c>
      <c r="U188">
        <f t="shared" si="86"/>
        <v>1.8304230513351643E-6</v>
      </c>
      <c r="W188" s="57">
        <v>310</v>
      </c>
      <c r="X188" s="64">
        <v>5.9302299999999999</v>
      </c>
      <c r="Y188" s="25">
        <f>X188*2.661/1000</f>
        <v>1.5780342029999998E-2</v>
      </c>
      <c r="Z188" s="25">
        <f t="shared" si="87"/>
        <v>1.5506764972978045E-2</v>
      </c>
      <c r="AA188" s="25">
        <f t="shared" si="90"/>
        <v>-1.7336573345612947</v>
      </c>
      <c r="AB188" s="25">
        <f t="shared" si="73"/>
        <v>1.7336573345612947</v>
      </c>
      <c r="AC188" s="25">
        <f t="shared" si="82"/>
        <v>1.5785448033956352E-2</v>
      </c>
      <c r="AD188" s="25">
        <f t="shared" si="78"/>
        <v>3.2356738191395562E-2</v>
      </c>
      <c r="AE188" s="25">
        <f t="shared" si="74"/>
        <v>3.2356738191395562E-2</v>
      </c>
      <c r="AF188" s="25">
        <f t="shared" si="83"/>
        <v>1.5350284715358441E-2</v>
      </c>
      <c r="AG188" s="25">
        <f t="shared" si="79"/>
        <v>-2.7252724549567762</v>
      </c>
      <c r="AH188">
        <f t="shared" si="75"/>
        <v>2.7252724549567762</v>
      </c>
      <c r="AI188" s="25">
        <f t="shared" si="80"/>
        <v>1.5716891196853201E-2</v>
      </c>
      <c r="AJ188" s="25">
        <f t="shared" si="81"/>
        <v>-0.40208781930183363</v>
      </c>
      <c r="AK188" s="25">
        <f t="shared" si="76"/>
        <v>0.40208781930183363</v>
      </c>
      <c r="AL188" s="25">
        <f t="shared" si="91"/>
        <v>1.6264203823660374E-2</v>
      </c>
      <c r="AM188" s="25">
        <f t="shared" si="88"/>
        <v>3.0662313449258973</v>
      </c>
      <c r="AN188" s="25">
        <f t="shared" si="89"/>
        <v>3.0662313449258973</v>
      </c>
      <c r="AO188" s="25"/>
      <c r="AR188" s="25"/>
    </row>
    <row r="189" spans="2:46" x14ac:dyDescent="0.25">
      <c r="W189" s="45" t="s">
        <v>145</v>
      </c>
      <c r="AA189" s="44">
        <f>1/COUNT(AA4:AA188)*SUM(AA4:AA188)</f>
        <v>-0.50344689809649634</v>
      </c>
      <c r="AB189" s="44">
        <f>1/COUNT(AB4:AB188)*SUM(AB4:AB188)</f>
        <v>0.74924118578778476</v>
      </c>
      <c r="AD189" s="44">
        <f>1/COUNT(AD77:AD188)*SUM(AD77:AD188)</f>
        <v>0.15103344189832354</v>
      </c>
      <c r="AE189" s="44">
        <f>1/COUNT(AE77:AE188)*SUM(AE77:AE188)</f>
        <v>0.80568049746716597</v>
      </c>
      <c r="AF189" s="45"/>
      <c r="AG189" s="44">
        <f>1/COUNT(AG77:AG188)*SUM(AG77:AG188)</f>
        <v>-2.4942695176527363</v>
      </c>
      <c r="AH189" s="44">
        <f>1/COUNT(AH77:AH188)*SUM(AH77:AH188)</f>
        <v>2.4942695176527363</v>
      </c>
      <c r="AJ189" s="44">
        <f>1/COUNT(AJ77:AJ188)*SUM(AJ77:AJ188)</f>
        <v>3.0272826632804284E-2</v>
      </c>
      <c r="AK189" s="44">
        <f>1/COUNT(AK77:AK188)*SUM(AK77:AK188)</f>
        <v>0.78216564805527489</v>
      </c>
      <c r="AM189" s="44">
        <f>1/COUNT(AM77:AM188)*SUM(AM77:AM188)</f>
        <v>4.6948177440614547</v>
      </c>
      <c r="AN189" s="44">
        <f>1/COUNT(AN77:AN188)*SUM(AN77:AN188)</f>
        <v>4.6948177440614547</v>
      </c>
      <c r="AP189" s="44">
        <f>1/COUNT(AP4:AP76)*SUM(AP4:AP76)</f>
        <v>2.3592892918060158</v>
      </c>
      <c r="AQ189" s="44">
        <f>1/COUNT(AQ4:AQ76)*SUM(AQ4:AQ76)</f>
        <v>3.1049280584897359</v>
      </c>
      <c r="AS189" s="44">
        <f>1/COUNT(AS4:AS76)*SUM(AS4:AS76)</f>
        <v>1.4409387675340599</v>
      </c>
      <c r="AT189" s="44">
        <f>1/COUNT(AT4:AT76)*SUM(AT4:AT76)</f>
        <v>2.2322546980851441</v>
      </c>
    </row>
    <row r="190" spans="2:46" x14ac:dyDescent="0.25">
      <c r="AA190" t="s">
        <v>294</v>
      </c>
      <c r="AD190" t="s">
        <v>295</v>
      </c>
      <c r="AG190" t="s">
        <v>296</v>
      </c>
      <c r="AJ190" t="s">
        <v>297</v>
      </c>
      <c r="AP190" t="s">
        <v>298</v>
      </c>
      <c r="AS190" t="s">
        <v>299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8"/>
  <dimension ref="B2:T72"/>
  <sheetViews>
    <sheetView topLeftCell="A65" workbookViewId="0">
      <selection activeCell="G78" sqref="G78"/>
    </sheetView>
  </sheetViews>
  <sheetFormatPr defaultRowHeight="15" x14ac:dyDescent="0.25"/>
  <cols>
    <col min="5" max="5" width="14.5703125" customWidth="1"/>
    <col min="6" max="6" width="15.28515625" customWidth="1"/>
    <col min="7" max="9" width="12.5703125" customWidth="1"/>
    <col min="11" max="11" width="12.7109375" customWidth="1"/>
    <col min="12" max="12" width="12.42578125" customWidth="1"/>
    <col min="13" max="13" width="14.28515625" customWidth="1"/>
    <col min="17" max="17" width="12.7109375" customWidth="1"/>
    <col min="18" max="18" width="14.140625" customWidth="1"/>
  </cols>
  <sheetData>
    <row r="2" spans="2:20" x14ac:dyDescent="0.25">
      <c r="B2" s="21" t="s">
        <v>246</v>
      </c>
      <c r="C2" s="21"/>
      <c r="D2" s="21"/>
      <c r="E2" s="21"/>
      <c r="F2" s="21"/>
      <c r="G2" t="s">
        <v>300</v>
      </c>
      <c r="O2" s="21" t="s">
        <v>180</v>
      </c>
      <c r="P2" s="21"/>
      <c r="Q2" s="21"/>
      <c r="R2" s="21"/>
      <c r="S2" s="21"/>
      <c r="T2" s="21"/>
    </row>
    <row r="3" spans="2:20" x14ac:dyDescent="0.25">
      <c r="B3" s="1" t="s">
        <v>1</v>
      </c>
      <c r="C3" s="155" t="s">
        <v>0</v>
      </c>
      <c r="D3" s="155" t="s">
        <v>162</v>
      </c>
      <c r="E3" s="156" t="s">
        <v>179</v>
      </c>
      <c r="F3" s="156" t="s">
        <v>139</v>
      </c>
      <c r="G3" s="48"/>
      <c r="H3" s="46" t="s">
        <v>188</v>
      </c>
      <c r="I3" s="46" t="s">
        <v>186</v>
      </c>
      <c r="J3" s="46" t="s">
        <v>185</v>
      </c>
      <c r="K3" s="46" t="s">
        <v>183</v>
      </c>
      <c r="L3" s="46" t="s">
        <v>184</v>
      </c>
      <c r="M3" s="46" t="s">
        <v>187</v>
      </c>
      <c r="O3" s="1" t="s">
        <v>1</v>
      </c>
      <c r="P3" s="1" t="s">
        <v>162</v>
      </c>
      <c r="Q3" s="46" t="s">
        <v>179</v>
      </c>
      <c r="R3" s="46" t="s">
        <v>181</v>
      </c>
      <c r="S3" s="46" t="s">
        <v>182</v>
      </c>
      <c r="T3" s="46" t="s">
        <v>149</v>
      </c>
    </row>
    <row r="4" spans="2:20" x14ac:dyDescent="0.25">
      <c r="B4" s="80">
        <f>25.3+273.15</f>
        <v>298.45</v>
      </c>
      <c r="C4" s="85">
        <v>0.1</v>
      </c>
      <c r="D4" s="110">
        <v>1.7823800000000001</v>
      </c>
      <c r="E4" s="85">
        <v>1.6500000000000001E-2</v>
      </c>
      <c r="F4" s="49" t="s">
        <v>309</v>
      </c>
      <c r="G4" s="8"/>
      <c r="H4" s="8">
        <f>D4/467.6</f>
        <v>3.8117621899059024E-3</v>
      </c>
      <c r="I4">
        <v>1.0012800000000001E-2</v>
      </c>
      <c r="J4">
        <v>4.3082900000000002E-3</v>
      </c>
      <c r="K4">
        <f>SQRT(B4/304.1282)/(0.0151874307+0.028067404/(B4/304.1282)+0.022856419/((B4/304.1282)^2)-0.0074162421/(B4/304.1282)^3)</f>
        <v>16.600097938542365</v>
      </c>
      <c r="L4">
        <f>(I4+J4*(B4/304.1282))*(D4/467.6)+(I5+J5*(B4/304.1282))*((D4/467.6)^2)+(I6+J6*(B4/304.1282))*((D4/467.6)^3)+(I7+J7*(B4/304.1282))*((D4/467.6)^4)+(I8+J8*(B4/304.1282))*((D4/467.6)^5)+(I9+J9*(B4/304.1282))*((D4/467.6)^6)</f>
        <v>5.4584251658557767E-5</v>
      </c>
      <c r="M4">
        <f>(-17.47-44.88*(-1+B4/304.1282))/(0.8563-EXP(8.865*(-1+B4/304.1282)+4.16*(H4-1)^2+2.302*(-1+B4/304.1282)*(H4-1)-(H4-1)^3)-0.4503*(H4-1)-7.197*(-1+B4/304.1282))</f>
        <v>0.11382161381886294</v>
      </c>
      <c r="O4" s="8">
        <f>25.3+273.15</f>
        <v>298.45</v>
      </c>
      <c r="P4" s="59">
        <v>1.7823800000000001</v>
      </c>
      <c r="Q4" s="8">
        <v>1.6500000000000001E-2</v>
      </c>
      <c r="R4">
        <f>(K4+M4)/1000 +L4</f>
        <v>1.6768503804019789E-2</v>
      </c>
      <c r="S4">
        <f>100*(R4-Q4)/Q4</f>
        <v>1.6272957819381093</v>
      </c>
      <c r="T4">
        <f>ABS(S4)</f>
        <v>1.6272957819381093</v>
      </c>
    </row>
    <row r="5" spans="2:20" x14ac:dyDescent="0.25">
      <c r="B5" s="81">
        <f t="shared" ref="B5:B16" si="0">25.3+273.15</f>
        <v>298.45</v>
      </c>
      <c r="C5" s="56">
        <v>0.57999999999999996</v>
      </c>
      <c r="D5" s="111">
        <v>10.5968</v>
      </c>
      <c r="E5" s="56">
        <v>1.694E-2</v>
      </c>
      <c r="F5" s="49" t="s">
        <v>310</v>
      </c>
      <c r="G5" s="8"/>
      <c r="H5" s="8">
        <f t="shared" ref="H5:H62" si="1">D5/467.6</f>
        <v>2.2662104362703165E-2</v>
      </c>
      <c r="I5">
        <v>5.6048800000000003E-2</v>
      </c>
      <c r="J5">
        <v>-3.5856300000000001E-2</v>
      </c>
      <c r="K5">
        <f t="shared" ref="K5:K61" si="2">SQRT(B5/304.1282)/(0.0151874307+0.028067404/(B5/304.1282)+0.022856419/((B5/304.1282)^2)-0.0074162421/(B5/304.1282)^3)</f>
        <v>16.600097938542365</v>
      </c>
      <c r="L5">
        <f>(I4+J4*(B4/304.1282))*(D5/467.6)+(I5+J5*(B4/304.1282))*((D5/467.6)^2)+(I6+J6*(B4/304.1282))*((D5/467.6)^3)+(I7+J7*(B4/304.1282))*((D5/467.6)^4)+(I8+J8*(B4/304.1282))*((D5/467.6)^5)+(I9+J9*(B4/304.1282))*((D5/467.6)^6)</f>
        <v>3.3326246351776049E-4</v>
      </c>
      <c r="M5">
        <f t="shared" ref="M5:M62" si="3">(-17.47-44.88*(-1+B5/304.1282))/(0.8563-EXP(8.865*(-1+B5/304.1282)+4.16*(H5-1)^2+2.302*(-1+B5/304.1282)*(H5-1)-(H5-1)^3)-0.4503*(H5-1)-7.197*(-1+B5/304.1282))</f>
        <v>0.14082346120938244</v>
      </c>
      <c r="O5" s="8">
        <f t="shared" ref="O5:O16" si="4">25.3+273.15</f>
        <v>298.45</v>
      </c>
      <c r="P5" s="59">
        <v>10.5968</v>
      </c>
      <c r="Q5" s="8">
        <v>1.694E-2</v>
      </c>
      <c r="R5">
        <f t="shared" ref="R5:R15" si="5">(K5+M5)/1000 +L5</f>
        <v>1.7074183863269508E-2</v>
      </c>
      <c r="S5">
        <f t="shared" ref="S5:S15" si="6">100*(R5-Q5)/Q5</f>
        <v>0.7921125340584857</v>
      </c>
      <c r="T5">
        <f t="shared" ref="T5:T68" si="7">ABS(S5)</f>
        <v>0.7921125340584857</v>
      </c>
    </row>
    <row r="6" spans="2:20" x14ac:dyDescent="0.25">
      <c r="B6" s="81">
        <f t="shared" si="0"/>
        <v>298.45</v>
      </c>
      <c r="C6" s="56">
        <v>1.07</v>
      </c>
      <c r="D6" s="111">
        <v>20.081600000000002</v>
      </c>
      <c r="E6" s="56">
        <v>1.7260000000000001E-2</v>
      </c>
      <c r="F6" s="49"/>
      <c r="G6" s="8"/>
      <c r="H6" s="8">
        <f t="shared" si="1"/>
        <v>4.2946107784431142E-2</v>
      </c>
      <c r="I6">
        <v>-8.1161999999999998E-2</v>
      </c>
      <c r="J6">
        <v>6.7147999999999999E-2</v>
      </c>
      <c r="K6">
        <f t="shared" si="2"/>
        <v>16.600097938542365</v>
      </c>
      <c r="L6">
        <f>(I4+J4*(B4/304.1282))*(D6/467.6)+(I5+J5*(B4/304.1282))*((D6/467.6)^2)+(I6+J6*(B4/304.1282))*((D6/467.6)^3)+(I7+J7*(B4/304.1282))*((D6/467.6)^4)+(I8+J8*(B4/304.1282))*((D6/467.6)^5)+(I9+J9*(B4/304.1282))*((D6/467.6)^6)</f>
        <v>6.4888571950209016E-4</v>
      </c>
      <c r="M6">
        <f t="shared" si="3"/>
        <v>0.17616782834339761</v>
      </c>
      <c r="O6" s="8">
        <f t="shared" si="4"/>
        <v>298.45</v>
      </c>
      <c r="P6" s="59">
        <v>20.081600000000002</v>
      </c>
      <c r="Q6" s="8">
        <v>1.7260000000000001E-2</v>
      </c>
      <c r="R6">
        <f t="shared" si="5"/>
        <v>1.7425151486387857E-2</v>
      </c>
      <c r="S6">
        <f t="shared" si="6"/>
        <v>0.95684522820310469</v>
      </c>
      <c r="T6">
        <f t="shared" si="7"/>
        <v>0.95684522820310469</v>
      </c>
    </row>
    <row r="7" spans="2:20" x14ac:dyDescent="0.25">
      <c r="B7" s="81">
        <f t="shared" si="0"/>
        <v>298.45</v>
      </c>
      <c r="C7" s="56">
        <v>1.17</v>
      </c>
      <c r="D7" s="111">
        <v>22.084</v>
      </c>
      <c r="E7" s="56">
        <v>1.7170000000000001E-2</v>
      </c>
      <c r="F7" s="49"/>
      <c r="G7" s="8"/>
      <c r="H7" s="8">
        <f t="shared" si="1"/>
        <v>4.7228400342172794E-2</v>
      </c>
      <c r="I7">
        <v>6.2433700000000002E-2</v>
      </c>
      <c r="J7">
        <v>-5.2285499999999999E-2</v>
      </c>
      <c r="K7">
        <f t="shared" si="2"/>
        <v>16.600097938542365</v>
      </c>
      <c r="L7">
        <f>(I4+J4*(B4/304.1282))*(D7/467.6)+(I5+J5*(B4/304.1282))*((D7/467.6)^2)+(I6+J6*(B4/304.1282))*((D7/467.6)^3)+(I7+J7*(B4/304.1282))*((D7/467.6)^4)+(I8+J8*(B4/304.1282))*((D7/467.6)^5)+(I9+J9*(B4/304.1282))*((D7/467.6)^6)</f>
        <v>7.1754244493541625E-4</v>
      </c>
      <c r="M7">
        <f t="shared" si="3"/>
        <v>0.18457288727230028</v>
      </c>
      <c r="O7" s="8">
        <f t="shared" si="4"/>
        <v>298.45</v>
      </c>
      <c r="P7" s="59">
        <v>22.084</v>
      </c>
      <c r="Q7" s="8">
        <v>1.7170000000000001E-2</v>
      </c>
      <c r="R7">
        <f t="shared" si="5"/>
        <v>1.7502213270750081E-2</v>
      </c>
      <c r="S7">
        <f t="shared" si="6"/>
        <v>1.9348472379154336</v>
      </c>
      <c r="T7">
        <f t="shared" si="7"/>
        <v>1.9348472379154336</v>
      </c>
    </row>
    <row r="8" spans="2:20" x14ac:dyDescent="0.25">
      <c r="B8" s="81">
        <f t="shared" si="0"/>
        <v>298.45</v>
      </c>
      <c r="C8" s="56">
        <v>1.55</v>
      </c>
      <c r="D8" s="111">
        <v>29.9207</v>
      </c>
      <c r="E8" s="56">
        <v>1.7649999999999999E-2</v>
      </c>
      <c r="F8" s="49"/>
      <c r="G8" s="8"/>
      <c r="H8" s="8">
        <f t="shared" si="1"/>
        <v>6.3987810094097514E-2</v>
      </c>
      <c r="I8">
        <v>-2.0633599999999998E-2</v>
      </c>
      <c r="J8">
        <v>1.74571E-2</v>
      </c>
      <c r="K8">
        <f t="shared" si="2"/>
        <v>16.600097938542365</v>
      </c>
      <c r="L8">
        <f>(I4+J4*(B4/304.1282))*(D8/467.6)+(I5+J5*(B4/304.1282))*((D8/467.6)^2)+(I6+J6*(B4/304.1282))*((D8/467.6)^3)+(I7+J7*(B4/304.1282))*((D8/467.6)^4)+(I8+J8*(B4/304.1282))*((D8/467.6)^5)+(I9+J9*(B4/304.1282))*((D8/467.6)^6)</f>
        <v>9.9282890519686675E-4</v>
      </c>
      <c r="M8">
        <f t="shared" si="3"/>
        <v>0.22101972968589564</v>
      </c>
      <c r="O8" s="8">
        <f t="shared" si="4"/>
        <v>298.45</v>
      </c>
      <c r="P8" s="59">
        <v>29.9207</v>
      </c>
      <c r="Q8" s="8">
        <v>1.7649999999999999E-2</v>
      </c>
      <c r="R8">
        <f t="shared" si="5"/>
        <v>1.7813946573425127E-2</v>
      </c>
      <c r="S8">
        <f t="shared" si="6"/>
        <v>0.92887577011404221</v>
      </c>
      <c r="T8">
        <f t="shared" si="7"/>
        <v>0.92887577011404221</v>
      </c>
    </row>
    <row r="9" spans="2:20" x14ac:dyDescent="0.25">
      <c r="B9" s="81">
        <f t="shared" si="0"/>
        <v>298.45</v>
      </c>
      <c r="C9" s="56">
        <v>2.04</v>
      </c>
      <c r="D9" s="111">
        <v>40.615900000000003</v>
      </c>
      <c r="E9" s="56">
        <v>1.8200000000000001E-2</v>
      </c>
      <c r="F9" s="49"/>
      <c r="G9" s="8"/>
      <c r="H9" s="8">
        <f t="shared" si="1"/>
        <v>8.6860350727117203E-2</v>
      </c>
      <c r="I9">
        <v>2.5324800000000001E-3</v>
      </c>
      <c r="J9">
        <v>-1.9641400000000001E-3</v>
      </c>
      <c r="K9">
        <f t="shared" si="2"/>
        <v>16.600097938542365</v>
      </c>
      <c r="L9">
        <f>(I4+J4*(B4/304.1282))*(D9/467.6)+(I5+J5*(B4/304.1282))*((D9/467.6)^2)+(I6+J6*(B4/304.1282))*((D9/467.6)^3)+(I7+J7*(B4/304.1282))*((D9/467.6)^4)+(I8+J8*(B4/304.1282))*((D9/467.6)^5)+(I9+J9*(B4/304.1282))*((D9/467.6)^6)</f>
        <v>1.3849563596125781E-3</v>
      </c>
      <c r="M9">
        <f t="shared" si="3"/>
        <v>0.28108725281984082</v>
      </c>
      <c r="O9" s="8">
        <f t="shared" si="4"/>
        <v>298.45</v>
      </c>
      <c r="P9" s="59">
        <v>40.615900000000003</v>
      </c>
      <c r="Q9" s="8">
        <v>1.8200000000000001E-2</v>
      </c>
      <c r="R9">
        <f t="shared" si="5"/>
        <v>1.8266141550974786E-2</v>
      </c>
      <c r="S9">
        <f t="shared" si="6"/>
        <v>0.36341511524607339</v>
      </c>
      <c r="T9">
        <f t="shared" si="7"/>
        <v>0.36341511524607339</v>
      </c>
    </row>
    <row r="10" spans="2:20" x14ac:dyDescent="0.25">
      <c r="B10" s="81">
        <f t="shared" si="0"/>
        <v>298.45</v>
      </c>
      <c r="C10" s="56">
        <v>2.52</v>
      </c>
      <c r="D10" s="111">
        <v>51.8461</v>
      </c>
      <c r="E10" s="56">
        <v>1.873E-2</v>
      </c>
      <c r="F10" s="49"/>
      <c r="G10" s="8"/>
      <c r="H10" s="8">
        <f t="shared" si="1"/>
        <v>0.11087703165098374</v>
      </c>
      <c r="I10" s="8"/>
      <c r="K10">
        <f t="shared" si="2"/>
        <v>16.600097938542365</v>
      </c>
      <c r="L10">
        <f>(I4+J4*(B4/304.1282))*(D10/467.6)+(I5+J5*(B4/304.1282))*((D10/467.6)^2)+(I6+J6*(B4/304.1282))*((D10/467.6)^3)+(I7+J7*(B4/304.1282))*((D10/467.6)^4)+(I8+J8*(B4/304.1282))*((D10/467.6)^5)+(I9+J9*(B4/304.1282))*((D10/467.6)^6)</f>
        <v>1.8162446746635163E-3</v>
      </c>
      <c r="M10">
        <f t="shared" si="3"/>
        <v>0.35941315672258739</v>
      </c>
      <c r="O10" s="8">
        <f t="shared" si="4"/>
        <v>298.45</v>
      </c>
      <c r="P10" s="59">
        <v>51.8461</v>
      </c>
      <c r="Q10" s="8">
        <v>1.873E-2</v>
      </c>
      <c r="R10">
        <f t="shared" si="5"/>
        <v>1.8775755769928473E-2</v>
      </c>
      <c r="S10">
        <f t="shared" si="6"/>
        <v>0.24429135039227529</v>
      </c>
      <c r="T10">
        <f t="shared" si="7"/>
        <v>0.24429135039227529</v>
      </c>
    </row>
    <row r="11" spans="2:20" x14ac:dyDescent="0.25">
      <c r="B11" s="81">
        <f t="shared" si="0"/>
        <v>298.45</v>
      </c>
      <c r="C11" s="56">
        <v>3</v>
      </c>
      <c r="D11" s="111">
        <v>63.972900000000003</v>
      </c>
      <c r="E11" s="56">
        <v>1.9210000000000001E-2</v>
      </c>
      <c r="F11" s="49"/>
      <c r="G11" s="8"/>
      <c r="H11" s="8">
        <f t="shared" si="1"/>
        <v>0.1368111633875107</v>
      </c>
      <c r="I11" s="8"/>
      <c r="K11">
        <f t="shared" si="2"/>
        <v>16.600097938542365</v>
      </c>
      <c r="L11">
        <f>(I4+J4*(B4/304.1282))*(D11/467.6)+(I5+J5*(B4/304.1282))*((D11/467.6)^2)+(I6+J6*(B4/304.1282))*((D11/467.6)^3)+(I7+J7*(B4/304.1282))*((D11/467.6)^4)+(I8+J8*(B4/304.1282))*((D11/467.6)^5)+(I9+J9*(B4/304.1282))*((D11/467.6)^6)</f>
        <v>2.3033964257548993E-3</v>
      </c>
      <c r="M11">
        <f t="shared" si="3"/>
        <v>0.46526632323996475</v>
      </c>
      <c r="O11" s="8">
        <f t="shared" si="4"/>
        <v>298.45</v>
      </c>
      <c r="P11" s="59">
        <v>63.972900000000003</v>
      </c>
      <c r="Q11" s="8">
        <v>1.9210000000000001E-2</v>
      </c>
      <c r="R11">
        <f t="shared" si="5"/>
        <v>1.9368760687537231E-2</v>
      </c>
      <c r="S11">
        <f t="shared" si="6"/>
        <v>0.82644813918391136</v>
      </c>
      <c r="T11">
        <f t="shared" si="7"/>
        <v>0.82644813918391136</v>
      </c>
    </row>
    <row r="12" spans="2:20" x14ac:dyDescent="0.25">
      <c r="B12" s="81">
        <f t="shared" si="0"/>
        <v>298.45</v>
      </c>
      <c r="C12" s="56">
        <v>3.49</v>
      </c>
      <c r="D12" s="111">
        <v>77.490700000000004</v>
      </c>
      <c r="E12" s="56">
        <v>1.9949999999999999E-2</v>
      </c>
      <c r="F12" s="49"/>
      <c r="G12" s="8"/>
      <c r="H12" s="8">
        <f t="shared" si="1"/>
        <v>0.16572005988023952</v>
      </c>
      <c r="I12" s="8"/>
      <c r="K12">
        <f t="shared" si="2"/>
        <v>16.600097938542365</v>
      </c>
      <c r="L12">
        <f>(I4+J4*(B4/304.1282))*(D12/467.6)+(I5+J5*(B4/304.1282))*((D12/467.6)^2)+(I6+J6*(B4/304.1282))*((D12/467.6)^3)+(I7+J7*(B4/304.1282))*((D12/467.6)^4)+(I8+J8*(B4/304.1282))*((D12/467.6)^5)+(I9+J9*(B4/304.1282))*((D12/467.6)^6)</f>
        <v>2.8713753307058423E-3</v>
      </c>
      <c r="M12">
        <f t="shared" si="3"/>
        <v>0.61517883556764019</v>
      </c>
      <c r="O12" s="8">
        <f t="shared" si="4"/>
        <v>298.45</v>
      </c>
      <c r="P12" s="59">
        <v>77.490700000000004</v>
      </c>
      <c r="Q12" s="8">
        <v>1.9949999999999999E-2</v>
      </c>
      <c r="R12">
        <f t="shared" si="5"/>
        <v>2.008665210481585E-2</v>
      </c>
      <c r="S12">
        <f t="shared" si="6"/>
        <v>0.68497295647043333</v>
      </c>
      <c r="T12">
        <f t="shared" si="7"/>
        <v>0.68497295647043333</v>
      </c>
    </row>
    <row r="13" spans="2:20" x14ac:dyDescent="0.25">
      <c r="B13" s="81">
        <f t="shared" si="0"/>
        <v>298.45</v>
      </c>
      <c r="C13" s="56">
        <v>3.97</v>
      </c>
      <c r="D13" s="111">
        <v>92.146000000000001</v>
      </c>
      <c r="E13" s="56">
        <v>2.094E-2</v>
      </c>
      <c r="F13" s="49"/>
      <c r="G13" s="8"/>
      <c r="H13" s="8">
        <f t="shared" si="1"/>
        <v>0.19706159110350727</v>
      </c>
      <c r="I13" s="8"/>
      <c r="K13">
        <f t="shared" si="2"/>
        <v>16.600097938542365</v>
      </c>
      <c r="L13">
        <f>(I4+J4*(B4/304.1282))*(D13/467.6)+(I5+J5*(B4/304.1282))*((D13/467.6)^2)+(I6+J6*(B4/304.1282))*((D13/467.6)^3)+(I7+J7*(B4/304.1282))*((D13/467.6)^4)+(I8+J8*(B4/304.1282))*((D13/467.6)^5)+(I9+J9*(B4/304.1282))*((D13/467.6)^6)</f>
        <v>3.5153572628943489E-3</v>
      </c>
      <c r="M13">
        <f t="shared" si="3"/>
        <v>0.82497613729522423</v>
      </c>
      <c r="O13" s="8">
        <f t="shared" si="4"/>
        <v>298.45</v>
      </c>
      <c r="P13" s="59">
        <v>92.146000000000001</v>
      </c>
      <c r="Q13" s="8">
        <v>2.094E-2</v>
      </c>
      <c r="R13">
        <f t="shared" si="5"/>
        <v>2.0940431338731937E-2</v>
      </c>
      <c r="S13">
        <f t="shared" si="6"/>
        <v>2.0598793311221901E-3</v>
      </c>
      <c r="T13">
        <f t="shared" si="7"/>
        <v>2.0598793311221901E-3</v>
      </c>
    </row>
    <row r="14" spans="2:20" x14ac:dyDescent="0.25">
      <c r="B14" s="81">
        <f>25.3+273.15</f>
        <v>298.45</v>
      </c>
      <c r="C14" s="56">
        <v>4.46</v>
      </c>
      <c r="D14" s="111">
        <v>109.014</v>
      </c>
      <c r="E14" s="56">
        <v>2.2079999999999999E-2</v>
      </c>
      <c r="F14" s="49"/>
      <c r="G14" s="8"/>
      <c r="H14" s="8">
        <f t="shared" si="1"/>
        <v>0.23313515825491871</v>
      </c>
      <c r="I14" s="8"/>
      <c r="K14">
        <f t="shared" si="2"/>
        <v>16.600097938542365</v>
      </c>
      <c r="L14">
        <f>(I4+J4*(B4/304.1282))*(D14/467.6)+(I5+J5*(B4/304.1282))*((D14/467.6)^2)+(I6+J6*(B4/304.1282))*((D14/467.6)^3)+(I7+J7*(B4/304.1282))*((D14/467.6)^4)+(I8+J8*(B4/304.1282))*((D14/467.6)^5)+(I9+J9*(B4/304.1282))*((D14/467.6)^6)</f>
        <v>4.2909712771359724E-3</v>
      </c>
      <c r="M14">
        <f t="shared" si="3"/>
        <v>1.1438375065071198</v>
      </c>
      <c r="O14" s="8">
        <f>25.3+273.15</f>
        <v>298.45</v>
      </c>
      <c r="P14" s="59">
        <v>109.014</v>
      </c>
      <c r="Q14" s="8">
        <v>2.2079999999999999E-2</v>
      </c>
      <c r="R14">
        <f t="shared" si="5"/>
        <v>2.2034906722185454E-2</v>
      </c>
      <c r="S14">
        <f t="shared" si="6"/>
        <v>-0.20422680169630977</v>
      </c>
      <c r="T14">
        <f t="shared" si="7"/>
        <v>0.20422680169630977</v>
      </c>
    </row>
    <row r="15" spans="2:20" x14ac:dyDescent="0.25">
      <c r="B15" s="81">
        <f t="shared" si="0"/>
        <v>298.45</v>
      </c>
      <c r="C15" s="56">
        <v>4.9400000000000004</v>
      </c>
      <c r="D15" s="111">
        <v>128.14599999999999</v>
      </c>
      <c r="E15" s="56">
        <v>2.3970000000000002E-2</v>
      </c>
      <c r="F15" s="49"/>
      <c r="G15" s="8"/>
      <c r="H15" s="8">
        <f t="shared" si="1"/>
        <v>0.27405047048759618</v>
      </c>
      <c r="I15" s="8"/>
      <c r="K15">
        <f t="shared" si="2"/>
        <v>16.600097938542365</v>
      </c>
      <c r="L15">
        <f>(I4+J4*(B4/304.1282))*(D15/467.6)+(I5+J5*(B4/304.1282))*((D15/467.6)^2)+(I6+J6*(B4/304.1282))*((D15/467.6)^3)+(I7+J7*(B4/304.1282))*((D15/467.6)^4)+(I8+J8*(B4/304.1282))*((D15/467.6)^5)+(I9+J9*(B4/304.1282))*((D15/467.6)^6)</f>
        <v>5.212814139914426E-3</v>
      </c>
      <c r="M15">
        <f t="shared" si="3"/>
        <v>1.636641607263198</v>
      </c>
      <c r="O15" s="8">
        <f t="shared" si="4"/>
        <v>298.45</v>
      </c>
      <c r="P15" s="59">
        <v>128.14599999999999</v>
      </c>
      <c r="Q15" s="8">
        <v>2.3970000000000002E-2</v>
      </c>
      <c r="R15">
        <f t="shared" si="5"/>
        <v>2.3449553685719989E-2</v>
      </c>
      <c r="S15">
        <f t="shared" si="6"/>
        <v>-2.1712403599499894</v>
      </c>
      <c r="T15">
        <f t="shared" si="7"/>
        <v>2.1712403599499894</v>
      </c>
    </row>
    <row r="16" spans="2:20" x14ac:dyDescent="0.25">
      <c r="B16" s="82">
        <f t="shared" si="0"/>
        <v>298.45</v>
      </c>
      <c r="C16" s="86">
        <v>5.42</v>
      </c>
      <c r="D16" s="112">
        <v>151.21</v>
      </c>
      <c r="E16" s="86">
        <v>2.606E-2</v>
      </c>
      <c r="F16" s="105"/>
      <c r="G16" s="8"/>
      <c r="H16" s="57">
        <f t="shared" si="1"/>
        <v>0.32337467921300256</v>
      </c>
      <c r="I16" s="8"/>
      <c r="K16" s="25">
        <f t="shared" si="2"/>
        <v>16.600097938542365</v>
      </c>
      <c r="L16" s="25">
        <f>(I4+J4*(B4/304.1282))*(D16/467.6)+(I5+J5*(B4/304.1282))*((D16/467.6)^2)+(I6+J6*(B4/304.1282))*((D16/467.6)^3)+(I7+J7*(B4/304.1282))*((D16/467.6)^4)+(I8+J8*(B4/304.1282))*((D16/467.6)^5)+(I9+J9*(B4/304.1282))*((D16/467.6)^6)</f>
        <v>6.3802919362676482E-3</v>
      </c>
      <c r="M16" s="25">
        <f t="shared" si="3"/>
        <v>2.4853053739012485</v>
      </c>
      <c r="O16" s="57">
        <f t="shared" si="4"/>
        <v>298.45</v>
      </c>
      <c r="P16" s="74">
        <v>151.21</v>
      </c>
      <c r="Q16" s="57">
        <v>2.606E-2</v>
      </c>
      <c r="R16" s="25">
        <f>(K16+M16)/1000 +L16</f>
        <v>2.5465695248711263E-2</v>
      </c>
      <c r="S16" s="25">
        <f>100*(R16-Q16)/Q16</f>
        <v>-2.2805247555208612</v>
      </c>
      <c r="T16" s="25">
        <f t="shared" si="7"/>
        <v>2.2805247555208612</v>
      </c>
    </row>
    <row r="17" spans="2:20" x14ac:dyDescent="0.25">
      <c r="B17" s="100">
        <f>30.44+273.15</f>
        <v>303.58999999999997</v>
      </c>
      <c r="C17" s="55">
        <v>0.60099999999999998</v>
      </c>
      <c r="D17" s="55">
        <v>10.8</v>
      </c>
      <c r="E17" s="55">
        <v>17.38</v>
      </c>
      <c r="F17" s="41" t="s">
        <v>311</v>
      </c>
      <c r="G17" t="s">
        <v>301</v>
      </c>
      <c r="H17" s="8">
        <f t="shared" si="1"/>
        <v>2.3096663815226688E-2</v>
      </c>
      <c r="K17">
        <f t="shared" si="2"/>
        <v>16.995688309106026</v>
      </c>
      <c r="L17">
        <f>(I4+J4*(B17/304.1282))*H17+(I5+J5*(B17/304.1282))*(H17^2)+(I6+J6*(B17/304.1282))*(H17^3)+(I7+J7*(B17/304.1282))*(H17^4)+(I8+J8*(B17/304.1282))*(H17^5)+(I9+J9*(B17/304.1282))*(H17^6)</f>
        <v>3.4122772777280458E-4</v>
      </c>
      <c r="M17">
        <f t="shared" si="3"/>
        <v>0.13201645736390091</v>
      </c>
      <c r="O17" s="8">
        <f>30.44+273.15</f>
        <v>303.58999999999997</v>
      </c>
      <c r="P17" s="8">
        <v>10.8</v>
      </c>
      <c r="Q17" s="63">
        <v>1.738E-2</v>
      </c>
      <c r="R17">
        <f>(K17+M17)/1000 +L17</f>
        <v>1.746893249424273E-2</v>
      </c>
      <c r="S17">
        <f>100*(R17-Q17)/Q17</f>
        <v>0.51169444328383185</v>
      </c>
      <c r="T17">
        <f t="shared" si="7"/>
        <v>0.51169444328383185</v>
      </c>
    </row>
    <row r="18" spans="2:20" x14ac:dyDescent="0.25">
      <c r="B18" s="100">
        <f>30.16+273.15</f>
        <v>303.31</v>
      </c>
      <c r="C18" s="55">
        <v>0.85199999999999998</v>
      </c>
      <c r="D18" s="55">
        <v>15.51</v>
      </c>
      <c r="E18" s="55">
        <v>17.420000000000002</v>
      </c>
      <c r="F18" s="41" t="s">
        <v>312</v>
      </c>
      <c r="H18" s="8">
        <f t="shared" si="1"/>
        <v>3.3169375534644996E-2</v>
      </c>
      <c r="K18">
        <f t="shared" si="2"/>
        <v>16.974088120441323</v>
      </c>
      <c r="L18">
        <f>(I4+J4*(B18/304.1282))*H18+(I5+J5*(B18/304.1282))*(H18^2)+(I6+J6*(B18/304.1282))*(H18^3)+(I7+J7*(B18/304.1282))*(H18^4)+(I8+J8*(B18/304.1282))*(H18^5)+(I9+J9*(B18/304.1282))*(H18^6)</f>
        <v>4.9645354574094093E-4</v>
      </c>
      <c r="M18">
        <f t="shared" si="3"/>
        <v>0.14810672265901564</v>
      </c>
      <c r="O18" s="8">
        <f>30.16+273.15</f>
        <v>303.31</v>
      </c>
      <c r="P18" s="8">
        <v>15.51</v>
      </c>
      <c r="Q18" s="63">
        <v>1.7420000000000001E-2</v>
      </c>
      <c r="R18">
        <f t="shared" ref="R18:R37" si="8">(K18+M18)/1000 +L18</f>
        <v>1.7618648388841279E-2</v>
      </c>
      <c r="S18">
        <f t="shared" ref="S18:S43" si="9">100*(R18-Q18)/Q18</f>
        <v>1.1403466638420079</v>
      </c>
      <c r="T18">
        <f t="shared" si="7"/>
        <v>1.1403466638420079</v>
      </c>
    </row>
    <row r="19" spans="2:20" x14ac:dyDescent="0.25">
      <c r="B19" s="100">
        <f>29.93+273.15</f>
        <v>303.08</v>
      </c>
      <c r="C19" s="55">
        <v>1.085</v>
      </c>
      <c r="D19" s="55">
        <v>20.010000000000002</v>
      </c>
      <c r="E19" s="55">
        <v>17.559999999999999</v>
      </c>
      <c r="F19" s="39"/>
      <c r="H19" s="8">
        <f t="shared" si="1"/>
        <v>4.279298545765612E-2</v>
      </c>
      <c r="K19">
        <f t="shared" si="2"/>
        <v>16.95634939054893</v>
      </c>
      <c r="L19">
        <f>(I4+J4*(B19/304.1282))*H19+(I5+J5*(B19/304.1282))*(H19^2)+(I6+J6*(B19/304.1282))*(H19^3)+(I7+J7*(B19/304.1282))*(H19^4)+(I8+J8*(B19/304.1282))*(H19^5)+(I9+J9*(B19/304.1282))*(H19^6)</f>
        <v>6.4832822571561047E-4</v>
      </c>
      <c r="M19">
        <f t="shared" si="3"/>
        <v>0.16502840153725948</v>
      </c>
      <c r="O19" s="8">
        <f>29.93+273.15</f>
        <v>303.08</v>
      </c>
      <c r="P19" s="8">
        <v>20.010000000000002</v>
      </c>
      <c r="Q19" s="63">
        <v>1.7559999999999999E-2</v>
      </c>
      <c r="R19">
        <f t="shared" si="8"/>
        <v>1.7769706017801798E-2</v>
      </c>
      <c r="S19">
        <f t="shared" si="9"/>
        <v>1.1942256139054597</v>
      </c>
      <c r="T19">
        <f t="shared" si="7"/>
        <v>1.1942256139054597</v>
      </c>
    </row>
    <row r="20" spans="2:20" x14ac:dyDescent="0.25">
      <c r="B20" s="100">
        <f>29.77+273.15</f>
        <v>302.91999999999996</v>
      </c>
      <c r="C20" s="55">
        <v>1.35</v>
      </c>
      <c r="D20" s="55">
        <v>25.27</v>
      </c>
      <c r="E20" s="55">
        <v>17.7</v>
      </c>
      <c r="F20" s="39"/>
      <c r="H20" s="8">
        <f t="shared" si="1"/>
        <v>5.4041916167664669E-2</v>
      </c>
      <c r="K20">
        <f t="shared" si="2"/>
        <v>16.944011688076802</v>
      </c>
      <c r="L20">
        <f>(I4+J4*(B20/304.1282))*H20+(I5+J5*(B20/304.1282))*(H20^2)+(I6+J6*(B20/304.1282))*(H20^3)+(I7+J7*(B20/304.1282))*(H20^4)+(I8+J8*(B20/304.1282))*(H20^5)+(I9+J9*(B20/304.1282))*(H20^6)</f>
        <v>8.3023589027679469E-4</v>
      </c>
      <c r="M20">
        <f t="shared" si="3"/>
        <v>0.18671923816328814</v>
      </c>
      <c r="O20" s="8">
        <f>29.77+273.15</f>
        <v>302.91999999999996</v>
      </c>
      <c r="P20" s="8">
        <v>25.27</v>
      </c>
      <c r="Q20" s="63">
        <v>1.77E-2</v>
      </c>
      <c r="R20">
        <f t="shared" si="8"/>
        <v>1.7960966816516887E-2</v>
      </c>
      <c r="S20">
        <f t="shared" si="9"/>
        <v>1.4743887938807159</v>
      </c>
      <c r="T20">
        <f t="shared" si="7"/>
        <v>1.4743887938807159</v>
      </c>
    </row>
    <row r="21" spans="2:20" x14ac:dyDescent="0.25">
      <c r="B21" s="100">
        <f>29.65+273.15</f>
        <v>302.79999999999995</v>
      </c>
      <c r="C21" s="55">
        <v>1.57</v>
      </c>
      <c r="D21" s="55">
        <v>29.81</v>
      </c>
      <c r="E21" s="55">
        <v>17.829999999999998</v>
      </c>
      <c r="F21" s="39"/>
      <c r="H21" s="8">
        <f t="shared" si="1"/>
        <v>6.3751069289991441E-2</v>
      </c>
      <c r="K21">
        <f t="shared" si="2"/>
        <v>16.934759643090345</v>
      </c>
      <c r="L21">
        <f>(I4+J4*(B21/304.1282))*H21+(I5+J5*(B21/304.1282))*(H21^2)+(I6+J6*(B21/304.1282))*(H21^3)+(I7+J7*(B21/304.1282))*(H21^4)+(I8+J8*(B21/304.1282))*(H21^5)+(I9+J9*(B21/304.1282))*(H21^6)</f>
        <v>9.909491078824884E-4</v>
      </c>
      <c r="M21">
        <f t="shared" si="3"/>
        <v>0.20740655012539375</v>
      </c>
      <c r="O21" s="8">
        <f>29.65+273.15</f>
        <v>302.79999999999995</v>
      </c>
      <c r="P21" s="8">
        <v>29.81</v>
      </c>
      <c r="Q21" s="63">
        <v>1.7829999999999999E-2</v>
      </c>
      <c r="R21">
        <f t="shared" si="8"/>
        <v>1.8133115301098228E-2</v>
      </c>
      <c r="S21">
        <f t="shared" si="9"/>
        <v>1.7000297313417236</v>
      </c>
      <c r="T21">
        <f t="shared" si="7"/>
        <v>1.7000297313417236</v>
      </c>
    </row>
    <row r="22" spans="2:20" x14ac:dyDescent="0.25">
      <c r="B22" s="100">
        <f>29.5+273.15</f>
        <v>302.64999999999998</v>
      </c>
      <c r="C22" s="55">
        <v>1.85</v>
      </c>
      <c r="D22" s="55">
        <v>35.619999999999997</v>
      </c>
      <c r="E22" s="55">
        <v>18.100000000000001</v>
      </c>
      <c r="F22" s="39"/>
      <c r="H22" s="8">
        <f t="shared" si="1"/>
        <v>7.6176218990590239E-2</v>
      </c>
      <c r="K22">
        <f t="shared" si="2"/>
        <v>16.92319607400691</v>
      </c>
      <c r="L22">
        <f>(I4+J4*(B22/304.1282))*H22+(I5+J5*(B22/304.1282))*(H22^2)+(I6+J6*(B22/304.1282))*(H22^3)+(I7+J7*(B22/304.1282))*(H22^4)+(I8+J8*(B22/304.1282))*(H22^5)+(I9+J9*(B22/304.1282))*(H22^6)</f>
        <v>1.2015190647247272E-3</v>
      </c>
      <c r="M22">
        <f t="shared" si="3"/>
        <v>0.23684925686248307</v>
      </c>
      <c r="O22" s="8">
        <f>29.5+273.15</f>
        <v>302.64999999999998</v>
      </c>
      <c r="P22" s="8">
        <v>35.619999999999997</v>
      </c>
      <c r="Q22" s="63">
        <v>1.8100000000000002E-2</v>
      </c>
      <c r="R22">
        <f t="shared" si="8"/>
        <v>1.836156439559412E-2</v>
      </c>
      <c r="S22">
        <f t="shared" si="9"/>
        <v>1.4451071579785568</v>
      </c>
      <c r="T22">
        <f t="shared" si="7"/>
        <v>1.4451071579785568</v>
      </c>
    </row>
    <row r="23" spans="2:20" x14ac:dyDescent="0.25">
      <c r="B23" s="100">
        <f>29.32+273.15</f>
        <v>302.46999999999997</v>
      </c>
      <c r="C23" s="55">
        <v>2.06</v>
      </c>
      <c r="D23" s="55">
        <v>40.33</v>
      </c>
      <c r="E23" s="55">
        <v>18.27</v>
      </c>
      <c r="F23" s="39"/>
      <c r="H23" s="8">
        <f t="shared" si="1"/>
        <v>8.6248930710008553E-2</v>
      </c>
      <c r="K23">
        <f t="shared" si="2"/>
        <v>16.909321975808165</v>
      </c>
      <c r="L23">
        <f>(I4+J4*(B23/304.1282))*H23+(I5+J5*(B23/304.1282))*(H23^2)+(I6+J6*(B23/304.1282))*(H23^3)+(I7+J7*(B23/304.1282))*(H23^4)+(I8+J8*(B23/304.1282))*(H23^5)+(I9+J9*(B23/304.1282))*(H23^6)</f>
        <v>1.3761523009589987E-3</v>
      </c>
      <c r="M23">
        <f t="shared" si="3"/>
        <v>0.26362383135775241</v>
      </c>
      <c r="O23" s="8">
        <f>29.32+273.15</f>
        <v>302.46999999999997</v>
      </c>
      <c r="P23" s="8">
        <v>40.33</v>
      </c>
      <c r="Q23" s="63">
        <v>1.8270000000000002E-2</v>
      </c>
      <c r="R23">
        <f t="shared" si="8"/>
        <v>1.8549098108124915E-2</v>
      </c>
      <c r="S23">
        <f t="shared" si="9"/>
        <v>1.5276305863432607</v>
      </c>
      <c r="T23">
        <f t="shared" si="7"/>
        <v>1.5276305863432607</v>
      </c>
    </row>
    <row r="24" spans="2:20" x14ac:dyDescent="0.25">
      <c r="B24" s="100">
        <f>29.18+273.15</f>
        <v>302.33</v>
      </c>
      <c r="C24" s="55">
        <v>2.34</v>
      </c>
      <c r="D24" s="55">
        <v>46.66</v>
      </c>
      <c r="E24" s="55">
        <v>18.52</v>
      </c>
      <c r="F24" s="39"/>
      <c r="H24" s="8">
        <f t="shared" si="1"/>
        <v>9.9786142001710848E-2</v>
      </c>
      <c r="K24">
        <f t="shared" si="2"/>
        <v>16.898532661061992</v>
      </c>
      <c r="L24">
        <f>(I4+J4*(B24/304.1282))*H24+(I5+J5*(B24/304.1282))*(H24^2)+(I6+J6*(B24/304.1282))*(H24^3)+(I7+J7*(B24/304.1282))*(H24^4)+(I8+J8*(B24/304.1282))*(H24^5)+(I9+J9*(B24/304.1282))*(H24^6)</f>
        <v>1.6163638653668765E-3</v>
      </c>
      <c r="M24">
        <f t="shared" si="3"/>
        <v>0.30341954050197489</v>
      </c>
      <c r="O24" s="8">
        <f>29.18+273.15</f>
        <v>302.33</v>
      </c>
      <c r="P24" s="8">
        <v>46.66</v>
      </c>
      <c r="Q24" s="63">
        <v>1.8519999999999998E-2</v>
      </c>
      <c r="R24">
        <f t="shared" si="8"/>
        <v>1.8818316066930844E-2</v>
      </c>
      <c r="S24">
        <f t="shared" si="9"/>
        <v>1.6107778991946338</v>
      </c>
      <c r="T24">
        <f t="shared" si="7"/>
        <v>1.6107778991946338</v>
      </c>
    </row>
    <row r="25" spans="2:20" x14ac:dyDescent="0.25">
      <c r="B25" s="100">
        <f>28.95+273.15</f>
        <v>302.09999999999997</v>
      </c>
      <c r="C25" s="55">
        <v>2.6</v>
      </c>
      <c r="D25" s="55">
        <v>52.81</v>
      </c>
      <c r="E25" s="55">
        <v>18.77</v>
      </c>
      <c r="F25" s="39"/>
      <c r="H25" s="8">
        <f t="shared" si="1"/>
        <v>0.11293840889649273</v>
      </c>
      <c r="K25">
        <f t="shared" si="2"/>
        <v>16.880810499744555</v>
      </c>
      <c r="L25">
        <f>(I4+J4*(B25/304.1282))*H25+(I5+J5*(B25/304.1282))*(H25^2)+(I6+J6*(B25/304.1282))*(H25^3)+(I7+J7*(B25/304.1282))*(H25^4)+(I8+J8*(B25/304.1282))*(H25^5)+(I9+J9*(B25/304.1282))*(H25^6)</f>
        <v>1.8555789551033628E-3</v>
      </c>
      <c r="M25">
        <f t="shared" si="3"/>
        <v>0.34761298278828329</v>
      </c>
      <c r="O25" s="8">
        <f>28.95+273.15</f>
        <v>302.09999999999997</v>
      </c>
      <c r="P25" s="8">
        <v>52.81</v>
      </c>
      <c r="Q25" s="63">
        <v>1.8769999999999998E-2</v>
      </c>
      <c r="R25">
        <f t="shared" si="8"/>
        <v>1.9084002437636201E-2</v>
      </c>
      <c r="S25">
        <f t="shared" si="9"/>
        <v>1.6728952457975617</v>
      </c>
      <c r="T25">
        <f t="shared" si="7"/>
        <v>1.6728952457975617</v>
      </c>
    </row>
    <row r="26" spans="2:20" x14ac:dyDescent="0.25">
      <c r="B26" s="100">
        <f>28.79+273.15</f>
        <v>301.94</v>
      </c>
      <c r="C26" s="55">
        <v>2.85</v>
      </c>
      <c r="D26" s="55">
        <v>58.95</v>
      </c>
      <c r="E26" s="55">
        <v>19.07</v>
      </c>
      <c r="F26" s="39"/>
      <c r="H26" s="8">
        <f t="shared" si="1"/>
        <v>0.12606928999144568</v>
      </c>
      <c r="K26">
        <f t="shared" si="2"/>
        <v>16.868484347611464</v>
      </c>
      <c r="L26">
        <f>(I4+J4*(B26/304.1282))*H26+(I5+J5*(B26/304.1282))*(H26^2)+(I6+J6*(B26/304.1282))*(H26^3)+(I7+J7*(B26/304.1282))*(H26^4)+(I8+J8*(B26/304.1282))*(H26^5)+(I9+J9*(B26/304.1282))*(H26^6)</f>
        <v>2.100078925174748E-3</v>
      </c>
      <c r="M26">
        <f t="shared" si="3"/>
        <v>0.39698267253275576</v>
      </c>
      <c r="O26" s="8">
        <f>28.79+273.15</f>
        <v>301.94</v>
      </c>
      <c r="P26" s="8">
        <v>58.95</v>
      </c>
      <c r="Q26" s="63">
        <v>1.907E-2</v>
      </c>
      <c r="R26">
        <f t="shared" si="8"/>
        <v>1.9365545945318967E-2</v>
      </c>
      <c r="S26">
        <f t="shared" si="9"/>
        <v>1.5497952035603917</v>
      </c>
      <c r="T26">
        <f t="shared" si="7"/>
        <v>1.5497952035603917</v>
      </c>
    </row>
    <row r="27" spans="2:20" x14ac:dyDescent="0.25">
      <c r="B27" s="100">
        <f>28.64+273.15</f>
        <v>301.78999999999996</v>
      </c>
      <c r="C27" s="55">
        <v>3.11</v>
      </c>
      <c r="D27" s="55">
        <v>65.459999999999994</v>
      </c>
      <c r="E27" s="55">
        <v>19.41</v>
      </c>
      <c r="F27" s="39"/>
      <c r="H27" s="8">
        <f t="shared" si="1"/>
        <v>0.13999144568006841</v>
      </c>
      <c r="K27">
        <f t="shared" si="2"/>
        <v>16.856930303177624</v>
      </c>
      <c r="L27">
        <f>(I4+J4*(B27/304.1282))*H27+(I5+J5*(B27/304.1282))*(H27^2)+(I6+J6*(B27/304.1282))*(H27^3)+(I7+J7*(B27/304.1282))*(H27^4)+(I8+J8*(B27/304.1282))*(H27^5)+(I9+J9*(B27/304.1282))*(H27^6)</f>
        <v>2.365334936985894E-3</v>
      </c>
      <c r="M27">
        <f t="shared" si="3"/>
        <v>0.45593596492423522</v>
      </c>
      <c r="O27" s="8">
        <f>28.64+273.15</f>
        <v>301.78999999999996</v>
      </c>
      <c r="P27" s="8">
        <v>65.459999999999994</v>
      </c>
      <c r="Q27" s="63">
        <v>1.941E-2</v>
      </c>
      <c r="R27">
        <f t="shared" si="8"/>
        <v>1.9678201205087755E-2</v>
      </c>
      <c r="S27">
        <f t="shared" si="9"/>
        <v>1.3817681869539153</v>
      </c>
      <c r="T27">
        <f t="shared" si="7"/>
        <v>1.3817681869539153</v>
      </c>
    </row>
    <row r="28" spans="2:20" x14ac:dyDescent="0.25">
      <c r="B28" s="100">
        <f>28.5+273.15</f>
        <v>301.64999999999998</v>
      </c>
      <c r="C28" s="55">
        <v>3.34</v>
      </c>
      <c r="D28" s="55">
        <v>71.819999999999993</v>
      </c>
      <c r="E28" s="55">
        <v>19.77</v>
      </c>
      <c r="F28" s="39"/>
      <c r="H28" s="8">
        <f t="shared" si="1"/>
        <v>0.15359281437125746</v>
      </c>
      <c r="K28">
        <f t="shared" si="2"/>
        <v>16.846148035363946</v>
      </c>
      <c r="L28">
        <f>(I4+J4*(B28/304.1282))*H28+(I5+J5*(B28/304.1282))*(H28^2)+(I6+J6*(B28/304.1282))*(H28^3)+(I7+J7*(B28/304.1282))*(H28^4)+(I8+J8*(B28/304.1282))*(H28^5)+(I9+J9*(B28/304.1282))*(H28^6)</f>
        <v>2.6303217291931426E-3</v>
      </c>
      <c r="M28">
        <f t="shared" si="3"/>
        <v>0.52089086973737297</v>
      </c>
      <c r="O28" s="8">
        <f>28.5+273.15</f>
        <v>301.64999999999998</v>
      </c>
      <c r="P28" s="8">
        <v>71.819999999999993</v>
      </c>
      <c r="Q28" s="63">
        <v>1.9769999999999999E-2</v>
      </c>
      <c r="R28">
        <f t="shared" si="8"/>
        <v>1.9997360634294459E-2</v>
      </c>
      <c r="S28">
        <f t="shared" si="9"/>
        <v>1.1500284992132528</v>
      </c>
      <c r="T28">
        <f t="shared" si="7"/>
        <v>1.1500284992132528</v>
      </c>
    </row>
    <row r="29" spans="2:20" x14ac:dyDescent="0.25">
      <c r="B29" s="100">
        <f>28.28+273.15</f>
        <v>301.42999999999995</v>
      </c>
      <c r="C29" s="55">
        <v>3.61</v>
      </c>
      <c r="D29" s="55">
        <v>79.39</v>
      </c>
      <c r="E29" s="55">
        <v>20.21</v>
      </c>
      <c r="F29" s="39"/>
      <c r="H29" s="8">
        <f t="shared" si="1"/>
        <v>0.16978186484174507</v>
      </c>
      <c r="K29">
        <f t="shared" si="2"/>
        <v>16.829207416808615</v>
      </c>
      <c r="L29">
        <f>(I4+J4*(B29/304.1282))*H29+(I5+J5*(B29/304.1282))*(H29^2)+(I6+J6*(B29/304.1282))*(H29^3)+(I7+J7*(B29/304.1282))*(H29^4)+(I8+J8*(B29/304.1282))*(H29^5)+(I9+J9*(B29/304.1282))*(H29^6)</f>
        <v>2.953068657644491E-3</v>
      </c>
      <c r="M29">
        <f t="shared" si="3"/>
        <v>0.60939442752235318</v>
      </c>
      <c r="O29" s="8">
        <f>28.28+273.15</f>
        <v>301.42999999999995</v>
      </c>
      <c r="P29" s="8">
        <v>79.39</v>
      </c>
      <c r="Q29" s="63">
        <v>2.0209999999999999E-2</v>
      </c>
      <c r="R29">
        <f t="shared" si="8"/>
        <v>2.0391670501975458E-2</v>
      </c>
      <c r="S29">
        <f t="shared" si="9"/>
        <v>0.89891391378258079</v>
      </c>
      <c r="T29">
        <f t="shared" si="7"/>
        <v>0.89891391378258079</v>
      </c>
    </row>
    <row r="30" spans="2:20" x14ac:dyDescent="0.25">
      <c r="B30" s="100">
        <f>28.4+273.15</f>
        <v>301.54999999999995</v>
      </c>
      <c r="C30" s="55">
        <v>3.86</v>
      </c>
      <c r="D30" s="55">
        <v>86.64</v>
      </c>
      <c r="E30" s="55">
        <v>20.7</v>
      </c>
      <c r="F30" s="39"/>
      <c r="H30" s="8">
        <f t="shared" si="1"/>
        <v>0.18528656971770743</v>
      </c>
      <c r="K30">
        <f t="shared" si="2"/>
        <v>16.838447307581585</v>
      </c>
      <c r="L30">
        <f>(I4+J4*(B30/304.1282))*H30+(I5+J5*(B30/304.1282))*(H30^2)+(I6+J6*(B30/304.1282))*(H30^3)+(I7+J7*(B30/304.1282))*(H30^4)+(I8+J8*(B30/304.1282))*(H30^5)+(I9+J9*(B30/304.1282))*(H30^6)</f>
        <v>3.2694205987646241E-3</v>
      </c>
      <c r="M30">
        <f t="shared" si="3"/>
        <v>0.70269658280580094</v>
      </c>
      <c r="O30" s="8">
        <f>28.4+273.15</f>
        <v>301.54999999999995</v>
      </c>
      <c r="P30" s="8">
        <v>86.64</v>
      </c>
      <c r="Q30" s="63">
        <v>2.07E-2</v>
      </c>
      <c r="R30">
        <f t="shared" si="8"/>
        <v>2.0810564489152007E-2</v>
      </c>
      <c r="S30">
        <f t="shared" si="9"/>
        <v>0.53412796691791109</v>
      </c>
      <c r="T30">
        <f t="shared" si="7"/>
        <v>0.53412796691791109</v>
      </c>
    </row>
    <row r="31" spans="2:20" x14ac:dyDescent="0.25">
      <c r="B31" s="100">
        <f>28.4+273.15</f>
        <v>301.54999999999995</v>
      </c>
      <c r="C31" s="55">
        <v>4.0999999999999996</v>
      </c>
      <c r="D31" s="55">
        <v>93.99</v>
      </c>
      <c r="E31" s="55">
        <v>21.16</v>
      </c>
      <c r="F31" s="39"/>
      <c r="H31" s="8">
        <f t="shared" si="1"/>
        <v>0.20100513259195893</v>
      </c>
      <c r="K31">
        <f t="shared" si="2"/>
        <v>16.838447307581585</v>
      </c>
      <c r="L31">
        <f>(I4+J4*(B31/304.1282))*H31+(I5+J5*(B31/304.1282))*(H31^2)+(I6+J6*(B31/304.1282))*(H31^3)+(I7+J7*(B31/304.1282))*(H31^4)+(I8+J8*(B31/304.1282))*(H31^5)+(I9+J9*(B31/304.1282))*(H31^6)</f>
        <v>3.5971949090101126E-3</v>
      </c>
      <c r="M31">
        <f t="shared" si="3"/>
        <v>0.81148767335072225</v>
      </c>
      <c r="O31" s="8">
        <f>28.4+273.15</f>
        <v>301.54999999999995</v>
      </c>
      <c r="P31" s="8">
        <v>93.99</v>
      </c>
      <c r="Q31" s="63">
        <v>2.1160000000000002E-2</v>
      </c>
      <c r="R31">
        <f t="shared" si="8"/>
        <v>2.1247129889942418E-2</v>
      </c>
      <c r="S31">
        <f t="shared" si="9"/>
        <v>0.41176696570140198</v>
      </c>
      <c r="T31">
        <f t="shared" si="7"/>
        <v>0.41176696570140198</v>
      </c>
    </row>
    <row r="32" spans="2:20" x14ac:dyDescent="0.25">
      <c r="B32" s="100">
        <f>28.39+273.15</f>
        <v>301.53999999999996</v>
      </c>
      <c r="C32" s="55">
        <v>4.33</v>
      </c>
      <c r="D32" s="55">
        <v>101.61</v>
      </c>
      <c r="E32" s="55">
        <v>21.75</v>
      </c>
      <c r="F32" s="39"/>
      <c r="H32" s="8">
        <f t="shared" si="1"/>
        <v>0.21730111206159108</v>
      </c>
      <c r="K32">
        <f t="shared" si="2"/>
        <v>16.837677275727376</v>
      </c>
      <c r="L32">
        <f>(I4+J4*(B32/304.1282))*H32+(I5+J5*(B32/304.1282))*(H32^2)+(I6+J6*(B32/304.1282))*(H32^3)+(I7+J7*(B32/304.1282))*(H32^4)+(I8+J8*(B32/304.1282))*(H32^5)+(I9+J9*(B32/304.1282))*(H32^6)</f>
        <v>3.9443259698794314E-3</v>
      </c>
      <c r="M32">
        <f t="shared" si="3"/>
        <v>0.93990972018196606</v>
      </c>
      <c r="O32" s="8">
        <f>28.39+273.15</f>
        <v>301.53999999999996</v>
      </c>
      <c r="P32" s="8">
        <v>101.61</v>
      </c>
      <c r="Q32" s="63">
        <v>2.1749999999999999E-2</v>
      </c>
      <c r="R32">
        <f t="shared" si="8"/>
        <v>2.1721912965788775E-2</v>
      </c>
      <c r="S32">
        <f t="shared" si="9"/>
        <v>-0.12913578947689053</v>
      </c>
      <c r="T32">
        <f t="shared" si="7"/>
        <v>0.12913578947689053</v>
      </c>
    </row>
    <row r="33" spans="2:20" x14ac:dyDescent="0.25">
      <c r="B33" s="100">
        <f>28.6+273.15</f>
        <v>301.75</v>
      </c>
      <c r="C33" s="55">
        <v>4.59</v>
      </c>
      <c r="D33" s="55">
        <v>110.35</v>
      </c>
      <c r="E33" s="55">
        <v>22.49</v>
      </c>
      <c r="F33" s="39"/>
      <c r="H33" s="8">
        <f t="shared" si="1"/>
        <v>0.23599230111206157</v>
      </c>
      <c r="K33">
        <f t="shared" si="2"/>
        <v>16.853849506657181</v>
      </c>
      <c r="L33">
        <f>(I4+J4*(B33/304.1282))*H33+(I5+J5*(B33/304.1282))*(H33^2)+(I6+J6*(B33/304.1282))*(H33^3)+(I7+J7*(B33/304.1282))*(H33^4)+(I8+J8*(B33/304.1282))*(H33^5)+(I9+J9*(B33/304.1282))*(H33^6)</f>
        <v>4.3512333183668116E-3</v>
      </c>
      <c r="M33">
        <f t="shared" si="3"/>
        <v>1.1046702220277766</v>
      </c>
      <c r="O33" s="8">
        <f>28.6+273.15</f>
        <v>301.75</v>
      </c>
      <c r="P33" s="8">
        <v>110.35</v>
      </c>
      <c r="Q33" s="63">
        <v>2.249E-2</v>
      </c>
      <c r="R33">
        <f t="shared" si="8"/>
        <v>2.230975304705177E-2</v>
      </c>
      <c r="S33">
        <f t="shared" si="9"/>
        <v>-0.80145377033450083</v>
      </c>
      <c r="T33">
        <f t="shared" si="7"/>
        <v>0.80145377033450083</v>
      </c>
    </row>
    <row r="34" spans="2:20" x14ac:dyDescent="0.25">
      <c r="B34" s="100">
        <f>28.37+273.15</f>
        <v>301.52</v>
      </c>
      <c r="C34" s="55">
        <v>4.8499999999999996</v>
      </c>
      <c r="D34" s="55">
        <v>120.32</v>
      </c>
      <c r="E34" s="55">
        <v>23.35</v>
      </c>
      <c r="F34" s="39"/>
      <c r="H34" s="8">
        <f t="shared" si="1"/>
        <v>0.2573139435414884</v>
      </c>
      <c r="K34">
        <f t="shared" si="2"/>
        <v>16.836137234351622</v>
      </c>
      <c r="L34">
        <f>(I4+J4*(B34/304.1282))*H34+(I5+J5*(B34/304.1282))*(H34^2)+(I6+J6*(B34/304.1282))*(H34^3)+(I7+J7*(B34/304.1282))*(H34^4)+(I8+J8*(B34/304.1282))*(H34^5)+(I9+J9*(B34/304.1282))*(H34^6)</f>
        <v>4.827129529018803E-3</v>
      </c>
      <c r="M34">
        <f t="shared" si="3"/>
        <v>1.3346640506635736</v>
      </c>
      <c r="O34" s="8">
        <f>28.37+273.15</f>
        <v>301.52</v>
      </c>
      <c r="P34" s="8">
        <v>120.32</v>
      </c>
      <c r="Q34" s="63">
        <v>2.3349999999999999E-2</v>
      </c>
      <c r="R34">
        <f t="shared" si="8"/>
        <v>2.2997930814034E-2</v>
      </c>
      <c r="S34">
        <f t="shared" si="9"/>
        <v>-1.5077909463211971</v>
      </c>
      <c r="T34">
        <f t="shared" si="7"/>
        <v>1.5077909463211971</v>
      </c>
    </row>
    <row r="35" spans="2:20" x14ac:dyDescent="0.25">
      <c r="B35" s="100">
        <f>28.62+273.15</f>
        <v>301.77</v>
      </c>
      <c r="C35" s="55">
        <v>5.08</v>
      </c>
      <c r="D35" s="55">
        <v>129.4</v>
      </c>
      <c r="E35" s="55">
        <v>24.32</v>
      </c>
      <c r="F35" s="39"/>
      <c r="H35" s="8">
        <f t="shared" si="1"/>
        <v>0.27673224978614203</v>
      </c>
      <c r="K35">
        <f t="shared" si="2"/>
        <v>16.855389890066455</v>
      </c>
      <c r="L35">
        <f>(I4+J4*(B35/304.1282))*H35+(I5+J5*(B35/304.1282))*(H35^2)+(I6+J6*(B35/304.1282))*(H35^3)+(I7+J7*(B35/304.1282))*(H35^4)+(I8+J8*(B35/304.1282))*(H35^5)+(I9+J9*(B35/304.1282))*(H35^6)</f>
        <v>5.2702672543331703E-3</v>
      </c>
      <c r="M35">
        <f t="shared" si="3"/>
        <v>1.566696996501765</v>
      </c>
      <c r="O35" s="8">
        <f>28.62+273.15</f>
        <v>301.77</v>
      </c>
      <c r="P35" s="8">
        <v>129.4</v>
      </c>
      <c r="Q35" s="63">
        <v>2.4320000000000001E-2</v>
      </c>
      <c r="R35">
        <f t="shared" si="8"/>
        <v>2.369235414090139E-2</v>
      </c>
      <c r="S35">
        <f t="shared" si="9"/>
        <v>-2.580780670635737</v>
      </c>
      <c r="T35">
        <f t="shared" si="7"/>
        <v>2.580780670635737</v>
      </c>
    </row>
    <row r="36" spans="2:20" x14ac:dyDescent="0.25">
      <c r="B36" s="100">
        <f>28.6+273.15</f>
        <v>301.75</v>
      </c>
      <c r="C36" s="55">
        <v>5.38</v>
      </c>
      <c r="D36" s="55">
        <v>142.68</v>
      </c>
      <c r="E36" s="55">
        <v>25.48</v>
      </c>
      <c r="F36" s="39"/>
      <c r="H36" s="8">
        <f t="shared" si="1"/>
        <v>0.30513259195893927</v>
      </c>
      <c r="K36">
        <f t="shared" si="2"/>
        <v>16.853849506657181</v>
      </c>
      <c r="L36">
        <f>(I4+J4*(B36/304.1282))*H36+(I5+J5*(B36/304.1282))*(H36^2)+(I6+J6*(B36/304.1282))*(H36^3)+(I7+J7*(B36/304.1282))*(H36^4)+(I8+J8*(B36/304.1282))*(H36^5)+(I9+J9*(B36/304.1282))*(H36^6)</f>
        <v>5.9358718412821851E-3</v>
      </c>
      <c r="M36">
        <f t="shared" si="3"/>
        <v>1.9852841362161742</v>
      </c>
      <c r="O36" s="8">
        <f>28.6+273.15</f>
        <v>301.75</v>
      </c>
      <c r="P36" s="8">
        <v>142.68</v>
      </c>
      <c r="Q36" s="63">
        <v>2.5479999999999999E-2</v>
      </c>
      <c r="R36">
        <f t="shared" si="8"/>
        <v>2.4775005484155538E-2</v>
      </c>
      <c r="S36">
        <f t="shared" si="9"/>
        <v>-2.7668544577883099</v>
      </c>
      <c r="T36">
        <f t="shared" si="7"/>
        <v>2.7668544577883099</v>
      </c>
    </row>
    <row r="37" spans="2:20" x14ac:dyDescent="0.25">
      <c r="B37" s="100">
        <f>28.29+273.15</f>
        <v>301.44</v>
      </c>
      <c r="C37" s="55">
        <v>5.61</v>
      </c>
      <c r="D37" s="55">
        <v>154.59</v>
      </c>
      <c r="E37" s="55">
        <v>26.9</v>
      </c>
      <c r="F37" s="39"/>
      <c r="H37" s="8">
        <f t="shared" si="1"/>
        <v>0.33060307955517537</v>
      </c>
      <c r="K37">
        <f t="shared" si="2"/>
        <v>16.829977366735161</v>
      </c>
      <c r="L37">
        <f>(I4+J4*(B37/304.1282))*H37+(I5+J5*(B37/304.1282))*(H37^2)+(I6+J6*(B37/304.1282))*(H37^3)+(I7+J7*(B37/304.1282))*(H37^4)+(I8+J8*(B37/304.1282))*(H37^5)+(I9+J9*(B37/304.1282))*(H37^6)</f>
        <v>6.5501839114232999E-3</v>
      </c>
      <c r="M37">
        <f t="shared" si="3"/>
        <v>2.4605096217094449</v>
      </c>
      <c r="O37" s="8">
        <f>28.29+273.15</f>
        <v>301.44</v>
      </c>
      <c r="P37" s="8">
        <v>154.59</v>
      </c>
      <c r="Q37" s="63">
        <v>2.69E-2</v>
      </c>
      <c r="R37">
        <f t="shared" si="8"/>
        <v>2.5840670899867905E-2</v>
      </c>
      <c r="S37">
        <f t="shared" si="9"/>
        <v>-3.9380263945431033</v>
      </c>
      <c r="T37">
        <f t="shared" si="7"/>
        <v>3.9380263945431033</v>
      </c>
    </row>
    <row r="38" spans="2:20" x14ac:dyDescent="0.25">
      <c r="B38" s="102">
        <f>28.19+273.15</f>
        <v>301.33999999999997</v>
      </c>
      <c r="C38" s="103">
        <v>5.92</v>
      </c>
      <c r="D38" s="103">
        <v>173.14</v>
      </c>
      <c r="E38" s="103">
        <v>29.2</v>
      </c>
      <c r="F38" s="106"/>
      <c r="H38" s="57">
        <f t="shared" si="1"/>
        <v>0.37027373823781007</v>
      </c>
      <c r="K38" s="25">
        <f t="shared" si="2"/>
        <v>16.822278202942119</v>
      </c>
      <c r="L38" s="25">
        <f>(I4+J4*(B38/304.1282))*H38+(I5+J5*(B38/304.1282))*(H38^2)+(I6+J6*(B38/304.1282))*(H38^3)+(I7+J7*(B38/304.1282))*(H38^4)+(I8+J8*(B38/304.1282))*(H38^5)+(I9+J9*(B38/304.1282))*(H38^6)</f>
        <v>7.536989373865024E-3</v>
      </c>
      <c r="M38" s="25">
        <f t="shared" si="3"/>
        <v>3.3867680897049128</v>
      </c>
      <c r="O38" s="57">
        <f>28.19+273.15</f>
        <v>301.33999999999997</v>
      </c>
      <c r="P38" s="57">
        <v>173.14</v>
      </c>
      <c r="Q38" s="64">
        <v>2.92E-2</v>
      </c>
      <c r="R38" s="25">
        <f>(K38+M38)/1000 +L38</f>
        <v>2.7746035666512053E-2</v>
      </c>
      <c r="S38" s="25">
        <f t="shared" si="9"/>
        <v>-4.9793299092053003</v>
      </c>
      <c r="T38" s="25">
        <f t="shared" si="7"/>
        <v>4.9793299092053003</v>
      </c>
    </row>
    <row r="39" spans="2:20" x14ac:dyDescent="0.25">
      <c r="B39" s="83">
        <f>3.662+273.15</f>
        <v>276.81199999999995</v>
      </c>
      <c r="C39" s="87">
        <f>0.101325*2.1</f>
        <v>0.21278250000000001</v>
      </c>
      <c r="D39" s="87">
        <v>4.0999999999999996</v>
      </c>
      <c r="E39" s="87">
        <f>3.53*0.004184</f>
        <v>1.476952E-2</v>
      </c>
      <c r="F39" s="77" t="s">
        <v>313</v>
      </c>
      <c r="G39" t="s">
        <v>302</v>
      </c>
      <c r="H39" s="8">
        <f t="shared" si="1"/>
        <v>8.7681779298545755E-3</v>
      </c>
      <c r="K39">
        <f t="shared" si="2"/>
        <v>14.958442200581187</v>
      </c>
      <c r="L39">
        <f>(I4+J4*(B39/304.1282))*H39+(I5+J5*(B39/304.1282))*(H39^2)+(I6+J6*(B39/304.1282))*(H39^3)+(I7+J7*(B39/304.1282))*(H39^4)+(I8+J8*(B39/304.1282))*(H39^5)+(I9+J9*(B39/304.1282))*(H39^6)</f>
        <v>1.2396350382921464E-4</v>
      </c>
      <c r="M39">
        <f t="shared" si="3"/>
        <v>0.15734999724004009</v>
      </c>
      <c r="O39" s="8">
        <f>3.662+273.15</f>
        <v>276.81199999999995</v>
      </c>
      <c r="P39" s="8">
        <v>4.0999999999999996</v>
      </c>
      <c r="Q39" s="8">
        <f>3.53*0.004184</f>
        <v>1.476952E-2</v>
      </c>
      <c r="R39" s="43">
        <f t="shared" ref="R39:R49" si="10">(K39+M39)/1000 +L39</f>
        <v>1.5239755701650442E-2</v>
      </c>
      <c r="S39">
        <f t="shared" si="9"/>
        <v>3.1838252133477734</v>
      </c>
      <c r="T39">
        <f t="shared" si="7"/>
        <v>3.1838252133477734</v>
      </c>
    </row>
    <row r="40" spans="2:20" x14ac:dyDescent="0.25">
      <c r="B40" s="83">
        <f>3.662+273.15</f>
        <v>276.81199999999995</v>
      </c>
      <c r="C40" s="87">
        <f>0.101325*18.3</f>
        <v>1.8542475</v>
      </c>
      <c r="D40" s="87">
        <v>40.9</v>
      </c>
      <c r="E40" s="87">
        <f>3.9*0.004184</f>
        <v>1.6317600000000002E-2</v>
      </c>
      <c r="F40" s="77" t="s">
        <v>314</v>
      </c>
      <c r="H40" s="8">
        <f t="shared" si="1"/>
        <v>8.7467921300256629E-2</v>
      </c>
      <c r="K40">
        <f t="shared" si="2"/>
        <v>14.958442200581187</v>
      </c>
      <c r="L40">
        <f>(I4+J4*(B40/304.1282))*H40+(I5+J5*(B40/304.1282))*(H40^2)+(I6+J6*(B40/304.1282))*(H40^3)+(I7+J7*(B40/304.1282))*(H40^4)+(I8+J8*(B40/304.1282))*(H40^5)+(I9+J9*(B40/304.1282))*(H40^6)</f>
        <v>1.3853449225083802E-3</v>
      </c>
      <c r="M40">
        <f t="shared" si="3"/>
        <v>0.38081301576850918</v>
      </c>
      <c r="O40" s="8">
        <f>3.662+273.15</f>
        <v>276.81199999999995</v>
      </c>
      <c r="P40" s="8">
        <v>40.9</v>
      </c>
      <c r="Q40" s="8">
        <f>3.9*0.004184</f>
        <v>1.6317600000000002E-2</v>
      </c>
      <c r="R40" s="61">
        <f t="shared" si="10"/>
        <v>1.6724600138858077E-2</v>
      </c>
      <c r="S40">
        <f t="shared" si="9"/>
        <v>2.4942401998950547</v>
      </c>
      <c r="T40">
        <f t="shared" si="7"/>
        <v>2.4942401998950547</v>
      </c>
    </row>
    <row r="41" spans="2:20" x14ac:dyDescent="0.25">
      <c r="B41" s="83">
        <f>3.662+273.15</f>
        <v>276.81199999999995</v>
      </c>
      <c r="C41" s="87">
        <f>0.101325*36.3</f>
        <v>3.6780974999999998</v>
      </c>
      <c r="D41" s="87">
        <v>99.7</v>
      </c>
      <c r="E41" s="87">
        <f>5.01*0.004184</f>
        <v>2.0961839999999999E-2</v>
      </c>
      <c r="F41" s="78"/>
      <c r="H41" s="8">
        <f t="shared" si="1"/>
        <v>0.2132164242942686</v>
      </c>
      <c r="K41">
        <f t="shared" si="2"/>
        <v>14.958442200581187</v>
      </c>
      <c r="L41">
        <f>(I4+J4*(B41/304.1282))*H41+(I5+J5*(B41/304.1282))*(H41^2)+(I6+J6*(B41/304.1282))*(H41^3)+(I7+J7*(B41/304.1282))*(H41^4)+(I8+J8*(B41/304.1282))*(H41^5)+(I9+J9*(B41/304.1282))*(H41^6)</f>
        <v>3.8697306243577435E-3</v>
      </c>
      <c r="M41">
        <f t="shared" si="3"/>
        <v>1.416652813442989</v>
      </c>
      <c r="O41" s="8">
        <f>3.662+273.15</f>
        <v>276.81199999999995</v>
      </c>
      <c r="P41" s="8">
        <v>99.7</v>
      </c>
      <c r="Q41" s="8">
        <f>5.01*0.004184</f>
        <v>2.0961839999999999E-2</v>
      </c>
      <c r="R41" s="61">
        <f t="shared" si="10"/>
        <v>2.0244825638381921E-2</v>
      </c>
      <c r="S41">
        <f t="shared" si="9"/>
        <v>-3.4205697668624402</v>
      </c>
      <c r="T41">
        <f t="shared" si="7"/>
        <v>3.4205697668624402</v>
      </c>
    </row>
    <row r="42" spans="2:20" x14ac:dyDescent="0.25">
      <c r="B42" s="83">
        <f>3.662+273.15</f>
        <v>276.81199999999995</v>
      </c>
      <c r="C42" s="87">
        <f>0.101325*44.2</f>
        <v>4.4785650000000006</v>
      </c>
      <c r="D42" s="87">
        <v>890</v>
      </c>
      <c r="E42" s="87">
        <f>26.4*0.004184</f>
        <v>0.1104576</v>
      </c>
      <c r="F42" s="78"/>
      <c r="H42" s="8">
        <f t="shared" si="1"/>
        <v>1.9033361847733103</v>
      </c>
      <c r="K42">
        <f t="shared" si="2"/>
        <v>14.958442200581187</v>
      </c>
      <c r="L42">
        <f>(I4+J4*(B42/304.1282))*H42+(I5+J5*(B42/304.1282))*(H42^2)+(I6+J6*(B42/304.1282))*(H42^3)+(I7+J7*(B42/304.1282))*(H42^4)+(I8+J8*(B42/304.1282))*(H42^5)+(I9+J9*(B42/304.1282))*(H42^6)</f>
        <v>8.4836210288597211E-2</v>
      </c>
      <c r="M42">
        <f t="shared" si="3"/>
        <v>3.1695185815315443</v>
      </c>
      <c r="O42" s="8">
        <f>3.662+273.15</f>
        <v>276.81199999999995</v>
      </c>
      <c r="P42" s="8">
        <v>890</v>
      </c>
      <c r="Q42" s="8">
        <f>26.4*0.004184</f>
        <v>0.1104576</v>
      </c>
      <c r="R42" s="61">
        <f t="shared" si="10"/>
        <v>0.10296417107070995</v>
      </c>
      <c r="S42">
        <f t="shared" si="9"/>
        <v>-6.783986732728267</v>
      </c>
      <c r="T42">
        <f t="shared" si="7"/>
        <v>6.783986732728267</v>
      </c>
    </row>
    <row r="43" spans="2:20" x14ac:dyDescent="0.25">
      <c r="B43" s="84">
        <f>3.662+273.15</f>
        <v>276.81199999999995</v>
      </c>
      <c r="C43" s="88">
        <f>0.101325*56.6</f>
        <v>5.7349949999999996</v>
      </c>
      <c r="D43" s="88">
        <v>910</v>
      </c>
      <c r="E43" s="88">
        <f>27.1*0.004184</f>
        <v>0.11338640000000001</v>
      </c>
      <c r="F43" s="79"/>
      <c r="H43" s="8">
        <f t="shared" si="1"/>
        <v>1.9461077844311376</v>
      </c>
      <c r="K43">
        <f t="shared" si="2"/>
        <v>14.958442200581187</v>
      </c>
      <c r="L43">
        <f>(I4+J4*(B43/304.1282))*H43+(I5+J5*(B43/304.1282))*(H43^2)+(I6+J6*(B43/304.1282))*(H43^3)+(I7+J7*(B43/304.1282))*(H43^4)+(I8+J8*(B43/304.1282))*(H43^5)+(I9+J9*(B43/304.1282))*(H43^6)</f>
        <v>8.8991421108769758E-2</v>
      </c>
      <c r="M43">
        <f t="shared" si="3"/>
        <v>2.4392673122613826</v>
      </c>
      <c r="O43" s="57">
        <f>3.662+273.15</f>
        <v>276.81199999999995</v>
      </c>
      <c r="P43" s="57">
        <v>910</v>
      </c>
      <c r="Q43" s="57">
        <f>27.1*0.004184</f>
        <v>0.11338640000000001</v>
      </c>
      <c r="R43" s="25">
        <f t="shared" si="10"/>
        <v>0.10638913062161233</v>
      </c>
      <c r="S43" s="25">
        <f t="shared" si="9"/>
        <v>-6.1711716558490979</v>
      </c>
      <c r="T43" s="25">
        <f t="shared" si="7"/>
        <v>6.1711716558490979</v>
      </c>
    </row>
    <row r="44" spans="2:20" x14ac:dyDescent="0.25">
      <c r="B44" s="83">
        <f>26+273.15</f>
        <v>299.14999999999998</v>
      </c>
      <c r="C44" s="87">
        <f>0.101325*2.18</f>
        <v>0.22088850000000002</v>
      </c>
      <c r="D44" s="87">
        <v>3.6</v>
      </c>
      <c r="E44" s="87">
        <f>3.89*0.004184</f>
        <v>1.627576E-2</v>
      </c>
      <c r="F44" s="78"/>
      <c r="H44" s="8">
        <f t="shared" si="1"/>
        <v>7.6988879384088963E-3</v>
      </c>
      <c r="K44">
        <f t="shared" si="2"/>
        <v>16.653854993051358</v>
      </c>
      <c r="L44">
        <f>(I4+J4*(B44/304.1282))*H44+(I5+J5*(B44/304.1282))*(H44^2)+(I6+J6*(B44/304.1282))*(H44^3)+(I7+J7*(B44/304.1282))*(H44^4)+(I8+J8*(B44/304.1282))*(H44^5)+(I9+J9*(B44/304.1282))*(H44^6)</f>
        <v>1.1093832920968001E-4</v>
      </c>
      <c r="M44">
        <f t="shared" si="3"/>
        <v>0.11788205967527075</v>
      </c>
      <c r="O44" s="8">
        <f>26+273.15</f>
        <v>299.14999999999998</v>
      </c>
      <c r="P44" s="8">
        <v>3.6</v>
      </c>
      <c r="Q44" s="8">
        <f>3.89*0.004184</f>
        <v>1.627576E-2</v>
      </c>
      <c r="R44">
        <f t="shared" si="10"/>
        <v>1.6882675381936309E-2</v>
      </c>
      <c r="S44">
        <f t="shared" ref="S44:S49" si="11">100*(R44-Q44)/Q44</f>
        <v>3.7289526383794582</v>
      </c>
      <c r="T44">
        <f t="shared" si="7"/>
        <v>3.7289526383794582</v>
      </c>
    </row>
    <row r="45" spans="2:20" x14ac:dyDescent="0.25">
      <c r="B45" s="83">
        <f>26+273.15</f>
        <v>299.14999999999998</v>
      </c>
      <c r="C45" s="87">
        <f>0.101325*31.16</f>
        <v>3.1572870000000002</v>
      </c>
      <c r="D45" s="87">
        <v>68.5</v>
      </c>
      <c r="E45" s="87">
        <f>4.54*0.004184</f>
        <v>1.8995360000000003E-2</v>
      </c>
      <c r="F45" s="78"/>
      <c r="H45" s="8">
        <f t="shared" si="1"/>
        <v>0.14649272882805817</v>
      </c>
      <c r="K45">
        <f t="shared" si="2"/>
        <v>16.653854993051358</v>
      </c>
      <c r="L45">
        <f>(I4+J4*(B45/304.1282))*H45+(I5+J5*(B45/304.1282))*(H45^2)+(I6+J6*(B45/304.1282))*(H45^3)+(I7+J7*(B45/304.1282))*(H45^4)+(I8+J8*(B45/304.1282))*(H45^5)+(I9+J9*(B45/304.1282))*(H45^6)</f>
        <v>2.4908617918093837E-3</v>
      </c>
      <c r="M45">
        <f t="shared" si="3"/>
        <v>0.50585779878573689</v>
      </c>
      <c r="O45" s="8">
        <f>26+273.15</f>
        <v>299.14999999999998</v>
      </c>
      <c r="P45" s="8">
        <v>68.5</v>
      </c>
      <c r="Q45" s="8">
        <f>4.54*0.004184</f>
        <v>1.8995360000000003E-2</v>
      </c>
      <c r="R45">
        <f t="shared" si="10"/>
        <v>1.9650574583646475E-2</v>
      </c>
      <c r="S45">
        <f t="shared" si="11"/>
        <v>3.4493401738449418</v>
      </c>
      <c r="T45">
        <f t="shared" si="7"/>
        <v>3.4493401738449418</v>
      </c>
    </row>
    <row r="46" spans="2:20" x14ac:dyDescent="0.25">
      <c r="B46" s="83">
        <f>26+273.15</f>
        <v>299.14999999999998</v>
      </c>
      <c r="C46" s="87">
        <f>0.101325*56.9</f>
        <v>5.7653924999999999</v>
      </c>
      <c r="D46" s="87">
        <v>169.6</v>
      </c>
      <c r="E46" s="87">
        <f>6.67*0.004184</f>
        <v>2.790728E-2</v>
      </c>
      <c r="F46" s="78"/>
      <c r="H46" s="8">
        <f t="shared" si="1"/>
        <v>0.36270316509837464</v>
      </c>
      <c r="K46">
        <f t="shared" si="2"/>
        <v>16.653854993051358</v>
      </c>
      <c r="L46">
        <f>(I4+J4*(B46/304.1282))*H46+(I5+J5*(B46/304.1282))*(H46^2)+(I6+J6*(B46/304.1282))*(H46^3)+(I7+J7*(B46/304.1282))*(H46^4)+(I8+J8*(B46/304.1282))*(H46^5)+(I9+J9*(B46/304.1282))*(H46^6)</f>
        <v>7.3512867234865123E-3</v>
      </c>
      <c r="M46">
        <f t="shared" si="3"/>
        <v>3.3767331349375276</v>
      </c>
      <c r="O46" s="8">
        <f>26+273.15</f>
        <v>299.14999999999998</v>
      </c>
      <c r="P46" s="8">
        <v>169.6</v>
      </c>
      <c r="Q46" s="8">
        <f>6.67*0.004184</f>
        <v>2.790728E-2</v>
      </c>
      <c r="R46">
        <f t="shared" si="10"/>
        <v>2.7381874851475398E-2</v>
      </c>
      <c r="S46">
        <f t="shared" si="11"/>
        <v>-1.8826813237427724</v>
      </c>
      <c r="T46">
        <f t="shared" si="7"/>
        <v>1.8826813237427724</v>
      </c>
    </row>
    <row r="47" spans="2:20" x14ac:dyDescent="0.25">
      <c r="B47" s="83">
        <f>26+273.15</f>
        <v>299.14999999999998</v>
      </c>
      <c r="C47" s="87">
        <f>0.101325*68.7</f>
        <v>6.9610275000000001</v>
      </c>
      <c r="D47" s="87">
        <v>730</v>
      </c>
      <c r="E47" s="87">
        <f>19.9*0.004184</f>
        <v>8.3261600000000005E-2</v>
      </c>
      <c r="F47" s="78"/>
      <c r="H47" s="8">
        <f t="shared" si="1"/>
        <v>1.5611633875106927</v>
      </c>
      <c r="K47">
        <f t="shared" si="2"/>
        <v>16.653854993051358</v>
      </c>
      <c r="L47">
        <f>(I4+J4*(B47/304.1282))*H47+(I5+J5*(B47/304.1282))*(H47^2)+(I6+J6*(B47/304.1282))*(H47^3)+(I7+J7*(B47/304.1282))*(H47^4)+(I8+J8*(B47/304.1282))*(H47^5)+(I9+J9*(B47/304.1282))*(H47^6)</f>
        <v>5.7339123260711736E-2</v>
      </c>
      <c r="M47">
        <f t="shared" si="3"/>
        <v>8.7678457181087026</v>
      </c>
      <c r="O47" s="8">
        <f>26+273.15</f>
        <v>299.14999999999998</v>
      </c>
      <c r="P47" s="8">
        <v>730</v>
      </c>
      <c r="Q47" s="8">
        <f>19.9*0.004184</f>
        <v>8.3261600000000005E-2</v>
      </c>
      <c r="R47">
        <f t="shared" si="10"/>
        <v>8.2760823971871789E-2</v>
      </c>
      <c r="S47">
        <f t="shared" si="11"/>
        <v>-0.60144896101950529</v>
      </c>
      <c r="T47">
        <f t="shared" si="7"/>
        <v>0.60144896101950529</v>
      </c>
    </row>
    <row r="48" spans="2:20" x14ac:dyDescent="0.25">
      <c r="B48" s="84">
        <f>26+273.15</f>
        <v>299.14999999999998</v>
      </c>
      <c r="C48" s="88">
        <f>0.101325*75.9</f>
        <v>7.6905675000000002</v>
      </c>
      <c r="D48" s="88">
        <v>760</v>
      </c>
      <c r="E48" s="88">
        <f>20.4*0.004184</f>
        <v>8.5353600000000002E-2</v>
      </c>
      <c r="F48" s="79"/>
      <c r="H48" s="8">
        <f t="shared" si="1"/>
        <v>1.6253207869974335</v>
      </c>
      <c r="K48">
        <f t="shared" si="2"/>
        <v>16.653854993051358</v>
      </c>
      <c r="L48">
        <f>(I4+J4*(B48/304.1282))*H48+(I5+J5*(B48/304.1282))*(H48^2)+(I6+J6*(B48/304.1282))*(H48^3)+(I7+J7*(B48/304.1282))*(H48^4)+(I8+J8*(B48/304.1282))*(H48^5)+(I9+J9*(B48/304.1282))*(H48^6)</f>
        <v>6.1756176728788241E-2</v>
      </c>
      <c r="M48">
        <f t="shared" si="3"/>
        <v>6.261710436292943</v>
      </c>
      <c r="O48" s="57">
        <f>26+273.15</f>
        <v>299.14999999999998</v>
      </c>
      <c r="P48" s="57">
        <v>760</v>
      </c>
      <c r="Q48" s="57">
        <f>20.4*0.004184</f>
        <v>8.5353600000000002E-2</v>
      </c>
      <c r="R48" s="25">
        <f t="shared" si="10"/>
        <v>8.4671742158132543E-2</v>
      </c>
      <c r="S48" s="25">
        <f t="shared" si="11"/>
        <v>-0.79886242861163281</v>
      </c>
      <c r="T48" s="25">
        <f t="shared" si="7"/>
        <v>0.79886242861163281</v>
      </c>
    </row>
    <row r="49" spans="2:20" x14ac:dyDescent="0.25">
      <c r="B49" s="83">
        <f>30.9+273.15</f>
        <v>304.04999999999995</v>
      </c>
      <c r="C49" s="87">
        <f>0.101325*2.18</f>
        <v>0.22088850000000002</v>
      </c>
      <c r="D49" s="87">
        <v>3.6</v>
      </c>
      <c r="E49" s="87">
        <f>3.98*0.004184</f>
        <v>1.6652320000000002E-2</v>
      </c>
      <c r="F49" s="78"/>
      <c r="H49" s="8">
        <f t="shared" si="1"/>
        <v>7.6988879384088963E-3</v>
      </c>
      <c r="K49">
        <f t="shared" si="2"/>
        <v>17.031186716631662</v>
      </c>
      <c r="L49">
        <f>(I4+J4*(B49/304.1282))*H49+(I5+J5*(B49/304.1282))*(H49^2)+(I6+J6*(B49/304.1282))*(H49^3)+(I7+J7*(B49/304.1282))*(H49^4)+(I8+J8*(B49/304.1282))*(H49^5)+(I9+J9*(B49/304.1282))*(H49^6)</f>
        <v>1.1143898503168741E-4</v>
      </c>
      <c r="M49">
        <f t="shared" si="3"/>
        <v>0.11041195186166723</v>
      </c>
      <c r="O49" s="8">
        <f>30.9+273.15</f>
        <v>304.04999999999995</v>
      </c>
      <c r="P49" s="8">
        <v>3.6</v>
      </c>
      <c r="Q49" s="8">
        <f>3.98*0.004184</f>
        <v>1.6652320000000002E-2</v>
      </c>
      <c r="R49">
        <f t="shared" si="10"/>
        <v>1.7253037653525018E-2</v>
      </c>
      <c r="S49">
        <f t="shared" si="11"/>
        <v>3.6074111806944371</v>
      </c>
      <c r="T49">
        <f t="shared" si="7"/>
        <v>3.6074111806944371</v>
      </c>
    </row>
    <row r="50" spans="2:20" x14ac:dyDescent="0.25">
      <c r="B50" s="83">
        <f>30.9+273.15</f>
        <v>304.04999999999995</v>
      </c>
      <c r="C50" s="87">
        <f>0.101325*30.32</f>
        <v>3.072174</v>
      </c>
      <c r="D50" s="87">
        <v>65.099999999999994</v>
      </c>
      <c r="E50" s="87">
        <f>4.6*0.004184</f>
        <v>1.92464E-2</v>
      </c>
      <c r="F50" s="78"/>
      <c r="H50" s="8">
        <f t="shared" si="1"/>
        <v>0.13922155688622753</v>
      </c>
      <c r="K50">
        <f t="shared" si="2"/>
        <v>17.031186716631662</v>
      </c>
      <c r="L50">
        <f>(I4+J4*(B50/304.1282))*H50+(I5+J5*(B50/304.1282))*(H50^2)+(I6+J6*(B50/304.1282))*(H50^3)+(I7+J7*(B50/304.1282))*(H50^4)+(I8+J8*(B50/304.1282))*(H50^5)+(I9+J9*(B50/304.1282))*(H50^6)</f>
        <v>2.3510051653586658E-3</v>
      </c>
      <c r="M50">
        <f t="shared" si="3"/>
        <v>0.43701319005197664</v>
      </c>
      <c r="O50" s="8">
        <f>30.9+273.15</f>
        <v>304.04999999999995</v>
      </c>
      <c r="P50" s="8">
        <v>65.099999999999994</v>
      </c>
      <c r="Q50" s="8">
        <f>4.6*0.004184</f>
        <v>1.92464E-2</v>
      </c>
      <c r="R50">
        <f t="shared" ref="R50:R71" si="12">(K50+M50)/1000 +L50</f>
        <v>1.9819205072042309E-2</v>
      </c>
      <c r="S50">
        <f t="shared" ref="S50:S66" si="13">100*(R50-Q50)/Q50</f>
        <v>2.976167345801338</v>
      </c>
      <c r="T50">
        <f t="shared" si="7"/>
        <v>2.976167345801338</v>
      </c>
    </row>
    <row r="51" spans="2:20" x14ac:dyDescent="0.25">
      <c r="B51" s="84">
        <f>30.9+273.15</f>
        <v>304.04999999999995</v>
      </c>
      <c r="C51" s="88">
        <f>0.101325*57.6</f>
        <v>5.8363199999999997</v>
      </c>
      <c r="D51" s="88">
        <v>160.69999999999999</v>
      </c>
      <c r="E51" s="88">
        <f>6.37*0.004184</f>
        <v>2.6652080000000002E-2</v>
      </c>
      <c r="F51" s="79"/>
      <c r="H51" s="8">
        <f t="shared" si="1"/>
        <v>0.34366980325064156</v>
      </c>
      <c r="K51">
        <f t="shared" si="2"/>
        <v>17.031186716631662</v>
      </c>
      <c r="L51">
        <f>(I4+J4*(B51/304.1282))*H51+(I5+J5*(B51/304.1282))*(H51^2)+(I6+J6*(B51/304.1282))*(H51^3)+(I7+J7*(B51/304.1282))*(H51^4)+(I8+J8*(B51/304.1282))*(H51^5)+(I9+J9*(B51/304.1282))*(H51^6)</f>
        <v>6.8652526588160604E-3</v>
      </c>
      <c r="M51">
        <f t="shared" si="3"/>
        <v>2.5698254042980158</v>
      </c>
      <c r="O51" s="57">
        <f>30.9+273.15</f>
        <v>304.04999999999995</v>
      </c>
      <c r="P51" s="57">
        <v>160.69999999999999</v>
      </c>
      <c r="Q51" s="57">
        <f>6.37*0.004184</f>
        <v>2.6652080000000002E-2</v>
      </c>
      <c r="R51" s="25">
        <f t="shared" si="12"/>
        <v>2.6466264779745736E-2</v>
      </c>
      <c r="S51" s="25">
        <f t="shared" si="13"/>
        <v>-0.69718843802909602</v>
      </c>
      <c r="T51" s="25">
        <f t="shared" si="7"/>
        <v>0.69718843802909602</v>
      </c>
    </row>
    <row r="52" spans="2:20" x14ac:dyDescent="0.25">
      <c r="B52" s="113">
        <f>31.31+273.15</f>
        <v>304.45999999999998</v>
      </c>
      <c r="C52" s="88">
        <f>0.101325*77.7</f>
        <v>7.8729525000000002</v>
      </c>
      <c r="D52" s="88">
        <v>652</v>
      </c>
      <c r="E52" s="88">
        <f>19.7*0.004184</f>
        <v>8.2424800000000006E-2</v>
      </c>
      <c r="F52" s="79"/>
      <c r="H52" s="8">
        <f t="shared" si="1"/>
        <v>1.3943541488451667</v>
      </c>
      <c r="K52">
        <f t="shared" si="2"/>
        <v>17.062839523896258</v>
      </c>
      <c r="L52">
        <f>(I4+J4*(B52/304.1282))*H52+(I5+J5*(B52/304.1282))*(H52^2)+(I6+J6*(B52/304.1282))*(H52^3)+(I7+J7*(B52/304.1282))*(H52^4)+(I8+J8*(B52/304.1282))*(H52^5)+(I9+J9*(B52/304.1282))*(H52^6)</f>
        <v>4.7029259739335395E-2</v>
      </c>
      <c r="M52">
        <f t="shared" si="3"/>
        <v>15.307390746439479</v>
      </c>
      <c r="O52" s="115">
        <f>31.31+273.15</f>
        <v>304.45999999999998</v>
      </c>
      <c r="P52" s="57">
        <v>652</v>
      </c>
      <c r="Q52" s="57">
        <f>19.7*0.004184</f>
        <v>8.2424800000000006E-2</v>
      </c>
      <c r="R52" s="25">
        <f t="shared" si="12"/>
        <v>7.9399490009671142E-2</v>
      </c>
      <c r="S52" s="25">
        <f t="shared" si="13"/>
        <v>-3.6703880268182201</v>
      </c>
      <c r="T52" s="25">
        <f t="shared" si="7"/>
        <v>3.6703880268182201</v>
      </c>
    </row>
    <row r="53" spans="2:20" x14ac:dyDescent="0.25">
      <c r="B53" s="114">
        <f>32.054+273.15</f>
        <v>305.20399999999995</v>
      </c>
      <c r="C53" s="87">
        <f>0.101325*72.51</f>
        <v>7.3470757500000001</v>
      </c>
      <c r="D53" s="87">
        <v>300</v>
      </c>
      <c r="E53" s="87">
        <f>12.8*0.004184</f>
        <v>5.3555200000000004E-2</v>
      </c>
      <c r="F53" s="78"/>
      <c r="H53" s="8">
        <f t="shared" si="1"/>
        <v>0.64157399486740796</v>
      </c>
      <c r="K53">
        <f t="shared" si="2"/>
        <v>17.120308711093411</v>
      </c>
      <c r="L53">
        <f>(I4+J4*(B53/304.1282))*H53+(I5+J5*(B53/304.1282))*(H53^2)+(I6+J6*(B53/304.1282))*(H53^3)+(I7+J7*(B53/304.1282))*(H53^4)+(I8+J8*(B53/304.1282))*(H53^5)+(I9+J9*(B53/304.1282))*(H53^6)</f>
        <v>1.5207692826273862E-2</v>
      </c>
      <c r="M53">
        <f t="shared" si="3"/>
        <v>20.832831858117551</v>
      </c>
      <c r="O53" s="116">
        <f>32.054+273.15</f>
        <v>305.20399999999995</v>
      </c>
      <c r="P53" s="117">
        <v>300</v>
      </c>
      <c r="Q53" s="8">
        <f>12.8*0.004184</f>
        <v>5.3555200000000004E-2</v>
      </c>
      <c r="R53">
        <f t="shared" si="12"/>
        <v>5.3160833395484823E-2</v>
      </c>
      <c r="S53">
        <f t="shared" si="13"/>
        <v>-0.73637406734580602</v>
      </c>
      <c r="T53">
        <f t="shared" si="7"/>
        <v>0.73637406734580602</v>
      </c>
    </row>
    <row r="54" spans="2:20" x14ac:dyDescent="0.25">
      <c r="B54" s="83">
        <f t="shared" ref="B54:B60" si="14">32.054+273.15</f>
        <v>305.20399999999995</v>
      </c>
      <c r="C54" s="87">
        <f>0.101325*74.29</f>
        <v>7.5274342500000007</v>
      </c>
      <c r="D54" s="87">
        <v>398</v>
      </c>
      <c r="E54" s="87">
        <f>31*0.004184</f>
        <v>0.12970400000000001</v>
      </c>
      <c r="F54" s="78"/>
      <c r="H54" s="8">
        <f t="shared" si="1"/>
        <v>0.85115483319076124</v>
      </c>
      <c r="K54">
        <f t="shared" si="2"/>
        <v>17.120308711093411</v>
      </c>
      <c r="L54">
        <f>(I4+J4*(B54/304.1282))*H54+(I5+J5*(B54/304.1282))*(H54^2)+(I6+J6*(B54/304.1282))*(H54^3)+(I7+J7*(B54/304.1282))*(H54^4)+(I8+J8*(B54/304.1282))*(H54^5)+(I9+J9*(B54/304.1282))*(H54^6)</f>
        <v>2.2295506687835139E-2</v>
      </c>
      <c r="M54">
        <f t="shared" si="3"/>
        <v>74.707260923953541</v>
      </c>
      <c r="O54" s="118">
        <f t="shared" ref="O54:O60" si="15">32.054+273.15</f>
        <v>305.20399999999995</v>
      </c>
      <c r="P54" s="117">
        <v>398</v>
      </c>
      <c r="Q54" s="8">
        <f>31*0.004184</f>
        <v>0.12970400000000001</v>
      </c>
      <c r="R54">
        <f t="shared" si="12"/>
        <v>0.1141230763228821</v>
      </c>
      <c r="S54">
        <f t="shared" si="13"/>
        <v>-12.012677848885087</v>
      </c>
      <c r="T54">
        <f t="shared" si="7"/>
        <v>12.012677848885087</v>
      </c>
    </row>
    <row r="55" spans="2:20" x14ac:dyDescent="0.25">
      <c r="B55" s="83">
        <f t="shared" si="14"/>
        <v>305.20399999999995</v>
      </c>
      <c r="C55" s="87">
        <f>0.101325*74.49</f>
        <v>7.5476992499999991</v>
      </c>
      <c r="D55" s="87">
        <v>448.2</v>
      </c>
      <c r="E55" s="87">
        <f>57*0.004184</f>
        <v>0.23848800000000001</v>
      </c>
      <c r="F55" s="78"/>
      <c r="H55" s="8">
        <f t="shared" si="1"/>
        <v>0.95851154833190755</v>
      </c>
      <c r="K55">
        <f t="shared" si="2"/>
        <v>17.120308711093411</v>
      </c>
      <c r="L55">
        <f>(I4+J4*(B55/304.1282))*H55+(I5+J5*(B55/304.1282))*(H55^2)+(I6+J6*(B55/304.1282))*(H55^3)+(I7+J7*(B55/304.1282))*(H55^4)+(I8+J8*(B55/304.1282))*(H55^5)+(I9+J9*(B55/304.1282))*(H55^6)</f>
        <v>2.6370016560194592E-2</v>
      </c>
      <c r="M55">
        <f t="shared" si="3"/>
        <v>93.042733275209443</v>
      </c>
      <c r="O55" s="118">
        <f t="shared" si="15"/>
        <v>305.20399999999995</v>
      </c>
      <c r="P55" s="117">
        <v>448.2</v>
      </c>
      <c r="Q55" s="8">
        <f>57*0.004184</f>
        <v>0.23848800000000001</v>
      </c>
      <c r="R55">
        <f>(K55+M55)/1000 +L55</f>
        <v>0.13653305854649744</v>
      </c>
      <c r="S55">
        <f>100*(R55-Q55)/Q55</f>
        <v>-42.750554096433596</v>
      </c>
      <c r="T55">
        <f t="shared" si="7"/>
        <v>42.750554096433596</v>
      </c>
    </row>
    <row r="56" spans="2:20" x14ac:dyDescent="0.25">
      <c r="B56" s="83">
        <f t="shared" si="14"/>
        <v>305.20399999999995</v>
      </c>
      <c r="C56" s="87">
        <f>0.101325*74.56</f>
        <v>7.554792</v>
      </c>
      <c r="D56" s="87">
        <v>475.8</v>
      </c>
      <c r="E56" s="87">
        <f>70*0.004184</f>
        <v>0.29288000000000003</v>
      </c>
      <c r="F56" s="78"/>
      <c r="H56" s="8">
        <f t="shared" si="1"/>
        <v>1.017536355859709</v>
      </c>
      <c r="K56">
        <f t="shared" si="2"/>
        <v>17.120308711093411</v>
      </c>
      <c r="L56">
        <f>(I4+J4*(B56/304.1282))*H56+(I5+J5*(B56/304.1282))*(H56^2)+(I6+J6*(B56/304.1282))*(H56^3)+(I7+J7*(B56/304.1282))*(H56^4)+(I8+J8*(B56/304.1282))*(H56^5)+(I9+J9*(B56/304.1282))*(H56^6)</f>
        <v>2.8755535554779652E-2</v>
      </c>
      <c r="M56">
        <f t="shared" si="3"/>
        <v>83.797675061546116</v>
      </c>
      <c r="O56" s="118">
        <f t="shared" si="15"/>
        <v>305.20399999999995</v>
      </c>
      <c r="P56" s="117">
        <v>475.8</v>
      </c>
      <c r="Q56" s="8">
        <f>70*0.004184</f>
        <v>0.29288000000000003</v>
      </c>
      <c r="R56">
        <f t="shared" si="12"/>
        <v>0.12967351932741916</v>
      </c>
      <c r="S56">
        <f t="shared" si="13"/>
        <v>-55.724692936554511</v>
      </c>
      <c r="T56">
        <f t="shared" si="7"/>
        <v>55.724692936554511</v>
      </c>
    </row>
    <row r="57" spans="2:20" x14ac:dyDescent="0.25">
      <c r="B57" s="83">
        <f t="shared" si="14"/>
        <v>305.20399999999995</v>
      </c>
      <c r="C57" s="87">
        <f>0.101325*74.62</f>
        <v>7.5608715000000002</v>
      </c>
      <c r="D57" s="87">
        <v>498</v>
      </c>
      <c r="E57" s="87">
        <f>50*0.004184</f>
        <v>0.2092</v>
      </c>
      <c r="F57" s="78"/>
      <c r="H57" s="8">
        <f t="shared" si="1"/>
        <v>1.0650128314798972</v>
      </c>
      <c r="K57">
        <f t="shared" si="2"/>
        <v>17.120308711093411</v>
      </c>
      <c r="L57">
        <f>(I4+J4*(B57/304.1282))*H57+(I5+J5*(B57/304.1282))*(H57^2)+(I6+J6*(B57/304.1282))*(H57^3)+(I7+J7*(B57/304.1282))*(H57^4)+(I8+J8*(B57/304.1282))*(H57^5)+(I9+J9*(B57/304.1282))*(H57^6)</f>
        <v>3.0755492240876616E-2</v>
      </c>
      <c r="M57">
        <f t="shared" si="3"/>
        <v>70.83817454450022</v>
      </c>
      <c r="O57" s="118">
        <f t="shared" si="15"/>
        <v>305.20399999999995</v>
      </c>
      <c r="P57" s="117">
        <v>498</v>
      </c>
      <c r="Q57" s="8">
        <f>50*0.004184</f>
        <v>0.2092</v>
      </c>
      <c r="R57">
        <f t="shared" si="12"/>
        <v>0.11871397549647025</v>
      </c>
      <c r="S57">
        <f t="shared" si="13"/>
        <v>-43.253357793274262</v>
      </c>
      <c r="T57">
        <f t="shared" si="7"/>
        <v>43.253357793274262</v>
      </c>
    </row>
    <row r="58" spans="2:20" x14ac:dyDescent="0.25">
      <c r="B58" s="83">
        <f t="shared" si="14"/>
        <v>305.20399999999995</v>
      </c>
      <c r="C58" s="87">
        <f>0.101325*74.99</f>
        <v>7.5983617499999996</v>
      </c>
      <c r="D58" s="87">
        <v>553</v>
      </c>
      <c r="E58" s="87">
        <f>28*0.004184</f>
        <v>0.11715200000000001</v>
      </c>
      <c r="F58" s="78"/>
      <c r="H58" s="8">
        <f t="shared" si="1"/>
        <v>1.1826347305389222</v>
      </c>
      <c r="K58">
        <f t="shared" si="2"/>
        <v>17.120308711093411</v>
      </c>
      <c r="L58">
        <f>(I4+J4*(B58/304.1282))*H58+(I5+J5*(B58/304.1282))*(H58^2)+(I6+J6*(B58/304.1282))*(H58^3)+(I7+J7*(B58/304.1282))*(H58^4)+(I8+J8*(B58/304.1282))*(H58^5)+(I9+J9*(B58/304.1282))*(H58^6)</f>
        <v>3.6051681779632583E-2</v>
      </c>
      <c r="M58">
        <f t="shared" si="3"/>
        <v>40.864431319116136</v>
      </c>
      <c r="O58" s="118">
        <f t="shared" si="15"/>
        <v>305.20399999999995</v>
      </c>
      <c r="P58" s="117">
        <v>553</v>
      </c>
      <c r="Q58" s="8">
        <f>28*0.004184</f>
        <v>0.11715200000000001</v>
      </c>
      <c r="R58">
        <f t="shared" si="12"/>
        <v>9.4036421809842133E-2</v>
      </c>
      <c r="S58">
        <f t="shared" si="13"/>
        <v>-19.731270648523175</v>
      </c>
      <c r="T58">
        <f t="shared" si="7"/>
        <v>19.731270648523175</v>
      </c>
    </row>
    <row r="59" spans="2:20" x14ac:dyDescent="0.25">
      <c r="B59" s="83">
        <f t="shared" si="14"/>
        <v>305.20399999999995</v>
      </c>
      <c r="C59" s="87">
        <f>0.101325*75.9</f>
        <v>7.6905675000000002</v>
      </c>
      <c r="D59" s="87">
        <v>600</v>
      </c>
      <c r="E59" s="87">
        <f>21.4*0.004184</f>
        <v>8.9537599999999995E-2</v>
      </c>
      <c r="F59" s="78"/>
      <c r="H59" s="8">
        <f t="shared" si="1"/>
        <v>1.2831479897348159</v>
      </c>
      <c r="K59">
        <f t="shared" si="2"/>
        <v>17.120308711093411</v>
      </c>
      <c r="L59">
        <f>(I4+J4*(B59/304.1282))*H59+(I5+J5*(B59/304.1282))*(H59^2)+(I6+J6*(B59/304.1282))*(H59^3)+(I7+J7*(B59/304.1282))*(H59^4)+(I8+J8*(B59/304.1282))*(H59^5)+(I9+J9*(B59/304.1282))*(H59^6)</f>
        <v>4.1008279408571449E-2</v>
      </c>
      <c r="M59">
        <f t="shared" si="3"/>
        <v>24.902240731177052</v>
      </c>
      <c r="O59" s="118">
        <f t="shared" si="15"/>
        <v>305.20399999999995</v>
      </c>
      <c r="P59" s="117">
        <v>600</v>
      </c>
      <c r="Q59" s="8">
        <f>21.4*0.004184</f>
        <v>8.9537599999999995E-2</v>
      </c>
      <c r="R59">
        <f t="shared" si="12"/>
        <v>8.3030828850841912E-2</v>
      </c>
      <c r="S59">
        <f t="shared" si="13"/>
        <v>-7.2670823756255292</v>
      </c>
      <c r="T59">
        <f t="shared" si="7"/>
        <v>7.2670823756255292</v>
      </c>
    </row>
    <row r="60" spans="2:20" x14ac:dyDescent="0.25">
      <c r="B60" s="84">
        <f t="shared" si="14"/>
        <v>305.20399999999995</v>
      </c>
      <c r="C60" s="88">
        <f>0.101325*79.67</f>
        <v>8.0725627499999995</v>
      </c>
      <c r="D60" s="88">
        <v>650</v>
      </c>
      <c r="E60" s="88">
        <f>19.6*0.004184</f>
        <v>8.2006400000000007E-2</v>
      </c>
      <c r="F60" s="79"/>
      <c r="H60" s="8">
        <f t="shared" si="1"/>
        <v>1.390076988879384</v>
      </c>
      <c r="K60">
        <f t="shared" si="2"/>
        <v>17.120308711093411</v>
      </c>
      <c r="L60">
        <f>(I4+J4*(B60/304.1282))*H60+(I5+J5*(B60/304.1282))*(H60^2)+(I6+J6*(B60/304.1282))*(H60^3)+(I7+J7*(B60/304.1282))*(H60^4)+(I8+J8*(B60/304.1282))*(H60^5)+(I9+J9*(B60/304.1282))*(H60^6)</f>
        <v>4.6782276234247411E-2</v>
      </c>
      <c r="M60">
        <f t="shared" si="3"/>
        <v>14.915988114947309</v>
      </c>
      <c r="O60" s="57">
        <f t="shared" si="15"/>
        <v>305.20399999999995</v>
      </c>
      <c r="P60" s="119">
        <v>650</v>
      </c>
      <c r="Q60" s="57">
        <f>19.6*0.004184</f>
        <v>8.2006400000000007E-2</v>
      </c>
      <c r="R60" s="25">
        <f>(K60+M60)/1000 +L60</f>
        <v>7.8818573060288138E-2</v>
      </c>
      <c r="S60" s="25">
        <f>100*(R60-Q60)/Q60</f>
        <v>-3.8872904306393994</v>
      </c>
      <c r="T60" s="25">
        <f t="shared" si="7"/>
        <v>3.8872904306393994</v>
      </c>
    </row>
    <row r="61" spans="2:20" x14ac:dyDescent="0.25">
      <c r="B61" s="114">
        <f>34.721+273.15</f>
        <v>307.87099999999998</v>
      </c>
      <c r="C61" s="87">
        <f>0.101325*78.18</f>
        <v>7.9215885000000004</v>
      </c>
      <c r="D61" s="87">
        <v>400</v>
      </c>
      <c r="E61" s="87">
        <f>20.5*0.004184</f>
        <v>8.5772000000000001E-2</v>
      </c>
      <c r="F61" s="78"/>
      <c r="H61" s="8">
        <f t="shared" si="1"/>
        <v>0.85543199315654406</v>
      </c>
      <c r="K61">
        <f t="shared" si="2"/>
        <v>17.326640331791559</v>
      </c>
      <c r="L61">
        <f>(I4+J4*(B61/304.1282))*H61+(I5+J5*(B61/304.1282))*(H61^2)+(I6+J6*(B61/304.1282))*(H61^3)+(I7+J7*(B61/304.1282))*(H61^4)+(I8+J8*(B61/304.1282))*(H61^5)+(I9+J9*(B61/304.1282))*(H61^6)</f>
        <v>2.2440369301787711E-2</v>
      </c>
      <c r="M61">
        <f t="shared" si="3"/>
        <v>47.124077362773932</v>
      </c>
      <c r="O61" s="116">
        <f>34.721+273.15</f>
        <v>307.87099999999998</v>
      </c>
      <c r="P61" s="8">
        <v>400</v>
      </c>
      <c r="Q61" s="8">
        <f>20.5*0.004184</f>
        <v>8.5772000000000001E-2</v>
      </c>
      <c r="R61">
        <f t="shared" si="12"/>
        <v>8.6891086996353201E-2</v>
      </c>
      <c r="S61">
        <f t="shared" si="13"/>
        <v>1.3047229822706707</v>
      </c>
      <c r="T61">
        <f t="shared" si="7"/>
        <v>1.3047229822706707</v>
      </c>
    </row>
    <row r="62" spans="2:20" x14ac:dyDescent="0.25">
      <c r="B62" s="83">
        <f>34.721+273.15</f>
        <v>307.87099999999998</v>
      </c>
      <c r="C62" s="87">
        <f>0.101325*79.13</f>
        <v>8.0178472499999991</v>
      </c>
      <c r="D62" s="87">
        <v>474</v>
      </c>
      <c r="E62" s="87">
        <f>25.9*0.004184</f>
        <v>0.10836560000000001</v>
      </c>
      <c r="F62" s="78"/>
      <c r="H62" s="8">
        <f t="shared" si="1"/>
        <v>1.0136869118905047</v>
      </c>
      <c r="K62">
        <f t="shared" ref="K62:K71" si="16">SQRT(B62/304.1282)/(0.0151874307+0.028067404/(B62/304.1282)+0.022856419/((B62/304.1282)^2)-0.0074162421/(B62/304.1282)^3)</f>
        <v>17.326640331791559</v>
      </c>
      <c r="L62">
        <f>(I4+J4*(B62/304.1282))*H62+(I5+J5*(B62/304.1282))*(H62^2)+(I6+J6*(B62/304.1282))*(H62^3)+(I7+J7*(B62/304.1282))*(H62^4)+(I8+J8*(B62/304.1282))*(H62^5)+(I9+J9*(B62/304.1282))*(H62^6)</f>
        <v>2.8586202282797988E-2</v>
      </c>
      <c r="M62">
        <f t="shared" si="3"/>
        <v>50.766271431253173</v>
      </c>
      <c r="O62" s="118">
        <f>34.721+273.15</f>
        <v>307.87099999999998</v>
      </c>
      <c r="P62" s="117">
        <v>474</v>
      </c>
      <c r="Q62" s="8">
        <f>25.9*0.004184</f>
        <v>0.10836560000000001</v>
      </c>
      <c r="R62">
        <f t="shared" si="12"/>
        <v>9.6679114045842715E-2</v>
      </c>
      <c r="S62">
        <f t="shared" si="13"/>
        <v>-10.784313429868233</v>
      </c>
      <c r="T62">
        <f t="shared" si="7"/>
        <v>10.784313429868233</v>
      </c>
    </row>
    <row r="63" spans="2:20" x14ac:dyDescent="0.25">
      <c r="B63" s="84">
        <f>34.721+273.15</f>
        <v>307.87099999999998</v>
      </c>
      <c r="C63" s="88">
        <f>0.101325*80.46</f>
        <v>8.1526094999999987</v>
      </c>
      <c r="D63" s="88">
        <v>550</v>
      </c>
      <c r="E63" s="88">
        <f>20*0.004184</f>
        <v>8.3680000000000004E-2</v>
      </c>
      <c r="F63" s="79"/>
      <c r="H63" s="8">
        <f t="shared" ref="H63:H71" si="17">D63/467.6</f>
        <v>1.176218990590248</v>
      </c>
      <c r="K63">
        <f t="shared" si="16"/>
        <v>17.326640331791559</v>
      </c>
      <c r="L63">
        <f>(I4+J4*(B63/304.1282))*H63+(I5+J5*(B63/304.1282))*(H63^2)+(I6+J6*(B63/304.1282))*(H63^3)+(I7+J7*(B63/304.1282))*(H63^4)+(I8+J8*(B63/304.1282))*(H63^5)+(I9+J9*(B63/304.1282))*(H63^6)</f>
        <v>3.5738483521578122E-2</v>
      </c>
      <c r="M63">
        <f t="shared" ref="M63:M71" si="18">(-17.47-44.88*(-1+B63/304.1282))/(0.8563-EXP(8.865*(-1+B63/304.1282)+4.16*(H63-1)^2+2.302*(-1+B63/304.1282)*(H63-1)-(H63-1)^3)-0.4503*(H63-1)-7.197*(-1+B63/304.1282))</f>
        <v>31.068824717051353</v>
      </c>
      <c r="O63" s="57">
        <f>34.721+273.15</f>
        <v>307.87099999999998</v>
      </c>
      <c r="P63" s="119">
        <v>550</v>
      </c>
      <c r="Q63" s="57">
        <f>20*0.004184</f>
        <v>8.3680000000000004E-2</v>
      </c>
      <c r="R63" s="25">
        <f>(K63+M63)/1000 +L63</f>
        <v>8.413394857042103E-2</v>
      </c>
      <c r="S63" s="25">
        <f t="shared" si="13"/>
        <v>0.54248156121059454</v>
      </c>
      <c r="T63" s="25">
        <f t="shared" si="7"/>
        <v>0.54248156121059454</v>
      </c>
    </row>
    <row r="64" spans="2:20" x14ac:dyDescent="0.25">
      <c r="B64" s="114">
        <f>36.24+273.15</f>
        <v>309.39</v>
      </c>
      <c r="C64" s="87">
        <f>0.101325*2.18</f>
        <v>0.22088850000000002</v>
      </c>
      <c r="D64" s="87">
        <v>3.6</v>
      </c>
      <c r="E64" s="87">
        <f>4.09*0.004184</f>
        <v>1.7112559999999999E-2</v>
      </c>
      <c r="F64" s="78"/>
      <c r="H64" s="8">
        <f t="shared" si="17"/>
        <v>7.6988879384088963E-3</v>
      </c>
      <c r="K64">
        <f t="shared" si="16"/>
        <v>17.444379110043769</v>
      </c>
      <c r="L64">
        <f>(I4+J4*(B64/304.1282))*H64+(I5+J5*(B64/304.1282))*(H64^2)+(I6+J6*(B64/304.1282))*(H64^3)+(I7+J7*(B64/304.1282))*(H64^4)+(I8+J8*(B64/304.1282))*(H64^5)+(I9+J9*(B64/304.1282))*(H64^6)</f>
        <v>1.1198459770301793E-4</v>
      </c>
      <c r="M64">
        <f t="shared" si="18"/>
        <v>0.10263798816625225</v>
      </c>
      <c r="O64" s="116">
        <f>36.24+273.15</f>
        <v>309.39</v>
      </c>
      <c r="P64" s="8">
        <v>3.6</v>
      </c>
      <c r="Q64" s="8">
        <f>4.09*0.004184</f>
        <v>1.7112559999999999E-2</v>
      </c>
      <c r="R64">
        <f t="shared" si="12"/>
        <v>1.765900169591304E-2</v>
      </c>
      <c r="S64" s="43">
        <f t="shared" si="13"/>
        <v>3.193220043716666</v>
      </c>
      <c r="T64">
        <f t="shared" si="7"/>
        <v>3.193220043716666</v>
      </c>
    </row>
    <row r="65" spans="2:20" x14ac:dyDescent="0.25">
      <c r="B65" s="83">
        <f>36.24+273.15</f>
        <v>309.39</v>
      </c>
      <c r="C65" s="87">
        <f>0.101325*30.2</f>
        <v>3.0600149999999999</v>
      </c>
      <c r="D65" s="87">
        <v>61.4</v>
      </c>
      <c r="E65" s="87">
        <f>4.66*0.004184</f>
        <v>1.9497440000000001E-2</v>
      </c>
      <c r="F65" s="78"/>
      <c r="H65" s="8">
        <f t="shared" si="17"/>
        <v>0.13130881094952951</v>
      </c>
      <c r="K65">
        <f t="shared" si="16"/>
        <v>17.444379110043769</v>
      </c>
      <c r="L65">
        <f>(I4+J4*(B65/304.1282))*H65+(I5+J5*(B65/304.1282))*(H65^2)+(I6+J6*(B65/304.1282))*(H65^3)+(I7+J7*(B65/304.1282))*(H65^4)+(I8+J8*(B65/304.1282))*(H65^5)+(I9+J9*(B65/304.1282))*(H65^6)</f>
        <v>2.2012765088755986E-3</v>
      </c>
      <c r="M65">
        <f t="shared" si="18"/>
        <v>0.37273090294160627</v>
      </c>
      <c r="O65" s="118">
        <f>36.24+273.15</f>
        <v>309.39</v>
      </c>
      <c r="P65" s="117">
        <v>61.4</v>
      </c>
      <c r="Q65" s="8">
        <f>4.66*0.004184</f>
        <v>1.9497440000000001E-2</v>
      </c>
      <c r="R65">
        <f t="shared" si="12"/>
        <v>2.0018386521860974E-2</v>
      </c>
      <c r="S65" s="61">
        <f>100*(R65-Q65)/Q65</f>
        <v>2.6718713936853882</v>
      </c>
      <c r="T65">
        <f t="shared" si="7"/>
        <v>2.6718713936853882</v>
      </c>
    </row>
    <row r="66" spans="2:20" x14ac:dyDescent="0.25">
      <c r="B66" s="84">
        <f>36.24+273.15</f>
        <v>309.39</v>
      </c>
      <c r="C66" s="88">
        <f>0.101325*57.55</f>
        <v>5.8312537499999992</v>
      </c>
      <c r="D66" s="88">
        <v>149</v>
      </c>
      <c r="E66" s="88">
        <f>6.18*0.004184</f>
        <v>2.5857120000000001E-2</v>
      </c>
      <c r="F66" s="79"/>
      <c r="H66" s="8">
        <f t="shared" si="17"/>
        <v>0.31864841745081263</v>
      </c>
      <c r="K66">
        <f t="shared" si="16"/>
        <v>17.444379110043769</v>
      </c>
      <c r="L66">
        <f>(I4+J4*(B66/304.1282))*H66+(I5+J5*(B66/304.1282))*(H66^2)+(I6+J6*(B66/304.1282))*(H66^3)+(I7+J7*(B66/304.1282))*(H66^4)+(I8+J8*(B66/304.1282))*(H66^5)+(I9+J9*(B66/304.1282))*(H66^6)</f>
        <v>6.245023458882993E-3</v>
      </c>
      <c r="M66">
        <f t="shared" si="18"/>
        <v>1.881197564012588</v>
      </c>
      <c r="O66" s="57">
        <f>36.24+273.15</f>
        <v>309.39</v>
      </c>
      <c r="P66" s="119">
        <v>149</v>
      </c>
      <c r="Q66" s="57">
        <f>6.18*0.004184</f>
        <v>2.5857120000000001E-2</v>
      </c>
      <c r="R66" s="25">
        <f t="shared" si="12"/>
        <v>2.5570600132939349E-2</v>
      </c>
      <c r="S66" s="25">
        <f t="shared" si="13"/>
        <v>-1.1080888631860446</v>
      </c>
      <c r="T66" s="25">
        <f t="shared" si="7"/>
        <v>1.1080888631860446</v>
      </c>
    </row>
    <row r="67" spans="2:20" x14ac:dyDescent="0.25">
      <c r="B67" s="114">
        <f>40.087+273.15</f>
        <v>313.23699999999997</v>
      </c>
      <c r="C67" s="87">
        <f>0.101325*85.81</f>
        <v>8.6946982500000001</v>
      </c>
      <c r="D67" s="87">
        <v>400</v>
      </c>
      <c r="E67" s="87">
        <f>15.3*0.004184</f>
        <v>6.4015200000000008E-2</v>
      </c>
      <c r="F67" s="78"/>
      <c r="H67" s="8">
        <f t="shared" si="17"/>
        <v>0.85543199315654406</v>
      </c>
      <c r="K67">
        <f t="shared" si="16"/>
        <v>17.743262006602201</v>
      </c>
      <c r="L67">
        <f>(I4+J4*(B67/304.1282))*H67+(I5+J5*(B67/304.1282))*(H67^2)+(I6+J6*(B67/304.1282))*(H67^3)+(I7+J7*(B67/304.1282))*(H67^4)+(I8+J8*(B67/304.1282))*(H67^5)+(I9+J9*(B67/304.1282))*(H67^6)</f>
        <v>2.2417593229283495E-2</v>
      </c>
      <c r="M67">
        <f t="shared" si="18"/>
        <v>26.61640961814096</v>
      </c>
      <c r="O67" s="116">
        <f>40.087+273.15</f>
        <v>313.23699999999997</v>
      </c>
      <c r="P67" s="8">
        <v>400</v>
      </c>
      <c r="Q67" s="8">
        <f>15.3*0.004184</f>
        <v>6.4015200000000008E-2</v>
      </c>
      <c r="R67">
        <f t="shared" si="12"/>
        <v>6.6777264854026658E-2</v>
      </c>
      <c r="S67" s="61">
        <f>100*(R67-Q67)/Q67</f>
        <v>4.3147015927883521</v>
      </c>
      <c r="T67">
        <f t="shared" si="7"/>
        <v>4.3147015927883521</v>
      </c>
    </row>
    <row r="68" spans="2:20" x14ac:dyDescent="0.25">
      <c r="B68" s="83">
        <f>40.087+273.15</f>
        <v>313.23699999999997</v>
      </c>
      <c r="C68" s="87">
        <f>0.101325*88.91</f>
        <v>9.0088057499999987</v>
      </c>
      <c r="D68" s="87">
        <v>474</v>
      </c>
      <c r="E68" s="87">
        <f>16.6*0.004184</f>
        <v>6.9454400000000013E-2</v>
      </c>
      <c r="F68" s="78"/>
      <c r="H68" s="8">
        <f t="shared" si="17"/>
        <v>1.0136869118905047</v>
      </c>
      <c r="K68">
        <f t="shared" si="16"/>
        <v>17.743262006602201</v>
      </c>
      <c r="L68">
        <f>(I4+J4*(B68/304.1282))*H68+(I5+J5*(B68/304.1282))*(H68^2)+(I6+J6*(B68/304.1282))*(H68^3)+(I7+J7*(B68/304.1282))*(H68^4)+(I8+J8*(B68/304.1282))*(H68^5)+(I9+J9*(B68/304.1282))*(H68^6)</f>
        <v>2.8565247007202321E-2</v>
      </c>
      <c r="M68">
        <f t="shared" si="18"/>
        <v>28.007276658307717</v>
      </c>
      <c r="O68" s="118">
        <f>40.087+273.15</f>
        <v>313.23699999999997</v>
      </c>
      <c r="P68" s="117">
        <v>474</v>
      </c>
      <c r="Q68" s="8">
        <f>16.6*0.004184</f>
        <v>6.9454400000000013E-2</v>
      </c>
      <c r="R68">
        <f t="shared" si="12"/>
        <v>7.4315785672112236E-2</v>
      </c>
      <c r="S68" s="61">
        <f>100*(R68-Q68)/Q68</f>
        <v>6.9993919350137963</v>
      </c>
      <c r="T68">
        <f t="shared" si="7"/>
        <v>6.9993919350137963</v>
      </c>
    </row>
    <row r="69" spans="2:20" x14ac:dyDescent="0.25">
      <c r="B69" s="84">
        <f>40.087+273.15</f>
        <v>313.23699999999997</v>
      </c>
      <c r="C69" s="88">
        <f>0.101325*91.85</f>
        <v>9.3067012499999997</v>
      </c>
      <c r="D69" s="88">
        <v>550</v>
      </c>
      <c r="E69" s="88">
        <f>17.8*0.004184</f>
        <v>7.4475200000000005E-2</v>
      </c>
      <c r="F69" s="79"/>
      <c r="H69" s="8">
        <f t="shared" si="17"/>
        <v>1.176218990590248</v>
      </c>
      <c r="K69">
        <f t="shared" si="16"/>
        <v>17.743262006602201</v>
      </c>
      <c r="L69">
        <f>(I4+J4*(B69/304.1282))*H69+(I5+J5*(B69/304.1282))*(H69^2)+(I6+J6*(B69/304.1282))*(H69^3)+(I7+J7*(B69/304.1282))*(H69^4)+(I8+J8*(B69/304.1282))*(H69^5)+(I9+J9*(B69/304.1282))*(H69^6)</f>
        <v>3.571649092958646E-2</v>
      </c>
      <c r="M69">
        <f t="shared" si="18"/>
        <v>20.176601957279015</v>
      </c>
      <c r="O69" s="57">
        <f>40.087+273.15</f>
        <v>313.23699999999997</v>
      </c>
      <c r="P69" s="119">
        <v>550</v>
      </c>
      <c r="Q69" s="57">
        <f>17.8*0.004184</f>
        <v>7.4475200000000005E-2</v>
      </c>
      <c r="R69" s="25">
        <f t="shared" si="12"/>
        <v>7.3636354893467676E-2</v>
      </c>
      <c r="S69" s="25">
        <f>100*(R69-Q69)/Q69</f>
        <v>-1.1263415291698837</v>
      </c>
      <c r="T69" s="25">
        <f t="shared" ref="T69:T71" si="19">ABS(S69)</f>
        <v>1.1263415291698837</v>
      </c>
    </row>
    <row r="70" spans="2:20" x14ac:dyDescent="0.25">
      <c r="B70" s="83">
        <f>41.22+273.15</f>
        <v>314.37</v>
      </c>
      <c r="C70" s="87">
        <f>0.101325*2.31</f>
        <v>0.23406075000000001</v>
      </c>
      <c r="D70" s="87">
        <v>4</v>
      </c>
      <c r="E70" s="87">
        <f>4.16*0.004184</f>
        <v>1.7405440000000001E-2</v>
      </c>
      <c r="F70" s="78"/>
      <c r="H70" s="8">
        <f t="shared" si="17"/>
        <v>8.5543199315654406E-3</v>
      </c>
      <c r="K70">
        <f t="shared" si="16"/>
        <v>17.831474114875121</v>
      </c>
      <c r="L70">
        <f>(I4+J4*(B70/304.1282))*H70+(I5+J5*(B70/304.1282))*(H70^2)+(I6+J6*(B70/304.1282))*(H70^3)+(I7+J7*(B70/304.1282))*(H70^4)+(I8+J8*(B70/304.1282))*(H70^5)+(I9+J9*(B70/304.1282))*(H70^6)</f>
        <v>1.2513023695576424E-4</v>
      </c>
      <c r="M70">
        <f t="shared" si="18"/>
        <v>9.6663160037645315E-2</v>
      </c>
      <c r="O70" s="118">
        <f>41.22+273.15</f>
        <v>314.37</v>
      </c>
      <c r="P70" s="117">
        <v>4</v>
      </c>
      <c r="Q70" s="8">
        <f>4.16*0.004184</f>
        <v>1.7405440000000001E-2</v>
      </c>
      <c r="R70">
        <f t="shared" si="12"/>
        <v>1.8053267511868532E-2</v>
      </c>
      <c r="S70" s="61">
        <f>100*(R70-Q70)/Q70</f>
        <v>3.721982965489699</v>
      </c>
      <c r="T70">
        <f t="shared" si="19"/>
        <v>3.721982965489699</v>
      </c>
    </row>
    <row r="71" spans="2:20" x14ac:dyDescent="0.25">
      <c r="B71" s="84">
        <f>41.22+273.15</f>
        <v>314.37</v>
      </c>
      <c r="C71" s="88">
        <f>0.101325*57.69</f>
        <v>5.8454392500000001</v>
      </c>
      <c r="D71" s="88">
        <v>141.19999999999999</v>
      </c>
      <c r="E71" s="88">
        <f>6*0.004184</f>
        <v>2.5104000000000001E-2</v>
      </c>
      <c r="F71" s="182"/>
      <c r="H71" s="8">
        <f t="shared" si="17"/>
        <v>0.30196749358426</v>
      </c>
      <c r="K71">
        <f t="shared" si="16"/>
        <v>17.831474114875121</v>
      </c>
      <c r="L71">
        <f>(I4+J4*(B71/304.1282))*H71+(I5+J5*(B71/304.1282))*(H71^2)+(I6+J6*(B71/304.1282))*(H71^3)+(I7+J7*(B71/304.1282))*(H71^4)+(I8+J8*(B71/304.1282))*(H71^5)+(I9+J9*(B71/304.1282))*(H71^6)</f>
        <v>5.8394620193991708E-3</v>
      </c>
      <c r="M71">
        <f t="shared" si="18"/>
        <v>1.4956359974303508</v>
      </c>
      <c r="O71" s="57">
        <f>41.22+273.15</f>
        <v>314.37</v>
      </c>
      <c r="P71" s="119">
        <v>141.19999999999999</v>
      </c>
      <c r="Q71" s="57">
        <f>6*0.004184</f>
        <v>2.5104000000000001E-2</v>
      </c>
      <c r="R71" s="25">
        <f t="shared" si="12"/>
        <v>2.5166572131704642E-2</v>
      </c>
      <c r="S71" s="25">
        <f>100*(R71-Q71)/Q71</f>
        <v>0.24925163999617816</v>
      </c>
      <c r="T71" s="25">
        <f t="shared" si="19"/>
        <v>0.24925163999617816</v>
      </c>
    </row>
    <row r="72" spans="2:20" x14ac:dyDescent="0.25">
      <c r="O72" s="45" t="s">
        <v>145</v>
      </c>
      <c r="S72" s="44">
        <f>1/COUNT(S4:S71)*SUM(S4:S71)</f>
        <v>-2.57008063938168</v>
      </c>
      <c r="T72" s="44">
        <f>1/COUNT(T4:T71)*SUM(T4:T71)</f>
        <v>4.5995577491076958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9"/>
  <dimension ref="B3:AA367"/>
  <sheetViews>
    <sheetView topLeftCell="A149" workbookViewId="0">
      <selection activeCell="A155" sqref="A155"/>
    </sheetView>
  </sheetViews>
  <sheetFormatPr defaultRowHeight="15" x14ac:dyDescent="0.25"/>
  <sheetData>
    <row r="3" spans="2:25" x14ac:dyDescent="0.25">
      <c r="B3" s="21"/>
      <c r="C3" s="120" t="s">
        <v>93</v>
      </c>
      <c r="D3" s="21"/>
      <c r="E3" s="21"/>
      <c r="F3" s="21"/>
      <c r="G3" s="21"/>
      <c r="H3" s="21"/>
      <c r="I3" s="21"/>
      <c r="J3" s="21"/>
      <c r="K3" s="21"/>
      <c r="L3" s="21"/>
      <c r="M3" s="21"/>
      <c r="O3" s="21" t="s">
        <v>335</v>
      </c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2:25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11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2:25" x14ac:dyDescent="0.25">
      <c r="B5" s="20"/>
      <c r="M5" s="20"/>
      <c r="N5" s="11"/>
      <c r="O5" s="20"/>
      <c r="Y5" s="20"/>
    </row>
    <row r="6" spans="2:25" x14ac:dyDescent="0.25">
      <c r="B6" s="20"/>
      <c r="M6" s="20"/>
      <c r="O6" s="20"/>
      <c r="Y6" s="20"/>
    </row>
    <row r="7" spans="2:25" x14ac:dyDescent="0.25">
      <c r="B7" s="20"/>
      <c r="M7" s="20"/>
      <c r="O7" s="20"/>
      <c r="Y7" s="20"/>
    </row>
    <row r="8" spans="2:25" x14ac:dyDescent="0.25">
      <c r="B8" s="20"/>
      <c r="M8" s="20"/>
      <c r="O8" s="20"/>
      <c r="Y8" s="20"/>
    </row>
    <row r="9" spans="2:25" x14ac:dyDescent="0.25">
      <c r="B9" s="20"/>
      <c r="M9" s="20"/>
      <c r="O9" s="20"/>
      <c r="Y9" s="20"/>
    </row>
    <row r="10" spans="2:25" x14ac:dyDescent="0.25">
      <c r="B10" s="20"/>
      <c r="M10" s="20"/>
      <c r="O10" s="20"/>
      <c r="Y10" s="20"/>
    </row>
    <row r="11" spans="2:25" x14ac:dyDescent="0.25">
      <c r="B11" s="20"/>
      <c r="M11" s="20"/>
      <c r="O11" s="20"/>
      <c r="Y11" s="20"/>
    </row>
    <row r="12" spans="2:25" x14ac:dyDescent="0.25">
      <c r="B12" s="20"/>
      <c r="M12" s="20"/>
      <c r="O12" s="20"/>
      <c r="Y12" s="20"/>
    </row>
    <row r="13" spans="2:25" x14ac:dyDescent="0.25">
      <c r="B13" s="20"/>
      <c r="M13" s="20"/>
      <c r="O13" s="20"/>
      <c r="Y13" s="20"/>
    </row>
    <row r="14" spans="2:25" x14ac:dyDescent="0.25">
      <c r="B14" s="20"/>
      <c r="M14" s="20"/>
      <c r="O14" s="20"/>
      <c r="Y14" s="20"/>
    </row>
    <row r="15" spans="2:25" x14ac:dyDescent="0.25">
      <c r="B15" s="20"/>
      <c r="M15" s="20"/>
      <c r="O15" s="20"/>
      <c r="Y15" s="20"/>
    </row>
    <row r="16" spans="2:25" x14ac:dyDescent="0.25">
      <c r="B16" s="20"/>
      <c r="M16" s="20"/>
      <c r="O16" s="20"/>
      <c r="Y16" s="20"/>
    </row>
    <row r="17" spans="2:25" x14ac:dyDescent="0.25">
      <c r="B17" s="20"/>
      <c r="M17" s="20"/>
      <c r="O17" s="20"/>
      <c r="Y17" s="20"/>
    </row>
    <row r="18" spans="2:25" x14ac:dyDescent="0.25">
      <c r="B18" s="20"/>
      <c r="M18" s="20"/>
      <c r="O18" s="20"/>
      <c r="Y18" s="20"/>
    </row>
    <row r="19" spans="2:25" x14ac:dyDescent="0.25">
      <c r="B19" s="20"/>
      <c r="M19" s="20"/>
      <c r="O19" s="20"/>
      <c r="Y19" s="20"/>
    </row>
    <row r="20" spans="2:25" x14ac:dyDescent="0.25">
      <c r="B20" s="20"/>
      <c r="M20" s="20"/>
      <c r="O20" s="20"/>
      <c r="S20" s="11"/>
      <c r="Y20" s="20"/>
    </row>
    <row r="21" spans="2:25" x14ac:dyDescent="0.25">
      <c r="B21" s="20"/>
      <c r="M21" s="20"/>
      <c r="O21" s="20"/>
      <c r="Y21" s="20"/>
    </row>
    <row r="22" spans="2:25" x14ac:dyDescent="0.25">
      <c r="B22" s="20"/>
      <c r="M22" s="20"/>
      <c r="O22" s="20"/>
      <c r="Y22" s="20"/>
    </row>
    <row r="23" spans="2:25" x14ac:dyDescent="0.25">
      <c r="B23" s="20"/>
      <c r="M23" s="20"/>
      <c r="O23" s="20"/>
      <c r="Y23" s="20"/>
    </row>
    <row r="24" spans="2:25" x14ac:dyDescent="0.25">
      <c r="B24" s="20"/>
      <c r="M24" s="20"/>
      <c r="O24" s="20"/>
      <c r="R24" s="11"/>
      <c r="Y24" s="20"/>
    </row>
    <row r="25" spans="2:25" x14ac:dyDescent="0.25">
      <c r="B25" s="20"/>
      <c r="M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2:25" x14ac:dyDescent="0.2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2:25" x14ac:dyDescent="0.25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30" spans="2:25" x14ac:dyDescent="0.25">
      <c r="B30" s="21"/>
      <c r="C30" s="21" t="s">
        <v>334</v>
      </c>
      <c r="D30" s="21"/>
      <c r="E30" s="21"/>
      <c r="F30" s="21"/>
      <c r="G30" s="21"/>
      <c r="H30" s="21"/>
      <c r="I30" s="21"/>
      <c r="J30" s="21"/>
      <c r="K30" s="21"/>
      <c r="O30" s="21" t="s">
        <v>333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2:25" x14ac:dyDescent="0.25">
      <c r="B31" s="20"/>
      <c r="C31" s="20"/>
      <c r="D31" s="20"/>
      <c r="E31" s="20"/>
      <c r="F31" s="20"/>
      <c r="G31" s="20"/>
      <c r="H31" s="20"/>
      <c r="I31" s="20"/>
      <c r="J31" s="20"/>
      <c r="K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2:25" x14ac:dyDescent="0.25">
      <c r="B32" s="20"/>
      <c r="K32" s="20"/>
      <c r="O32" s="20"/>
      <c r="Y32" s="20"/>
    </row>
    <row r="33" spans="2:25" x14ac:dyDescent="0.25">
      <c r="B33" s="20"/>
      <c r="K33" s="20"/>
      <c r="O33" s="20"/>
      <c r="Y33" s="20"/>
    </row>
    <row r="34" spans="2:25" x14ac:dyDescent="0.25">
      <c r="B34" s="20"/>
      <c r="K34" s="20"/>
      <c r="O34" s="20"/>
      <c r="Y34" s="20"/>
    </row>
    <row r="35" spans="2:25" x14ac:dyDescent="0.25">
      <c r="B35" s="20"/>
      <c r="K35" s="20"/>
      <c r="N35" s="11"/>
      <c r="O35" s="20"/>
      <c r="Y35" s="20"/>
    </row>
    <row r="36" spans="2:25" x14ac:dyDescent="0.25">
      <c r="B36" s="20"/>
      <c r="K36" s="20"/>
      <c r="O36" s="20"/>
      <c r="Y36" s="20"/>
    </row>
    <row r="37" spans="2:25" x14ac:dyDescent="0.25">
      <c r="B37" s="20"/>
      <c r="K37" s="20"/>
      <c r="O37" s="20"/>
      <c r="Y37" s="20"/>
    </row>
    <row r="38" spans="2:25" x14ac:dyDescent="0.25">
      <c r="B38" s="20"/>
      <c r="K38" s="20"/>
      <c r="O38" s="20"/>
      <c r="Y38" s="20"/>
    </row>
    <row r="39" spans="2:25" x14ac:dyDescent="0.25">
      <c r="B39" s="20"/>
      <c r="K39" s="20"/>
      <c r="O39" s="20"/>
      <c r="Y39" s="20"/>
    </row>
    <row r="40" spans="2:25" x14ac:dyDescent="0.25">
      <c r="B40" s="20"/>
      <c r="K40" s="20"/>
      <c r="O40" s="20"/>
      <c r="Y40" s="20"/>
    </row>
    <row r="41" spans="2:25" x14ac:dyDescent="0.25">
      <c r="B41" s="20"/>
      <c r="K41" s="20"/>
      <c r="O41" s="20"/>
      <c r="Y41" s="20"/>
    </row>
    <row r="42" spans="2:25" x14ac:dyDescent="0.25">
      <c r="B42" s="20"/>
      <c r="K42" s="20"/>
      <c r="O42" s="20"/>
      <c r="Y42" s="20"/>
    </row>
    <row r="43" spans="2:25" x14ac:dyDescent="0.25">
      <c r="B43" s="20"/>
      <c r="K43" s="20"/>
      <c r="O43" s="20"/>
      <c r="Y43" s="20"/>
    </row>
    <row r="44" spans="2:25" x14ac:dyDescent="0.25">
      <c r="B44" s="20"/>
      <c r="K44" s="20"/>
      <c r="O44" s="20"/>
      <c r="Y44" s="20"/>
    </row>
    <row r="45" spans="2:25" x14ac:dyDescent="0.25">
      <c r="B45" s="20"/>
      <c r="K45" s="20"/>
      <c r="O45" s="20"/>
      <c r="Y45" s="20"/>
    </row>
    <row r="46" spans="2:25" x14ac:dyDescent="0.25">
      <c r="B46" s="20"/>
      <c r="K46" s="20"/>
      <c r="O46" s="20"/>
      <c r="Y46" s="20"/>
    </row>
    <row r="47" spans="2:25" x14ac:dyDescent="0.25">
      <c r="B47" s="20"/>
      <c r="K47" s="20"/>
      <c r="O47" s="20"/>
      <c r="Y47" s="20"/>
    </row>
    <row r="48" spans="2:25" x14ac:dyDescent="0.25">
      <c r="B48" s="20"/>
      <c r="K48" s="20"/>
      <c r="O48" s="20"/>
      <c r="Y48" s="20"/>
    </row>
    <row r="49" spans="2:25" x14ac:dyDescent="0.25">
      <c r="B49" s="20"/>
      <c r="K49" s="20"/>
      <c r="O49" s="20"/>
      <c r="Y49" s="20"/>
    </row>
    <row r="50" spans="2:25" x14ac:dyDescent="0.25">
      <c r="B50" s="20"/>
      <c r="K50" s="20"/>
      <c r="O50" s="20"/>
      <c r="Y50" s="20"/>
    </row>
    <row r="51" spans="2:25" x14ac:dyDescent="0.25">
      <c r="B51" s="20"/>
      <c r="K51" s="20"/>
      <c r="O51" s="20"/>
      <c r="Y51" s="20"/>
    </row>
    <row r="52" spans="2:25" x14ac:dyDescent="0.25">
      <c r="B52" s="20"/>
      <c r="K52" s="20"/>
      <c r="O52" s="20"/>
      <c r="Y52" s="20"/>
    </row>
    <row r="53" spans="2:25" x14ac:dyDescent="0.25">
      <c r="B53" s="20"/>
      <c r="C53" s="20"/>
      <c r="D53" s="20"/>
      <c r="E53" s="20"/>
      <c r="F53" s="20"/>
      <c r="G53" s="20"/>
      <c r="H53" s="20"/>
      <c r="I53" s="20"/>
      <c r="J53" s="20"/>
      <c r="K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5" spans="2:25" x14ac:dyDescent="0.25">
      <c r="B55" s="21" t="s">
        <v>332</v>
      </c>
      <c r="C55" s="21"/>
      <c r="D55" s="21"/>
      <c r="E55" s="21"/>
      <c r="F55" s="21"/>
      <c r="G55" s="21"/>
      <c r="H55" s="21"/>
      <c r="I55" s="21"/>
      <c r="J55" s="21"/>
      <c r="K55" s="21"/>
      <c r="N55" s="21" t="s">
        <v>89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2:25" x14ac:dyDescent="0.25">
      <c r="B56" s="20"/>
      <c r="C56" s="20"/>
      <c r="D56" s="20"/>
      <c r="E56" s="20"/>
      <c r="F56" s="20"/>
      <c r="G56" s="20"/>
      <c r="H56" s="20"/>
      <c r="I56" s="20"/>
      <c r="J56" s="20"/>
      <c r="K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spans="2:25" x14ac:dyDescent="0.25">
      <c r="B57" s="20"/>
      <c r="K57" s="20"/>
      <c r="N57" s="20"/>
      <c r="X57" s="20"/>
    </row>
    <row r="58" spans="2:25" x14ac:dyDescent="0.25">
      <c r="B58" s="20"/>
      <c r="K58" s="20"/>
      <c r="N58" s="20"/>
      <c r="X58" s="20"/>
    </row>
    <row r="59" spans="2:25" x14ac:dyDescent="0.25">
      <c r="B59" s="20"/>
      <c r="K59" s="20"/>
      <c r="N59" s="20"/>
      <c r="X59" s="20"/>
    </row>
    <row r="60" spans="2:25" x14ac:dyDescent="0.25">
      <c r="B60" s="20"/>
      <c r="K60" s="20"/>
      <c r="N60" s="20"/>
      <c r="X60" s="20"/>
    </row>
    <row r="61" spans="2:25" x14ac:dyDescent="0.25">
      <c r="B61" s="20"/>
      <c r="K61" s="20"/>
      <c r="N61" s="20"/>
      <c r="X61" s="20"/>
    </row>
    <row r="62" spans="2:25" x14ac:dyDescent="0.25">
      <c r="B62" s="20"/>
      <c r="K62" s="20"/>
      <c r="N62" s="20"/>
      <c r="X62" s="20"/>
    </row>
    <row r="63" spans="2:25" x14ac:dyDescent="0.25">
      <c r="B63" s="20"/>
      <c r="K63" s="20"/>
      <c r="N63" s="20"/>
      <c r="X63" s="20"/>
    </row>
    <row r="64" spans="2:25" x14ac:dyDescent="0.25">
      <c r="B64" s="20"/>
      <c r="K64" s="20"/>
      <c r="N64" s="20"/>
      <c r="X64" s="20"/>
    </row>
    <row r="65" spans="2:24" x14ac:dyDescent="0.25">
      <c r="B65" s="20"/>
      <c r="K65" s="20"/>
      <c r="N65" s="20"/>
      <c r="X65" s="20"/>
    </row>
    <row r="66" spans="2:24" x14ac:dyDescent="0.25">
      <c r="B66" s="20"/>
      <c r="K66" s="20"/>
      <c r="N66" s="20"/>
      <c r="X66" s="20"/>
    </row>
    <row r="67" spans="2:24" x14ac:dyDescent="0.25">
      <c r="B67" s="20"/>
      <c r="K67" s="20"/>
      <c r="N67" s="20"/>
      <c r="X67" s="20"/>
    </row>
    <row r="68" spans="2:24" x14ac:dyDescent="0.25">
      <c r="B68" s="20"/>
      <c r="K68" s="20"/>
      <c r="N68" s="20"/>
      <c r="X68" s="20"/>
    </row>
    <row r="69" spans="2:24" x14ac:dyDescent="0.25">
      <c r="B69" s="20"/>
      <c r="K69" s="20"/>
      <c r="N69" s="20"/>
      <c r="X69" s="20"/>
    </row>
    <row r="70" spans="2:24" x14ac:dyDescent="0.25">
      <c r="B70" s="20"/>
      <c r="K70" s="20"/>
      <c r="N70" s="20"/>
      <c r="X70" s="20"/>
    </row>
    <row r="71" spans="2:24" x14ac:dyDescent="0.25">
      <c r="B71" s="20"/>
      <c r="K71" s="20"/>
      <c r="N71" s="20"/>
      <c r="X71" s="20"/>
    </row>
    <row r="72" spans="2:24" x14ac:dyDescent="0.25">
      <c r="B72" s="20"/>
      <c r="K72" s="20"/>
      <c r="N72" s="20"/>
      <c r="X72" s="20"/>
    </row>
    <row r="73" spans="2:24" x14ac:dyDescent="0.25">
      <c r="B73" s="20"/>
      <c r="K73" s="20"/>
      <c r="N73" s="20"/>
      <c r="X73" s="20"/>
    </row>
    <row r="74" spans="2:24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spans="2:24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9" spans="2:24" x14ac:dyDescent="0.25">
      <c r="B79" s="21" t="s">
        <v>331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N79" s="21" t="s">
        <v>89</v>
      </c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2:24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spans="2:24" x14ac:dyDescent="0.25">
      <c r="B81" s="20"/>
      <c r="L81" s="20"/>
      <c r="N81" s="20"/>
      <c r="X81" s="20"/>
    </row>
    <row r="82" spans="2:24" x14ac:dyDescent="0.25">
      <c r="B82" s="20"/>
      <c r="L82" s="20"/>
      <c r="N82" s="20"/>
      <c r="X82" s="20"/>
    </row>
    <row r="83" spans="2:24" x14ac:dyDescent="0.25">
      <c r="B83" s="20"/>
      <c r="L83" s="20"/>
      <c r="N83" s="20"/>
      <c r="X83" s="20"/>
    </row>
    <row r="84" spans="2:24" x14ac:dyDescent="0.25">
      <c r="B84" s="20"/>
      <c r="L84" s="20"/>
      <c r="N84" s="20"/>
      <c r="X84" s="20"/>
    </row>
    <row r="85" spans="2:24" x14ac:dyDescent="0.25">
      <c r="B85" s="20"/>
      <c r="L85" s="20"/>
      <c r="N85" s="20"/>
      <c r="X85" s="20"/>
    </row>
    <row r="86" spans="2:24" x14ac:dyDescent="0.25">
      <c r="B86" s="20"/>
      <c r="L86" s="20"/>
      <c r="N86" s="20"/>
      <c r="X86" s="20"/>
    </row>
    <row r="87" spans="2:24" x14ac:dyDescent="0.25">
      <c r="B87" s="20"/>
      <c r="L87" s="20"/>
      <c r="N87" s="20"/>
      <c r="X87" s="20"/>
    </row>
    <row r="88" spans="2:24" x14ac:dyDescent="0.25">
      <c r="B88" s="20"/>
      <c r="L88" s="20"/>
      <c r="N88" s="20"/>
      <c r="X88" s="20"/>
    </row>
    <row r="89" spans="2:24" x14ac:dyDescent="0.25">
      <c r="B89" s="20"/>
      <c r="L89" s="20"/>
      <c r="N89" s="20"/>
      <c r="X89" s="20"/>
    </row>
    <row r="90" spans="2:24" x14ac:dyDescent="0.25">
      <c r="B90" s="20"/>
      <c r="L90" s="20"/>
      <c r="N90" s="20"/>
      <c r="X90" s="20"/>
    </row>
    <row r="91" spans="2:24" x14ac:dyDescent="0.25">
      <c r="B91" s="20"/>
      <c r="L91" s="20"/>
      <c r="N91" s="20"/>
      <c r="X91" s="20"/>
    </row>
    <row r="92" spans="2:24" x14ac:dyDescent="0.25">
      <c r="B92" s="20"/>
      <c r="L92" s="20"/>
      <c r="N92" s="20"/>
      <c r="X92" s="20"/>
    </row>
    <row r="93" spans="2:24" x14ac:dyDescent="0.25">
      <c r="B93" s="20"/>
      <c r="L93" s="20"/>
      <c r="N93" s="20"/>
      <c r="X93" s="20"/>
    </row>
    <row r="94" spans="2:24" x14ac:dyDescent="0.25">
      <c r="B94" s="20"/>
      <c r="L94" s="20"/>
      <c r="N94" s="20"/>
      <c r="X94" s="20"/>
    </row>
    <row r="95" spans="2:24" x14ac:dyDescent="0.25">
      <c r="B95" s="20"/>
      <c r="L95" s="20"/>
      <c r="N95" s="20"/>
      <c r="X95" s="20"/>
    </row>
    <row r="96" spans="2:24" x14ac:dyDescent="0.25">
      <c r="B96" s="20"/>
      <c r="L96" s="20"/>
      <c r="N96" s="20"/>
      <c r="X96" s="20"/>
    </row>
    <row r="97" spans="2:24" x14ac:dyDescent="0.25">
      <c r="B97" s="20"/>
      <c r="L97" s="20"/>
      <c r="N97" s="20"/>
      <c r="X97" s="20"/>
    </row>
    <row r="98" spans="2:24" x14ac:dyDescent="0.25">
      <c r="B98" s="20"/>
      <c r="L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spans="2:24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2" spans="2:24" x14ac:dyDescent="0.25">
      <c r="B102" s="21" t="s">
        <v>328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N102" s="21" t="s">
        <v>89</v>
      </c>
      <c r="O102" s="21"/>
      <c r="P102" s="21"/>
      <c r="Q102" s="21"/>
      <c r="R102" s="21"/>
      <c r="S102" s="21"/>
      <c r="T102" s="21"/>
      <c r="U102" s="21"/>
      <c r="V102" s="21"/>
      <c r="W102" s="21"/>
    </row>
    <row r="103" spans="2:24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spans="2:24" x14ac:dyDescent="0.25">
      <c r="B104" s="20"/>
      <c r="L104" s="20"/>
      <c r="N104" s="20"/>
      <c r="W104" s="20"/>
    </row>
    <row r="105" spans="2:24" x14ac:dyDescent="0.25">
      <c r="B105" s="20"/>
      <c r="L105" s="20"/>
      <c r="N105" s="20"/>
      <c r="W105" s="20"/>
    </row>
    <row r="106" spans="2:24" x14ac:dyDescent="0.25">
      <c r="B106" s="20"/>
      <c r="L106" s="20"/>
      <c r="N106" s="20"/>
      <c r="W106" s="20"/>
    </row>
    <row r="107" spans="2:24" x14ac:dyDescent="0.25">
      <c r="B107" s="20"/>
      <c r="L107" s="20"/>
      <c r="N107" s="20"/>
      <c r="W107" s="20"/>
    </row>
    <row r="108" spans="2:24" x14ac:dyDescent="0.25">
      <c r="B108" s="20"/>
      <c r="L108" s="20"/>
      <c r="N108" s="20"/>
      <c r="W108" s="20"/>
    </row>
    <row r="109" spans="2:24" x14ac:dyDescent="0.25">
      <c r="B109" s="20"/>
      <c r="L109" s="20"/>
      <c r="N109" s="20"/>
      <c r="W109" s="20"/>
    </row>
    <row r="110" spans="2:24" x14ac:dyDescent="0.25">
      <c r="B110" s="20"/>
      <c r="L110" s="20"/>
      <c r="N110" s="20"/>
      <c r="W110" s="20"/>
    </row>
    <row r="111" spans="2:24" x14ac:dyDescent="0.25">
      <c r="B111" s="20"/>
      <c r="L111" s="20"/>
      <c r="N111" s="20"/>
      <c r="W111" s="20"/>
    </row>
    <row r="112" spans="2:24" x14ac:dyDescent="0.25">
      <c r="B112" s="20"/>
      <c r="L112" s="20"/>
      <c r="N112" s="20"/>
      <c r="W112" s="20"/>
    </row>
    <row r="113" spans="2:23" x14ac:dyDescent="0.25">
      <c r="B113" s="20"/>
      <c r="L113" s="20"/>
      <c r="N113" s="20"/>
      <c r="W113" s="20"/>
    </row>
    <row r="114" spans="2:23" x14ac:dyDescent="0.25">
      <c r="B114" s="20"/>
      <c r="L114" s="20"/>
      <c r="N114" s="20"/>
      <c r="W114" s="20"/>
    </row>
    <row r="115" spans="2:23" x14ac:dyDescent="0.25">
      <c r="B115" s="20"/>
      <c r="L115" s="20"/>
      <c r="N115" s="20"/>
      <c r="W115" s="20"/>
    </row>
    <row r="116" spans="2:23" x14ac:dyDescent="0.25">
      <c r="B116" s="20"/>
      <c r="L116" s="20"/>
      <c r="N116" s="20"/>
      <c r="W116" s="20"/>
    </row>
    <row r="117" spans="2:23" x14ac:dyDescent="0.25">
      <c r="B117" s="20"/>
      <c r="L117" s="20"/>
      <c r="N117" s="20"/>
      <c r="W117" s="20"/>
    </row>
    <row r="118" spans="2:23" x14ac:dyDescent="0.25">
      <c r="B118" s="20"/>
      <c r="L118" s="20"/>
      <c r="N118" s="20"/>
      <c r="W118" s="20"/>
    </row>
    <row r="119" spans="2:23" x14ac:dyDescent="0.25">
      <c r="B119" s="20"/>
      <c r="L119" s="20"/>
      <c r="N119" s="20"/>
      <c r="W119" s="20"/>
    </row>
    <row r="120" spans="2:23" x14ac:dyDescent="0.25">
      <c r="B120" s="20"/>
      <c r="L120" s="20"/>
      <c r="N120" s="20"/>
      <c r="W120" s="20"/>
    </row>
    <row r="121" spans="2:23" x14ac:dyDescent="0.25">
      <c r="B121" s="20"/>
      <c r="L121" s="20"/>
      <c r="N121" s="20"/>
      <c r="W121" s="20"/>
    </row>
    <row r="122" spans="2:23" x14ac:dyDescent="0.25">
      <c r="B122" s="20"/>
      <c r="L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spans="2:23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</row>
    <row r="125" spans="2:23" x14ac:dyDescent="0.25">
      <c r="B125" s="21" t="s">
        <v>330</v>
      </c>
      <c r="C125" s="21"/>
      <c r="D125" s="21"/>
      <c r="E125" s="21"/>
      <c r="F125" s="21"/>
      <c r="G125" s="21"/>
      <c r="H125" s="21"/>
      <c r="I125" s="21"/>
      <c r="J125" s="21"/>
      <c r="K125" s="21"/>
      <c r="M125" s="21" t="s">
        <v>330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spans="2:23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spans="2:23" x14ac:dyDescent="0.25">
      <c r="B127" s="20"/>
      <c r="K127" s="20"/>
      <c r="M127" s="20"/>
      <c r="W127" s="20"/>
    </row>
    <row r="128" spans="2:23" x14ac:dyDescent="0.25">
      <c r="B128" s="20"/>
      <c r="K128" s="20"/>
      <c r="M128" s="20"/>
      <c r="W128" s="20"/>
    </row>
    <row r="129" spans="2:23" x14ac:dyDescent="0.25">
      <c r="B129" s="20"/>
      <c r="K129" s="20"/>
      <c r="M129" s="20"/>
      <c r="W129" s="20"/>
    </row>
    <row r="130" spans="2:23" x14ac:dyDescent="0.25">
      <c r="B130" s="20"/>
      <c r="K130" s="20"/>
      <c r="M130" s="20"/>
      <c r="W130" s="20"/>
    </row>
    <row r="131" spans="2:23" x14ac:dyDescent="0.25">
      <c r="B131" s="20"/>
      <c r="K131" s="20"/>
      <c r="M131" s="20"/>
      <c r="W131" s="20"/>
    </row>
    <row r="132" spans="2:23" x14ac:dyDescent="0.25">
      <c r="B132" s="20"/>
      <c r="K132" s="20"/>
      <c r="M132" s="20"/>
      <c r="W132" s="20"/>
    </row>
    <row r="133" spans="2:23" x14ac:dyDescent="0.25">
      <c r="B133" s="20"/>
      <c r="K133" s="20"/>
      <c r="M133" s="20"/>
      <c r="W133" s="20"/>
    </row>
    <row r="134" spans="2:23" x14ac:dyDescent="0.25">
      <c r="B134" s="20"/>
      <c r="K134" s="20"/>
      <c r="M134" s="20"/>
      <c r="W134" s="20"/>
    </row>
    <row r="135" spans="2:23" x14ac:dyDescent="0.25">
      <c r="B135" s="20"/>
      <c r="K135" s="20"/>
      <c r="M135" s="20"/>
      <c r="W135" s="20"/>
    </row>
    <row r="136" spans="2:23" x14ac:dyDescent="0.25">
      <c r="B136" s="20"/>
      <c r="K136" s="20"/>
      <c r="M136" s="20"/>
      <c r="W136" s="20"/>
    </row>
    <row r="137" spans="2:23" x14ac:dyDescent="0.25">
      <c r="B137" s="20"/>
      <c r="K137" s="20"/>
      <c r="M137" s="20"/>
      <c r="W137" s="20"/>
    </row>
    <row r="138" spans="2:23" x14ac:dyDescent="0.25">
      <c r="B138" s="20"/>
      <c r="K138" s="20"/>
      <c r="M138" s="20"/>
      <c r="W138" s="20"/>
    </row>
    <row r="139" spans="2:23" x14ac:dyDescent="0.25">
      <c r="B139" s="20"/>
      <c r="K139" s="20"/>
      <c r="M139" s="20"/>
      <c r="W139" s="20"/>
    </row>
    <row r="140" spans="2:23" x14ac:dyDescent="0.25">
      <c r="B140" s="20"/>
      <c r="K140" s="20"/>
      <c r="M140" s="20"/>
      <c r="W140" s="20"/>
    </row>
    <row r="141" spans="2:23" x14ac:dyDescent="0.25">
      <c r="B141" s="20"/>
      <c r="K141" s="20"/>
      <c r="M141" s="20"/>
      <c r="W141" s="20"/>
    </row>
    <row r="142" spans="2:23" x14ac:dyDescent="0.25">
      <c r="B142" s="20"/>
      <c r="K142" s="20"/>
      <c r="M142" s="20"/>
      <c r="W142" s="20"/>
    </row>
    <row r="143" spans="2:23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M143" s="20"/>
      <c r="W143" s="20"/>
    </row>
    <row r="144" spans="2:23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7" spans="2:26" x14ac:dyDescent="0.25">
      <c r="B147" s="21" t="s">
        <v>44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O147" s="21"/>
      <c r="P147" s="120" t="s">
        <v>94</v>
      </c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2:26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2:26" x14ac:dyDescent="0.25">
      <c r="B149" s="20"/>
      <c r="M149" s="20"/>
      <c r="O149" s="20"/>
      <c r="Z149" s="20"/>
    </row>
    <row r="150" spans="2:26" x14ac:dyDescent="0.25">
      <c r="B150" s="20"/>
      <c r="M150" s="20"/>
      <c r="O150" s="20"/>
      <c r="Z150" s="20"/>
    </row>
    <row r="151" spans="2:26" x14ac:dyDescent="0.25">
      <c r="B151" s="20"/>
      <c r="M151" s="20"/>
      <c r="O151" s="20"/>
      <c r="Z151" s="20"/>
    </row>
    <row r="152" spans="2:26" x14ac:dyDescent="0.25">
      <c r="B152" s="20"/>
      <c r="M152" s="20"/>
      <c r="O152" s="20"/>
      <c r="Z152" s="20"/>
    </row>
    <row r="153" spans="2:26" x14ac:dyDescent="0.25">
      <c r="B153" s="20"/>
      <c r="M153" s="20"/>
      <c r="O153" s="20"/>
      <c r="Z153" s="20"/>
    </row>
    <row r="154" spans="2:26" x14ac:dyDescent="0.25">
      <c r="B154" s="20"/>
      <c r="M154" s="20"/>
      <c r="O154" s="20"/>
      <c r="Z154" s="20"/>
    </row>
    <row r="155" spans="2:26" x14ac:dyDescent="0.25">
      <c r="B155" s="20"/>
      <c r="M155" s="20"/>
      <c r="O155" s="20"/>
      <c r="Z155" s="20"/>
    </row>
    <row r="156" spans="2:26" x14ac:dyDescent="0.25">
      <c r="B156" s="20"/>
      <c r="M156" s="20"/>
      <c r="O156" s="20"/>
      <c r="Z156" s="20"/>
    </row>
    <row r="157" spans="2:26" x14ac:dyDescent="0.25">
      <c r="B157" s="20"/>
      <c r="M157" s="20"/>
      <c r="O157" s="20"/>
      <c r="Z157" s="20"/>
    </row>
    <row r="158" spans="2:26" x14ac:dyDescent="0.25">
      <c r="B158" s="20"/>
      <c r="M158" s="20"/>
      <c r="O158" s="20"/>
      <c r="Z158" s="20"/>
    </row>
    <row r="159" spans="2:26" x14ac:dyDescent="0.25">
      <c r="B159" s="20"/>
      <c r="M159" s="20"/>
      <c r="O159" s="20"/>
      <c r="Z159" s="20"/>
    </row>
    <row r="160" spans="2:26" x14ac:dyDescent="0.25">
      <c r="B160" s="20"/>
      <c r="M160" s="20"/>
      <c r="O160" s="20"/>
      <c r="Z160" s="20"/>
    </row>
    <row r="161" spans="2:26" x14ac:dyDescent="0.25">
      <c r="B161" s="20"/>
      <c r="M161" s="20"/>
      <c r="O161" s="20"/>
      <c r="Z161" s="20"/>
    </row>
    <row r="162" spans="2:26" x14ac:dyDescent="0.25">
      <c r="B162" s="20"/>
      <c r="M162" s="20"/>
      <c r="O162" s="20"/>
      <c r="Z162" s="20"/>
    </row>
    <row r="163" spans="2:26" x14ac:dyDescent="0.25">
      <c r="B163" s="20"/>
      <c r="M163" s="20"/>
      <c r="O163" s="20"/>
      <c r="Z163" s="20"/>
    </row>
    <row r="164" spans="2:26" x14ac:dyDescent="0.25">
      <c r="B164" s="20"/>
      <c r="M164" s="20"/>
      <c r="O164" s="20"/>
      <c r="Z164" s="20"/>
    </row>
    <row r="165" spans="2:26" x14ac:dyDescent="0.25">
      <c r="B165" s="20"/>
      <c r="M165" s="20"/>
      <c r="O165" s="20"/>
      <c r="Z165" s="20"/>
    </row>
    <row r="166" spans="2:26" x14ac:dyDescent="0.25">
      <c r="B166" s="20"/>
      <c r="M166" s="20"/>
      <c r="O166" s="20"/>
      <c r="Z166" s="20"/>
    </row>
    <row r="167" spans="2:26" x14ac:dyDescent="0.25">
      <c r="B167" s="20"/>
      <c r="M167" s="20"/>
      <c r="O167" s="20"/>
      <c r="Z167" s="20"/>
    </row>
    <row r="168" spans="2:26" x14ac:dyDescent="0.25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O168" s="20"/>
      <c r="Z168" s="20"/>
    </row>
    <row r="169" spans="2:26" x14ac:dyDescent="0.25">
      <c r="O169" s="20"/>
      <c r="Z169" s="20"/>
    </row>
    <row r="170" spans="2:26" x14ac:dyDescent="0.25"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2:26" x14ac:dyDescent="0.25">
      <c r="B171" s="21" t="s">
        <v>328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2:26" x14ac:dyDescent="0.25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</row>
    <row r="173" spans="2:26" x14ac:dyDescent="0.25">
      <c r="B173" s="20"/>
      <c r="L173" s="20"/>
    </row>
    <row r="174" spans="2:26" x14ac:dyDescent="0.25">
      <c r="B174" s="20"/>
      <c r="L174" s="20"/>
      <c r="O174" s="21" t="s">
        <v>329</v>
      </c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2:26" x14ac:dyDescent="0.25">
      <c r="B175" s="20"/>
      <c r="L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2:26" x14ac:dyDescent="0.25">
      <c r="B176" s="20"/>
      <c r="L176" s="20"/>
      <c r="O176" s="20"/>
      <c r="Y176" s="20"/>
    </row>
    <row r="177" spans="2:25" x14ac:dyDescent="0.25">
      <c r="B177" s="20"/>
      <c r="L177" s="20"/>
      <c r="O177" s="20"/>
      <c r="Y177" s="20"/>
    </row>
    <row r="178" spans="2:25" x14ac:dyDescent="0.25">
      <c r="B178" s="20"/>
      <c r="L178" s="20"/>
      <c r="O178" s="20"/>
      <c r="Y178" s="20"/>
    </row>
    <row r="179" spans="2:25" x14ac:dyDescent="0.25">
      <c r="B179" s="20"/>
      <c r="L179" s="20"/>
      <c r="O179" s="20"/>
      <c r="Y179" s="20"/>
    </row>
    <row r="180" spans="2:25" x14ac:dyDescent="0.25">
      <c r="B180" s="20"/>
      <c r="L180" s="20"/>
      <c r="O180" s="20"/>
      <c r="Y180" s="20"/>
    </row>
    <row r="181" spans="2:25" x14ac:dyDescent="0.25">
      <c r="B181" s="20"/>
      <c r="L181" s="20"/>
      <c r="O181" s="20"/>
      <c r="Y181" s="20"/>
    </row>
    <row r="182" spans="2:25" x14ac:dyDescent="0.25">
      <c r="B182" s="20"/>
      <c r="L182" s="20"/>
      <c r="O182" s="20"/>
      <c r="Y182" s="20"/>
    </row>
    <row r="183" spans="2:25" x14ac:dyDescent="0.25">
      <c r="B183" s="20"/>
      <c r="L183" s="20"/>
      <c r="O183" s="20"/>
      <c r="Y183" s="20"/>
    </row>
    <row r="184" spans="2:25" x14ac:dyDescent="0.25">
      <c r="B184" s="20"/>
      <c r="L184" s="20"/>
      <c r="O184" s="20"/>
      <c r="Y184" s="20"/>
    </row>
    <row r="185" spans="2:25" x14ac:dyDescent="0.25">
      <c r="B185" s="20"/>
      <c r="L185" s="20"/>
      <c r="O185" s="20"/>
      <c r="Y185" s="20"/>
    </row>
    <row r="186" spans="2:25" x14ac:dyDescent="0.25">
      <c r="B186" s="20"/>
      <c r="L186" s="20"/>
      <c r="O186" s="20"/>
      <c r="Y186" s="20"/>
    </row>
    <row r="187" spans="2:25" x14ac:dyDescent="0.25">
      <c r="B187" s="20"/>
      <c r="L187" s="20"/>
      <c r="O187" s="20"/>
      <c r="Y187" s="20"/>
    </row>
    <row r="188" spans="2:25" x14ac:dyDescent="0.25">
      <c r="B188" s="20"/>
      <c r="L188" s="20"/>
      <c r="O188" s="20"/>
      <c r="Y188" s="20"/>
    </row>
    <row r="189" spans="2:25" x14ac:dyDescent="0.25">
      <c r="B189" s="20"/>
      <c r="L189" s="20"/>
      <c r="O189" s="20"/>
      <c r="Y189" s="20"/>
    </row>
    <row r="190" spans="2:25" x14ac:dyDescent="0.25">
      <c r="B190" s="20"/>
      <c r="L190" s="20"/>
      <c r="O190" s="20"/>
      <c r="Y190" s="20"/>
    </row>
    <row r="191" spans="2:25" x14ac:dyDescent="0.25">
      <c r="B191" s="20"/>
      <c r="L191" s="20"/>
      <c r="O191" s="20"/>
      <c r="Y191" s="20"/>
    </row>
    <row r="192" spans="2:25" x14ac:dyDescent="0.25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O192" s="20"/>
      <c r="Y192" s="20"/>
    </row>
    <row r="193" spans="2:25" x14ac:dyDescent="0.25">
      <c r="O193" s="20"/>
      <c r="Y193" s="20"/>
    </row>
    <row r="194" spans="2:25" x14ac:dyDescent="0.25">
      <c r="O194" s="20"/>
      <c r="Y194" s="20"/>
    </row>
    <row r="195" spans="2:25" x14ac:dyDescent="0.25">
      <c r="O195" s="20"/>
      <c r="Y195" s="20"/>
    </row>
    <row r="196" spans="2:25" x14ac:dyDescent="0.25">
      <c r="B196" s="21" t="s">
        <v>326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O196" s="20"/>
      <c r="Y196" s="20"/>
    </row>
    <row r="197" spans="2:25" x14ac:dyDescent="0.25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2:25" x14ac:dyDescent="0.25">
      <c r="B198" s="20"/>
      <c r="K198" s="20"/>
      <c r="L198" s="20"/>
    </row>
    <row r="199" spans="2:25" x14ac:dyDescent="0.25">
      <c r="B199" s="20"/>
      <c r="K199" s="20"/>
      <c r="L199" s="20"/>
      <c r="O199" s="21" t="s">
        <v>327</v>
      </c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2:25" x14ac:dyDescent="0.25">
      <c r="B200" s="20"/>
      <c r="K200" s="20"/>
      <c r="L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2:25" x14ac:dyDescent="0.25">
      <c r="B201" s="20"/>
      <c r="K201" s="20"/>
      <c r="L201" s="20"/>
      <c r="O201" s="20"/>
      <c r="Y201" s="20"/>
    </row>
    <row r="202" spans="2:25" x14ac:dyDescent="0.25">
      <c r="B202" s="20"/>
      <c r="K202" s="20"/>
      <c r="L202" s="20"/>
      <c r="O202" s="20"/>
      <c r="Y202" s="20"/>
    </row>
    <row r="203" spans="2:25" x14ac:dyDescent="0.25">
      <c r="B203" s="20"/>
      <c r="K203" s="20"/>
      <c r="L203" s="20"/>
      <c r="O203" s="20"/>
      <c r="Y203" s="20"/>
    </row>
    <row r="204" spans="2:25" x14ac:dyDescent="0.25">
      <c r="B204" s="20"/>
      <c r="K204" s="20"/>
      <c r="L204" s="20"/>
      <c r="O204" s="20"/>
      <c r="Y204" s="20"/>
    </row>
    <row r="205" spans="2:25" x14ac:dyDescent="0.25">
      <c r="B205" s="20"/>
      <c r="K205" s="20"/>
      <c r="L205" s="20"/>
      <c r="O205" s="20"/>
      <c r="Y205" s="20"/>
    </row>
    <row r="206" spans="2:25" x14ac:dyDescent="0.25">
      <c r="B206" s="20"/>
      <c r="K206" s="20"/>
      <c r="L206" s="20"/>
      <c r="O206" s="20"/>
      <c r="Y206" s="20"/>
    </row>
    <row r="207" spans="2:25" x14ac:dyDescent="0.25">
      <c r="B207" s="20"/>
      <c r="K207" s="20"/>
      <c r="L207" s="20"/>
      <c r="O207" s="20"/>
      <c r="Y207" s="20"/>
    </row>
    <row r="208" spans="2:25" x14ac:dyDescent="0.25">
      <c r="B208" s="20"/>
      <c r="K208" s="20"/>
      <c r="L208" s="20"/>
      <c r="O208" s="20"/>
      <c r="Y208" s="20"/>
    </row>
    <row r="209" spans="2:25" x14ac:dyDescent="0.25">
      <c r="B209" s="20"/>
      <c r="K209" s="20"/>
      <c r="L209" s="20"/>
      <c r="O209" s="20"/>
      <c r="Y209" s="20"/>
    </row>
    <row r="210" spans="2:25" x14ac:dyDescent="0.25">
      <c r="B210" s="20"/>
      <c r="K210" s="20"/>
      <c r="L210" s="20"/>
      <c r="O210" s="20"/>
      <c r="Y210" s="20"/>
    </row>
    <row r="211" spans="2:25" x14ac:dyDescent="0.25">
      <c r="B211" s="20"/>
      <c r="K211" s="20"/>
      <c r="L211" s="20"/>
      <c r="O211" s="20"/>
      <c r="Y211" s="20"/>
    </row>
    <row r="212" spans="2:25" x14ac:dyDescent="0.25">
      <c r="B212" s="20"/>
      <c r="K212" s="20"/>
      <c r="L212" s="20"/>
      <c r="O212" s="20"/>
      <c r="Y212" s="20"/>
    </row>
    <row r="213" spans="2:25" x14ac:dyDescent="0.25">
      <c r="B213" s="20"/>
      <c r="K213" s="20"/>
      <c r="L213" s="20"/>
      <c r="O213" s="20"/>
      <c r="Y213" s="20"/>
    </row>
    <row r="214" spans="2:25" x14ac:dyDescent="0.25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O214" s="20"/>
      <c r="Y214" s="20"/>
    </row>
    <row r="215" spans="2:25" x14ac:dyDescent="0.25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O215" s="20"/>
      <c r="Y215" s="20"/>
    </row>
    <row r="216" spans="2:25" x14ac:dyDescent="0.25">
      <c r="O216" s="20"/>
      <c r="S216" s="11"/>
      <c r="Y216" s="20"/>
    </row>
    <row r="217" spans="2:25" x14ac:dyDescent="0.25">
      <c r="O217" s="20"/>
      <c r="Y217" s="20"/>
    </row>
    <row r="218" spans="2:25" x14ac:dyDescent="0.25">
      <c r="O218" s="20"/>
      <c r="Y218" s="20"/>
    </row>
    <row r="219" spans="2:25" x14ac:dyDescent="0.25">
      <c r="B219" s="21" t="s">
        <v>324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O219" s="20"/>
      <c r="Y219" s="20"/>
    </row>
    <row r="220" spans="2:25" x14ac:dyDescent="0.25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O220" s="20"/>
      <c r="R220" s="11"/>
      <c r="Y220" s="20"/>
    </row>
    <row r="221" spans="2:25" x14ac:dyDescent="0.25">
      <c r="B221" s="20"/>
      <c r="L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2:25" x14ac:dyDescent="0.25">
      <c r="B222" s="20"/>
      <c r="L222" s="20"/>
    </row>
    <row r="223" spans="2:25" x14ac:dyDescent="0.25">
      <c r="B223" s="20"/>
      <c r="L223" s="20"/>
      <c r="O223" s="21" t="s">
        <v>325</v>
      </c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2:25" x14ac:dyDescent="0.25">
      <c r="B224" s="20"/>
      <c r="L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 spans="2:24" x14ac:dyDescent="0.25">
      <c r="B225" s="20"/>
      <c r="L225" s="20"/>
      <c r="O225" s="20"/>
      <c r="X225" s="20"/>
    </row>
    <row r="226" spans="2:24" x14ac:dyDescent="0.25">
      <c r="B226" s="20"/>
      <c r="L226" s="20"/>
      <c r="O226" s="20"/>
      <c r="X226" s="20"/>
    </row>
    <row r="227" spans="2:24" x14ac:dyDescent="0.25">
      <c r="B227" s="20"/>
      <c r="L227" s="20"/>
      <c r="O227" s="20"/>
      <c r="X227" s="20"/>
    </row>
    <row r="228" spans="2:24" x14ac:dyDescent="0.25">
      <c r="B228" s="20"/>
      <c r="L228" s="20"/>
      <c r="O228" s="20"/>
      <c r="X228" s="20"/>
    </row>
    <row r="229" spans="2:24" x14ac:dyDescent="0.25">
      <c r="B229" s="20"/>
      <c r="L229" s="20"/>
      <c r="O229" s="20"/>
      <c r="X229" s="20"/>
    </row>
    <row r="230" spans="2:24" x14ac:dyDescent="0.25">
      <c r="B230" s="20"/>
      <c r="L230" s="20"/>
      <c r="O230" s="20"/>
      <c r="X230" s="20"/>
    </row>
    <row r="231" spans="2:24" x14ac:dyDescent="0.25">
      <c r="B231" s="20"/>
      <c r="L231" s="20"/>
      <c r="O231" s="20"/>
      <c r="X231" s="20"/>
    </row>
    <row r="232" spans="2:24" x14ac:dyDescent="0.25">
      <c r="B232" s="20"/>
      <c r="L232" s="20"/>
      <c r="O232" s="20"/>
      <c r="X232" s="20"/>
    </row>
    <row r="233" spans="2:24" x14ac:dyDescent="0.25">
      <c r="B233" s="20"/>
      <c r="L233" s="20"/>
      <c r="O233" s="20"/>
      <c r="X233" s="20"/>
    </row>
    <row r="234" spans="2:24" x14ac:dyDescent="0.25">
      <c r="B234" s="20"/>
      <c r="L234" s="20"/>
      <c r="O234" s="20"/>
      <c r="X234" s="20"/>
    </row>
    <row r="235" spans="2:24" x14ac:dyDescent="0.25">
      <c r="B235" s="20"/>
      <c r="L235" s="20"/>
      <c r="O235" s="20"/>
      <c r="X235" s="20"/>
    </row>
    <row r="236" spans="2:24" x14ac:dyDescent="0.25">
      <c r="B236" s="20"/>
      <c r="L236" s="20"/>
      <c r="O236" s="20"/>
      <c r="X236" s="20"/>
    </row>
    <row r="237" spans="2:24" x14ac:dyDescent="0.25">
      <c r="B237" s="20"/>
      <c r="C237" s="20"/>
      <c r="D237" s="20"/>
      <c r="E237" s="20"/>
      <c r="F237" s="20"/>
      <c r="G237" s="20"/>
      <c r="H237" s="20"/>
      <c r="I237" s="20"/>
      <c r="J237" s="20"/>
      <c r="L237" s="20"/>
      <c r="O237" s="20"/>
      <c r="X237" s="20"/>
    </row>
    <row r="238" spans="2:24" x14ac:dyDescent="0.25"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O238" s="20"/>
      <c r="X238" s="20"/>
    </row>
    <row r="239" spans="2:24" x14ac:dyDescent="0.25">
      <c r="O239" s="20"/>
      <c r="X239" s="20"/>
    </row>
    <row r="240" spans="2:24" x14ac:dyDescent="0.25">
      <c r="O240" s="20"/>
      <c r="X240" s="20"/>
    </row>
    <row r="241" spans="2:24" x14ac:dyDescent="0.25"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 spans="2:24" x14ac:dyDescent="0.25"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 spans="2:24" x14ac:dyDescent="0.25">
      <c r="B243" s="21"/>
      <c r="C243" s="120" t="s">
        <v>119</v>
      </c>
      <c r="D243" s="21"/>
      <c r="E243" s="21"/>
      <c r="F243" s="21"/>
      <c r="G243" s="21"/>
      <c r="H243" s="21"/>
      <c r="I243" s="21"/>
      <c r="J243" s="21"/>
      <c r="K243" s="21"/>
    </row>
    <row r="244" spans="2:24" x14ac:dyDescent="0.25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N244" s="21" t="s">
        <v>323</v>
      </c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2:24" x14ac:dyDescent="0.25">
      <c r="B245" s="20"/>
      <c r="K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 spans="2:24" x14ac:dyDescent="0.25">
      <c r="B246" s="20"/>
      <c r="K246" s="20"/>
      <c r="N246" s="20"/>
      <c r="W246" s="20"/>
      <c r="X246" s="20"/>
    </row>
    <row r="247" spans="2:24" x14ac:dyDescent="0.25">
      <c r="B247" s="20"/>
      <c r="K247" s="20"/>
      <c r="N247" s="20"/>
      <c r="W247" s="20"/>
      <c r="X247" s="20"/>
    </row>
    <row r="248" spans="2:24" x14ac:dyDescent="0.25">
      <c r="B248" s="20"/>
      <c r="K248" s="20"/>
      <c r="N248" s="20"/>
      <c r="W248" s="20"/>
      <c r="X248" s="20"/>
    </row>
    <row r="249" spans="2:24" x14ac:dyDescent="0.25">
      <c r="B249" s="20"/>
      <c r="K249" s="20"/>
      <c r="N249" s="20"/>
      <c r="W249" s="20"/>
      <c r="X249" s="20"/>
    </row>
    <row r="250" spans="2:24" x14ac:dyDescent="0.25">
      <c r="B250" s="20"/>
      <c r="K250" s="20"/>
      <c r="N250" s="20"/>
      <c r="W250" s="20"/>
      <c r="X250" s="20"/>
    </row>
    <row r="251" spans="2:24" x14ac:dyDescent="0.25">
      <c r="B251" s="20"/>
      <c r="K251" s="20"/>
      <c r="N251" s="20"/>
      <c r="W251" s="20"/>
      <c r="X251" s="20"/>
    </row>
    <row r="252" spans="2:24" x14ac:dyDescent="0.25">
      <c r="B252" s="20"/>
      <c r="K252" s="20"/>
      <c r="N252" s="20"/>
      <c r="W252" s="20"/>
      <c r="X252" s="20"/>
    </row>
    <row r="253" spans="2:24" x14ac:dyDescent="0.25">
      <c r="B253" s="20"/>
      <c r="K253" s="20"/>
      <c r="N253" s="20"/>
      <c r="W253" s="20"/>
      <c r="X253" s="20"/>
    </row>
    <row r="254" spans="2:24" x14ac:dyDescent="0.25">
      <c r="B254" s="20"/>
      <c r="K254" s="20"/>
      <c r="N254" s="20"/>
      <c r="W254" s="20"/>
      <c r="X254" s="20"/>
    </row>
    <row r="255" spans="2:24" x14ac:dyDescent="0.25">
      <c r="B255" s="20"/>
      <c r="K255" s="20"/>
      <c r="N255" s="20"/>
      <c r="W255" s="20"/>
      <c r="X255" s="20"/>
    </row>
    <row r="256" spans="2:24" x14ac:dyDescent="0.25">
      <c r="B256" s="20"/>
      <c r="K256" s="20"/>
      <c r="N256" s="20"/>
      <c r="W256" s="20"/>
      <c r="X256" s="20"/>
    </row>
    <row r="257" spans="2:24" x14ac:dyDescent="0.25">
      <c r="B257" s="20"/>
      <c r="K257" s="20"/>
      <c r="N257" s="20"/>
      <c r="W257" s="20"/>
      <c r="X257" s="20"/>
    </row>
    <row r="258" spans="2:24" x14ac:dyDescent="0.25">
      <c r="B258" s="20"/>
      <c r="K258" s="20"/>
      <c r="N258" s="20"/>
      <c r="W258" s="20"/>
      <c r="X258" s="20"/>
    </row>
    <row r="259" spans="2:24" x14ac:dyDescent="0.25">
      <c r="B259" s="20"/>
      <c r="K259" s="20"/>
      <c r="N259" s="20"/>
      <c r="W259" s="20"/>
      <c r="X259" s="20"/>
    </row>
    <row r="260" spans="2:24" x14ac:dyDescent="0.25">
      <c r="B260" s="20"/>
      <c r="K260" s="20"/>
      <c r="N260" s="20"/>
      <c r="W260" s="20"/>
      <c r="X260" s="20"/>
    </row>
    <row r="261" spans="2:24" x14ac:dyDescent="0.25">
      <c r="B261" s="20"/>
      <c r="K261" s="20"/>
      <c r="N261" s="20"/>
      <c r="W261" s="20"/>
      <c r="X261" s="20"/>
    </row>
    <row r="262" spans="2:24" x14ac:dyDescent="0.25">
      <c r="B262" s="20"/>
      <c r="K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 spans="2:24" x14ac:dyDescent="0.25">
      <c r="B263" s="20"/>
      <c r="K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 spans="2:24" x14ac:dyDescent="0.25">
      <c r="B264" s="20"/>
      <c r="K264" s="20"/>
      <c r="N264" s="20"/>
      <c r="X264" s="20"/>
    </row>
    <row r="265" spans="2:24" x14ac:dyDescent="0.25">
      <c r="B265" s="20"/>
      <c r="K265" s="20"/>
      <c r="N265" s="20"/>
      <c r="X265" s="20"/>
    </row>
    <row r="266" spans="2:24" x14ac:dyDescent="0.25"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9" spans="2:24" x14ac:dyDescent="0.25">
      <c r="B269" s="21" t="s">
        <v>321</v>
      </c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N269" s="21" t="s">
        <v>322</v>
      </c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 spans="2:24" x14ac:dyDescent="0.25"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 spans="2:24" x14ac:dyDescent="0.25">
      <c r="B271" s="20"/>
      <c r="L271" s="20"/>
      <c r="N271" s="20"/>
      <c r="X271" s="20"/>
    </row>
    <row r="272" spans="2:24" x14ac:dyDescent="0.25">
      <c r="B272" s="20"/>
      <c r="L272" s="20"/>
      <c r="N272" s="20"/>
      <c r="X272" s="20"/>
    </row>
    <row r="273" spans="2:24" x14ac:dyDescent="0.25">
      <c r="B273" s="20"/>
      <c r="L273" s="20"/>
      <c r="N273" s="20"/>
      <c r="X273" s="20"/>
    </row>
    <row r="274" spans="2:24" x14ac:dyDescent="0.25">
      <c r="B274" s="20"/>
      <c r="L274" s="20"/>
      <c r="N274" s="20"/>
      <c r="X274" s="20"/>
    </row>
    <row r="275" spans="2:24" x14ac:dyDescent="0.25">
      <c r="B275" s="20"/>
      <c r="L275" s="20"/>
      <c r="N275" s="20"/>
      <c r="X275" s="20"/>
    </row>
    <row r="276" spans="2:24" x14ac:dyDescent="0.25">
      <c r="B276" s="20"/>
      <c r="L276" s="20"/>
      <c r="N276" s="20"/>
      <c r="X276" s="20"/>
    </row>
    <row r="277" spans="2:24" x14ac:dyDescent="0.25">
      <c r="B277" s="20"/>
      <c r="L277" s="20"/>
      <c r="N277" s="20"/>
      <c r="X277" s="20"/>
    </row>
    <row r="278" spans="2:24" x14ac:dyDescent="0.25">
      <c r="B278" s="20"/>
      <c r="L278" s="20"/>
      <c r="N278" s="20"/>
      <c r="X278" s="20"/>
    </row>
    <row r="279" spans="2:24" x14ac:dyDescent="0.25">
      <c r="B279" s="20"/>
      <c r="L279" s="20"/>
      <c r="N279" s="20"/>
      <c r="X279" s="20"/>
    </row>
    <row r="280" spans="2:24" x14ac:dyDescent="0.25">
      <c r="B280" s="20"/>
      <c r="L280" s="20"/>
      <c r="N280" s="20"/>
      <c r="X280" s="20"/>
    </row>
    <row r="281" spans="2:24" x14ac:dyDescent="0.25">
      <c r="B281" s="20"/>
      <c r="L281" s="20"/>
      <c r="N281" s="20"/>
      <c r="X281" s="20"/>
    </row>
    <row r="282" spans="2:24" x14ac:dyDescent="0.25">
      <c r="B282" s="20"/>
      <c r="L282" s="20"/>
      <c r="N282" s="20"/>
      <c r="X282" s="20"/>
    </row>
    <row r="283" spans="2:24" x14ac:dyDescent="0.25">
      <c r="B283" s="20"/>
      <c r="L283" s="20"/>
      <c r="N283" s="20"/>
      <c r="X283" s="20"/>
    </row>
    <row r="284" spans="2:24" x14ac:dyDescent="0.25">
      <c r="B284" s="20"/>
      <c r="L284" s="20"/>
      <c r="N284" s="20"/>
      <c r="X284" s="20"/>
    </row>
    <row r="285" spans="2:24" x14ac:dyDescent="0.25">
      <c r="B285" s="20"/>
      <c r="L285" s="20"/>
      <c r="N285" s="20"/>
      <c r="X285" s="20"/>
    </row>
    <row r="286" spans="2:24" x14ac:dyDescent="0.25">
      <c r="B286" s="20"/>
      <c r="L286" s="20"/>
      <c r="N286" s="20"/>
      <c r="X286" s="20"/>
    </row>
    <row r="287" spans="2:24" x14ac:dyDescent="0.25">
      <c r="B287" s="20"/>
      <c r="L287" s="20"/>
      <c r="N287" s="20"/>
      <c r="X287" s="20"/>
    </row>
    <row r="288" spans="2:24" x14ac:dyDescent="0.25">
      <c r="B288" s="20"/>
      <c r="L288" s="20"/>
      <c r="N288" s="20"/>
      <c r="X288" s="20"/>
    </row>
    <row r="289" spans="2:27" x14ac:dyDescent="0.25">
      <c r="B289" s="20"/>
      <c r="L289" s="20"/>
      <c r="N289" s="20"/>
      <c r="X289" s="20"/>
    </row>
    <row r="290" spans="2:27" x14ac:dyDescent="0.25">
      <c r="B290" s="20"/>
      <c r="L290" s="20"/>
      <c r="N290" s="20"/>
      <c r="X290" s="20"/>
    </row>
    <row r="291" spans="2:27" x14ac:dyDescent="0.25">
      <c r="B291" s="20"/>
      <c r="L291" s="20"/>
      <c r="N291" s="20"/>
      <c r="X291" s="20"/>
    </row>
    <row r="292" spans="2:27" x14ac:dyDescent="0.25">
      <c r="B292" s="20"/>
      <c r="L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 spans="2:27" x14ac:dyDescent="0.25"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</row>
    <row r="295" spans="2:27" x14ac:dyDescent="0.25">
      <c r="B295" s="21" t="s">
        <v>319</v>
      </c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N295" s="21" t="s">
        <v>320</v>
      </c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25"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2:27" x14ac:dyDescent="0.25">
      <c r="B297" s="20"/>
      <c r="L297" s="20"/>
      <c r="N297" s="20"/>
      <c r="AA297" s="20"/>
    </row>
    <row r="298" spans="2:27" x14ac:dyDescent="0.25">
      <c r="B298" s="20"/>
      <c r="L298" s="20"/>
      <c r="N298" s="20"/>
      <c r="AA298" s="20"/>
    </row>
    <row r="299" spans="2:27" x14ac:dyDescent="0.25">
      <c r="B299" s="20"/>
      <c r="L299" s="20"/>
      <c r="N299" s="20"/>
      <c r="AA299" s="20"/>
    </row>
    <row r="300" spans="2:27" x14ac:dyDescent="0.25">
      <c r="B300" s="20"/>
      <c r="L300" s="20"/>
      <c r="N300" s="20"/>
      <c r="AA300" s="20"/>
    </row>
    <row r="301" spans="2:27" x14ac:dyDescent="0.25">
      <c r="B301" s="20"/>
      <c r="L301" s="20"/>
      <c r="N301" s="20"/>
      <c r="AA301" s="20"/>
    </row>
    <row r="302" spans="2:27" x14ac:dyDescent="0.25">
      <c r="B302" s="20"/>
      <c r="L302" s="20"/>
      <c r="N302" s="20"/>
      <c r="AA302" s="20"/>
    </row>
    <row r="303" spans="2:27" x14ac:dyDescent="0.25">
      <c r="B303" s="20"/>
      <c r="L303" s="20"/>
      <c r="N303" s="20"/>
      <c r="AA303" s="20"/>
    </row>
    <row r="304" spans="2:27" x14ac:dyDescent="0.25">
      <c r="B304" s="20"/>
      <c r="L304" s="20"/>
      <c r="N304" s="20"/>
      <c r="AA304" s="20"/>
    </row>
    <row r="305" spans="2:27" x14ac:dyDescent="0.25">
      <c r="B305" s="20"/>
      <c r="L305" s="20"/>
      <c r="N305" s="20"/>
      <c r="AA305" s="20"/>
    </row>
    <row r="306" spans="2:27" x14ac:dyDescent="0.25">
      <c r="B306" s="20"/>
      <c r="L306" s="20"/>
      <c r="N306" s="20"/>
      <c r="AA306" s="20"/>
    </row>
    <row r="307" spans="2:27" x14ac:dyDescent="0.25">
      <c r="B307" s="20"/>
      <c r="L307" s="20"/>
      <c r="N307" s="20"/>
      <c r="AA307" s="20"/>
    </row>
    <row r="308" spans="2:27" x14ac:dyDescent="0.25">
      <c r="B308" s="20"/>
      <c r="L308" s="20"/>
      <c r="N308" s="20"/>
      <c r="AA308" s="20"/>
    </row>
    <row r="309" spans="2:27" x14ac:dyDescent="0.25">
      <c r="B309" s="20"/>
      <c r="L309" s="20"/>
      <c r="N309" s="20"/>
      <c r="AA309" s="20"/>
    </row>
    <row r="310" spans="2:27" x14ac:dyDescent="0.25">
      <c r="B310" s="20"/>
      <c r="L310" s="20"/>
      <c r="N310" s="20"/>
      <c r="AA310" s="20"/>
    </row>
    <row r="311" spans="2:27" x14ac:dyDescent="0.25">
      <c r="B311" s="20"/>
      <c r="L311" s="20"/>
      <c r="N311" s="20"/>
      <c r="AA311" s="20"/>
    </row>
    <row r="312" spans="2:27" x14ac:dyDescent="0.25">
      <c r="B312" s="20"/>
      <c r="L312" s="20"/>
      <c r="N312" s="20"/>
      <c r="AA312" s="20"/>
    </row>
    <row r="313" spans="2:27" x14ac:dyDescent="0.25">
      <c r="B313" s="20"/>
      <c r="L313" s="20"/>
      <c r="N313" s="20"/>
      <c r="AA313" s="20"/>
    </row>
    <row r="314" spans="2:27" x14ac:dyDescent="0.25">
      <c r="B314" s="20"/>
      <c r="L314" s="20"/>
      <c r="N314" s="20"/>
      <c r="AA314" s="20"/>
    </row>
    <row r="315" spans="2:27" x14ac:dyDescent="0.25">
      <c r="B315" s="20"/>
      <c r="L315" s="20"/>
      <c r="N315" s="20"/>
      <c r="AA315" s="20"/>
    </row>
    <row r="316" spans="2:27" x14ac:dyDescent="0.25">
      <c r="B316" s="20"/>
      <c r="L316" s="20"/>
      <c r="N316" s="20"/>
      <c r="AA316" s="20"/>
    </row>
    <row r="317" spans="2:27" x14ac:dyDescent="0.25">
      <c r="B317" s="20"/>
      <c r="L317" s="20"/>
      <c r="N317" s="20"/>
      <c r="AA317" s="20"/>
    </row>
    <row r="318" spans="2:27" x14ac:dyDescent="0.25"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N318" s="20"/>
      <c r="AA318" s="20"/>
    </row>
    <row r="319" spans="2:27" x14ac:dyDescent="0.25"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2:27" x14ac:dyDescent="0.25">
      <c r="B320" s="21" t="s">
        <v>318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</row>
    <row r="321" spans="2:24" x14ac:dyDescent="0.25"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N321" s="120" t="s">
        <v>234</v>
      </c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 spans="2:24" x14ac:dyDescent="0.25">
      <c r="B322" s="20"/>
      <c r="L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 spans="2:24" x14ac:dyDescent="0.25">
      <c r="B323" s="20"/>
      <c r="L323" s="20"/>
      <c r="N323" s="20"/>
      <c r="X323" s="20"/>
    </row>
    <row r="324" spans="2:24" x14ac:dyDescent="0.25">
      <c r="B324" s="20"/>
      <c r="L324" s="20"/>
      <c r="N324" s="20"/>
      <c r="X324" s="20"/>
    </row>
    <row r="325" spans="2:24" x14ac:dyDescent="0.25">
      <c r="B325" s="20"/>
      <c r="L325" s="20"/>
      <c r="N325" s="20"/>
      <c r="X325" s="20"/>
    </row>
    <row r="326" spans="2:24" x14ac:dyDescent="0.25">
      <c r="B326" s="20"/>
      <c r="L326" s="20"/>
      <c r="N326" s="20"/>
      <c r="X326" s="20"/>
    </row>
    <row r="327" spans="2:24" x14ac:dyDescent="0.25">
      <c r="B327" s="20"/>
      <c r="L327" s="20"/>
      <c r="N327" s="20"/>
      <c r="X327" s="20"/>
    </row>
    <row r="328" spans="2:24" x14ac:dyDescent="0.25">
      <c r="B328" s="20"/>
      <c r="L328" s="20"/>
      <c r="N328" s="20"/>
      <c r="X328" s="20"/>
    </row>
    <row r="329" spans="2:24" x14ac:dyDescent="0.25">
      <c r="B329" s="20"/>
      <c r="L329" s="20"/>
      <c r="N329" s="20"/>
      <c r="X329" s="20"/>
    </row>
    <row r="330" spans="2:24" x14ac:dyDescent="0.25">
      <c r="B330" s="20"/>
      <c r="L330" s="20"/>
      <c r="N330" s="20"/>
      <c r="X330" s="20"/>
    </row>
    <row r="331" spans="2:24" x14ac:dyDescent="0.25">
      <c r="B331" s="20"/>
      <c r="L331" s="20"/>
      <c r="N331" s="20"/>
      <c r="X331" s="20"/>
    </row>
    <row r="332" spans="2:24" x14ac:dyDescent="0.25">
      <c r="B332" s="20"/>
      <c r="L332" s="20"/>
      <c r="N332" s="20"/>
      <c r="X332" s="20"/>
    </row>
    <row r="333" spans="2:24" x14ac:dyDescent="0.25">
      <c r="B333" s="20"/>
      <c r="L333" s="20"/>
      <c r="N333" s="20"/>
      <c r="X333" s="20"/>
    </row>
    <row r="334" spans="2:24" x14ac:dyDescent="0.25">
      <c r="B334" s="20"/>
      <c r="L334" s="20"/>
      <c r="N334" s="20"/>
      <c r="X334" s="20"/>
    </row>
    <row r="335" spans="2:24" x14ac:dyDescent="0.25">
      <c r="B335" s="20"/>
      <c r="L335" s="20"/>
      <c r="N335" s="20"/>
      <c r="X335" s="20"/>
    </row>
    <row r="336" spans="2:24" x14ac:dyDescent="0.25">
      <c r="B336" s="20"/>
      <c r="L336" s="20"/>
      <c r="N336" s="20"/>
      <c r="X336" s="20"/>
    </row>
    <row r="337" spans="2:24" x14ac:dyDescent="0.25">
      <c r="B337" s="20"/>
      <c r="L337" s="20"/>
      <c r="N337" s="20"/>
      <c r="X337" s="20"/>
    </row>
    <row r="338" spans="2:24" x14ac:dyDescent="0.25">
      <c r="B338" s="20"/>
      <c r="L338" s="20"/>
      <c r="N338" s="20"/>
      <c r="X338" s="20"/>
    </row>
    <row r="339" spans="2:24" x14ac:dyDescent="0.25">
      <c r="B339" s="20"/>
      <c r="L339" s="20"/>
      <c r="N339" s="20"/>
      <c r="X339" s="20"/>
    </row>
    <row r="340" spans="2:24" x14ac:dyDescent="0.25">
      <c r="B340" s="20"/>
      <c r="L340" s="20"/>
      <c r="N340" s="20"/>
      <c r="X340" s="20"/>
    </row>
    <row r="341" spans="2:24" x14ac:dyDescent="0.25"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N341" s="20"/>
      <c r="X341" s="20"/>
    </row>
    <row r="342" spans="2:24" x14ac:dyDescent="0.25">
      <c r="N342" s="20"/>
      <c r="X342" s="20"/>
    </row>
    <row r="343" spans="2:24" x14ac:dyDescent="0.25"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 spans="2:24" x14ac:dyDescent="0.25">
      <c r="B344" s="21" t="s">
        <v>316</v>
      </c>
      <c r="C344" s="21"/>
      <c r="D344" s="21"/>
      <c r="E344" s="21"/>
      <c r="F344" s="21"/>
      <c r="G344" s="21"/>
      <c r="H344" s="21"/>
      <c r="I344" s="21"/>
      <c r="J344" s="21"/>
      <c r="K344" s="21"/>
      <c r="L344" s="21"/>
    </row>
    <row r="345" spans="2:24" x14ac:dyDescent="0.25"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N345" s="21" t="s">
        <v>317</v>
      </c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 spans="2:24" x14ac:dyDescent="0.25">
      <c r="B346" s="20"/>
      <c r="L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 spans="2:24" x14ac:dyDescent="0.25">
      <c r="B347" s="20"/>
      <c r="L347" s="20"/>
      <c r="N347" s="20"/>
      <c r="X347" s="20"/>
    </row>
    <row r="348" spans="2:24" x14ac:dyDescent="0.25">
      <c r="B348" s="20"/>
      <c r="L348" s="20"/>
      <c r="N348" s="20"/>
      <c r="X348" s="20"/>
    </row>
    <row r="349" spans="2:24" x14ac:dyDescent="0.25">
      <c r="B349" s="20"/>
      <c r="L349" s="20"/>
      <c r="N349" s="20"/>
      <c r="X349" s="20"/>
    </row>
    <row r="350" spans="2:24" x14ac:dyDescent="0.25">
      <c r="B350" s="20"/>
      <c r="L350" s="20"/>
      <c r="N350" s="20"/>
      <c r="X350" s="20"/>
    </row>
    <row r="351" spans="2:24" x14ac:dyDescent="0.25">
      <c r="B351" s="20"/>
      <c r="L351" s="20"/>
      <c r="N351" s="20"/>
      <c r="X351" s="20"/>
    </row>
    <row r="352" spans="2:24" x14ac:dyDescent="0.25">
      <c r="B352" s="20"/>
      <c r="L352" s="20"/>
      <c r="N352" s="20"/>
      <c r="X352" s="20"/>
    </row>
    <row r="353" spans="2:24" x14ac:dyDescent="0.25">
      <c r="B353" s="20"/>
      <c r="L353" s="20"/>
      <c r="N353" s="20"/>
      <c r="X353" s="20"/>
    </row>
    <row r="354" spans="2:24" x14ac:dyDescent="0.25">
      <c r="B354" s="20"/>
      <c r="L354" s="20"/>
      <c r="N354" s="20"/>
      <c r="X354" s="20"/>
    </row>
    <row r="355" spans="2:24" x14ac:dyDescent="0.25">
      <c r="B355" s="20"/>
      <c r="L355" s="20"/>
      <c r="N355" s="20"/>
      <c r="X355" s="20"/>
    </row>
    <row r="356" spans="2:24" x14ac:dyDescent="0.25">
      <c r="B356" s="20"/>
      <c r="L356" s="20"/>
      <c r="N356" s="20"/>
      <c r="X356" s="20"/>
    </row>
    <row r="357" spans="2:24" x14ac:dyDescent="0.25">
      <c r="B357" s="20"/>
      <c r="L357" s="20"/>
      <c r="N357" s="20"/>
      <c r="X357" s="20"/>
    </row>
    <row r="358" spans="2:24" x14ac:dyDescent="0.25">
      <c r="B358" s="20"/>
      <c r="L358" s="20"/>
      <c r="N358" s="20"/>
      <c r="X358" s="20"/>
    </row>
    <row r="359" spans="2:24" x14ac:dyDescent="0.25">
      <c r="B359" s="20"/>
      <c r="L359" s="20"/>
      <c r="N359" s="20"/>
      <c r="X359" s="20"/>
    </row>
    <row r="360" spans="2:24" x14ac:dyDescent="0.25">
      <c r="B360" s="20"/>
      <c r="L360" s="20"/>
      <c r="N360" s="20"/>
      <c r="X360" s="20"/>
    </row>
    <row r="361" spans="2:24" x14ac:dyDescent="0.25">
      <c r="B361" s="20"/>
      <c r="L361" s="20"/>
      <c r="N361" s="20"/>
      <c r="X361" s="20"/>
    </row>
    <row r="362" spans="2:24" x14ac:dyDescent="0.25">
      <c r="B362" s="20"/>
      <c r="L362" s="20"/>
      <c r="N362" s="20"/>
      <c r="X362" s="20"/>
    </row>
    <row r="363" spans="2:24" x14ac:dyDescent="0.25">
      <c r="B363" s="20"/>
      <c r="L363" s="20"/>
      <c r="N363" s="20"/>
      <c r="X363" s="20"/>
    </row>
    <row r="364" spans="2:24" x14ac:dyDescent="0.25">
      <c r="B364" s="20"/>
      <c r="L364" s="20"/>
      <c r="N364" s="20"/>
      <c r="X364" s="20"/>
    </row>
    <row r="365" spans="2:24" x14ac:dyDescent="0.25">
      <c r="B365" s="20"/>
      <c r="L365" s="20"/>
      <c r="N365" s="20"/>
      <c r="X365" s="20"/>
    </row>
    <row r="366" spans="2:24" x14ac:dyDescent="0.25">
      <c r="B366" s="20"/>
      <c r="L366" s="20"/>
      <c r="N366" s="20"/>
      <c r="X366" s="20"/>
    </row>
    <row r="367" spans="2:24" x14ac:dyDescent="0.25"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topLeftCell="A34" workbookViewId="0">
      <selection activeCell="O90" sqref="B37:O90"/>
    </sheetView>
  </sheetViews>
  <sheetFormatPr defaultRowHeight="15" x14ac:dyDescent="0.25"/>
  <cols>
    <col min="11" max="11" width="9.5703125" customWidth="1"/>
  </cols>
  <sheetData>
    <row r="1" spans="2:11" ht="15.75" thickBot="1" x14ac:dyDescent="0.3"/>
    <row r="2" spans="2:11" ht="15.75" thickBot="1" x14ac:dyDescent="0.3">
      <c r="B2" s="121" t="s">
        <v>336</v>
      </c>
      <c r="C2" s="122"/>
      <c r="D2" s="122"/>
      <c r="E2" s="122"/>
      <c r="F2" s="122"/>
      <c r="G2" s="122"/>
      <c r="H2" s="122"/>
      <c r="I2" s="122"/>
      <c r="J2" s="122"/>
      <c r="K2" s="123"/>
    </row>
    <row r="3" spans="2:11" x14ac:dyDescent="0.25">
      <c r="B3" s="124" t="s">
        <v>337</v>
      </c>
      <c r="C3" s="125"/>
      <c r="D3" s="125"/>
      <c r="E3" s="125"/>
      <c r="F3" s="125"/>
      <c r="G3" s="125"/>
      <c r="H3" s="125"/>
      <c r="I3" s="125"/>
      <c r="J3" s="125"/>
      <c r="K3" s="126"/>
    </row>
    <row r="4" spans="2:11" x14ac:dyDescent="0.25">
      <c r="B4" s="127" t="s">
        <v>338</v>
      </c>
      <c r="C4" s="61"/>
      <c r="D4" s="61"/>
      <c r="E4" s="61"/>
      <c r="F4" s="61"/>
      <c r="G4" s="61"/>
      <c r="H4" s="61"/>
      <c r="I4" s="61"/>
      <c r="J4" s="61"/>
      <c r="K4" s="128"/>
    </row>
    <row r="5" spans="2:11" x14ac:dyDescent="0.25">
      <c r="B5" s="127" t="s">
        <v>339</v>
      </c>
      <c r="C5" s="61"/>
      <c r="D5" s="61"/>
      <c r="E5" s="61"/>
      <c r="F5" s="61"/>
      <c r="G5" s="61"/>
      <c r="H5" s="61"/>
      <c r="I5" s="61"/>
      <c r="J5" s="61"/>
      <c r="K5" s="128"/>
    </row>
    <row r="6" spans="2:11" x14ac:dyDescent="0.25">
      <c r="B6" s="127" t="s">
        <v>340</v>
      </c>
      <c r="C6" s="61"/>
      <c r="D6" s="61"/>
      <c r="E6" s="61"/>
      <c r="F6" s="61"/>
      <c r="G6" s="61"/>
      <c r="H6" s="61"/>
      <c r="I6" s="61"/>
      <c r="J6" s="61"/>
      <c r="K6" s="128"/>
    </row>
    <row r="7" spans="2:11" x14ac:dyDescent="0.25">
      <c r="B7" s="127" t="s">
        <v>341</v>
      </c>
      <c r="C7" s="61"/>
      <c r="D7" s="61"/>
      <c r="E7" s="61"/>
      <c r="F7" s="61"/>
      <c r="G7" s="61"/>
      <c r="H7" s="61"/>
      <c r="I7" s="61"/>
      <c r="J7" s="61"/>
      <c r="K7" s="128"/>
    </row>
    <row r="8" spans="2:11" x14ac:dyDescent="0.25">
      <c r="B8" s="129" t="s">
        <v>342</v>
      </c>
      <c r="C8" s="61"/>
      <c r="D8" s="61"/>
      <c r="E8" s="61"/>
      <c r="F8" s="61"/>
      <c r="G8" s="61"/>
      <c r="H8" s="61"/>
      <c r="I8" s="61"/>
      <c r="J8" s="61"/>
      <c r="K8" s="128"/>
    </row>
    <row r="9" spans="2:11" x14ac:dyDescent="0.25">
      <c r="B9" s="127" t="s">
        <v>343</v>
      </c>
      <c r="C9" s="61"/>
      <c r="D9" s="61"/>
      <c r="E9" s="61"/>
      <c r="F9" s="61"/>
      <c r="G9" s="61"/>
      <c r="H9" s="61"/>
      <c r="I9" s="61"/>
      <c r="J9" s="61"/>
      <c r="K9" s="128"/>
    </row>
    <row r="10" spans="2:11" ht="15.75" x14ac:dyDescent="0.25">
      <c r="B10" s="127" t="s">
        <v>344</v>
      </c>
      <c r="C10" s="61"/>
      <c r="D10" s="61"/>
      <c r="E10" s="61"/>
      <c r="F10" s="61"/>
      <c r="G10" s="61"/>
      <c r="H10" s="61"/>
      <c r="I10" s="61"/>
      <c r="J10" s="61"/>
      <c r="K10" s="128"/>
    </row>
    <row r="11" spans="2:11" ht="15.75" x14ac:dyDescent="0.25">
      <c r="B11" s="127" t="s">
        <v>345</v>
      </c>
      <c r="C11" s="61"/>
      <c r="D11" s="61"/>
      <c r="E11" s="61"/>
      <c r="F11" s="61"/>
      <c r="G11" s="61"/>
      <c r="H11" s="61"/>
      <c r="I11" s="61"/>
      <c r="J11" s="61"/>
      <c r="K11" s="128"/>
    </row>
    <row r="12" spans="2:11" x14ac:dyDescent="0.25">
      <c r="B12" s="127" t="s">
        <v>346</v>
      </c>
      <c r="C12" s="61"/>
      <c r="D12" s="61"/>
      <c r="E12" s="61"/>
      <c r="F12" s="61"/>
      <c r="G12" s="61"/>
      <c r="H12" s="61"/>
      <c r="I12" s="61"/>
      <c r="J12" s="61"/>
      <c r="K12" s="128"/>
    </row>
    <row r="13" spans="2:11" x14ac:dyDescent="0.25">
      <c r="B13" s="127" t="s">
        <v>347</v>
      </c>
      <c r="C13" s="61"/>
      <c r="D13" s="61"/>
      <c r="E13" s="61"/>
      <c r="F13" s="61"/>
      <c r="G13" s="61"/>
      <c r="H13" s="61"/>
      <c r="I13" s="61"/>
      <c r="J13" s="61"/>
      <c r="K13" s="128"/>
    </row>
    <row r="14" spans="2:11" x14ac:dyDescent="0.25">
      <c r="B14" s="127" t="s">
        <v>348</v>
      </c>
      <c r="C14" s="61"/>
      <c r="D14" s="61"/>
      <c r="E14" s="61"/>
      <c r="F14" s="61"/>
      <c r="G14" s="61"/>
      <c r="H14" s="61"/>
      <c r="I14" s="61"/>
      <c r="J14" s="61"/>
      <c r="K14" s="128"/>
    </row>
    <row r="15" spans="2:11" x14ac:dyDescent="0.25">
      <c r="B15" s="127" t="s">
        <v>349</v>
      </c>
      <c r="C15" s="61"/>
      <c r="D15" s="61"/>
      <c r="E15" s="61"/>
      <c r="F15" s="61"/>
      <c r="G15" s="61"/>
      <c r="H15" s="61"/>
      <c r="I15" s="61"/>
      <c r="J15" s="61"/>
      <c r="K15" s="128"/>
    </row>
    <row r="16" spans="2:11" x14ac:dyDescent="0.25">
      <c r="B16" s="127" t="s">
        <v>350</v>
      </c>
      <c r="C16" s="61"/>
      <c r="D16" s="61"/>
      <c r="E16" s="61"/>
      <c r="F16" s="61"/>
      <c r="G16" s="61"/>
      <c r="H16" s="61"/>
      <c r="I16" s="61"/>
      <c r="J16" s="61"/>
      <c r="K16" s="128"/>
    </row>
    <row r="17" spans="2:11" x14ac:dyDescent="0.25">
      <c r="B17" s="127" t="s">
        <v>351</v>
      </c>
      <c r="C17" s="61"/>
      <c r="D17" s="61"/>
      <c r="E17" s="61"/>
      <c r="F17" s="61"/>
      <c r="G17" s="61"/>
      <c r="H17" s="61"/>
      <c r="I17" s="61"/>
      <c r="J17" s="61"/>
      <c r="K17" s="128"/>
    </row>
    <row r="18" spans="2:11" x14ac:dyDescent="0.25">
      <c r="B18" s="127" t="s">
        <v>352</v>
      </c>
      <c r="C18" s="61"/>
      <c r="D18" s="61"/>
      <c r="E18" s="61"/>
      <c r="F18" s="61"/>
      <c r="G18" s="61"/>
      <c r="H18" s="61"/>
      <c r="I18" s="61"/>
      <c r="J18" s="61"/>
      <c r="K18" s="128"/>
    </row>
    <row r="19" spans="2:11" x14ac:dyDescent="0.25">
      <c r="B19" s="127" t="s">
        <v>353</v>
      </c>
      <c r="C19" s="61"/>
      <c r="D19" s="61"/>
      <c r="E19" s="61"/>
      <c r="F19" s="61"/>
      <c r="G19" s="61"/>
      <c r="H19" s="61"/>
      <c r="I19" s="61"/>
      <c r="J19" s="61"/>
      <c r="K19" s="128"/>
    </row>
    <row r="20" spans="2:11" x14ac:dyDescent="0.25">
      <c r="B20" s="127" t="s">
        <v>354</v>
      </c>
      <c r="C20" s="61"/>
      <c r="D20" s="61"/>
      <c r="E20" s="61"/>
      <c r="F20" s="61"/>
      <c r="G20" s="61"/>
      <c r="H20" s="61"/>
      <c r="I20" s="61"/>
      <c r="J20" s="61"/>
      <c r="K20" s="128"/>
    </row>
    <row r="21" spans="2:11" x14ac:dyDescent="0.25">
      <c r="B21" s="127" t="s">
        <v>355</v>
      </c>
      <c r="C21" s="61"/>
      <c r="D21" s="61"/>
      <c r="E21" s="61"/>
      <c r="F21" s="61"/>
      <c r="G21" s="61"/>
      <c r="H21" s="61"/>
      <c r="I21" s="61"/>
      <c r="J21" s="61"/>
      <c r="K21" s="128"/>
    </row>
    <row r="22" spans="2:11" x14ac:dyDescent="0.25">
      <c r="B22" s="127" t="s">
        <v>356</v>
      </c>
      <c r="C22" s="61"/>
      <c r="D22" s="61"/>
      <c r="E22" s="61"/>
      <c r="F22" s="61"/>
      <c r="G22" s="61"/>
      <c r="H22" s="61"/>
      <c r="I22" s="61"/>
      <c r="J22" s="61"/>
      <c r="K22" s="128"/>
    </row>
    <row r="23" spans="2:11" x14ac:dyDescent="0.25">
      <c r="B23" s="127" t="s">
        <v>357</v>
      </c>
      <c r="C23" s="61"/>
      <c r="D23" s="61"/>
      <c r="E23" s="61"/>
      <c r="F23" s="61"/>
      <c r="G23" s="61"/>
      <c r="H23" s="61"/>
      <c r="I23" s="61"/>
      <c r="J23" s="61"/>
      <c r="K23" s="128"/>
    </row>
    <row r="24" spans="2:11" x14ac:dyDescent="0.25">
      <c r="B24" s="127" t="s">
        <v>358</v>
      </c>
      <c r="C24" s="61"/>
      <c r="D24" s="61"/>
      <c r="E24" s="61"/>
      <c r="F24" s="61"/>
      <c r="G24" s="61"/>
      <c r="H24" s="61"/>
      <c r="I24" s="61"/>
      <c r="J24" s="61"/>
      <c r="K24" s="128"/>
    </row>
    <row r="25" spans="2:11" x14ac:dyDescent="0.25">
      <c r="B25" s="127" t="s">
        <v>359</v>
      </c>
      <c r="C25" s="61"/>
      <c r="D25" s="61"/>
      <c r="E25" s="61"/>
      <c r="F25" s="61"/>
      <c r="G25" s="61"/>
      <c r="H25" s="61"/>
      <c r="I25" s="61"/>
      <c r="J25" s="61"/>
      <c r="K25" s="128"/>
    </row>
    <row r="26" spans="2:11" x14ac:dyDescent="0.25">
      <c r="B26" s="127" t="s">
        <v>360</v>
      </c>
      <c r="C26" s="61"/>
      <c r="D26" s="61"/>
      <c r="E26" s="61"/>
      <c r="F26" s="61"/>
      <c r="G26" s="61"/>
      <c r="H26" s="61"/>
      <c r="I26" s="61"/>
      <c r="J26" s="61"/>
      <c r="K26" s="128"/>
    </row>
    <row r="27" spans="2:11" x14ac:dyDescent="0.25">
      <c r="B27" s="127" t="s">
        <v>361</v>
      </c>
      <c r="C27" s="61"/>
      <c r="D27" s="61"/>
      <c r="E27" s="61"/>
      <c r="F27" s="61"/>
      <c r="G27" s="61"/>
      <c r="H27" s="61"/>
      <c r="I27" s="61"/>
      <c r="J27" s="61"/>
      <c r="K27" s="128"/>
    </row>
    <row r="28" spans="2:11" x14ac:dyDescent="0.25">
      <c r="B28" s="127" t="s">
        <v>362</v>
      </c>
      <c r="C28" s="61"/>
      <c r="D28" s="61"/>
      <c r="E28" s="61"/>
      <c r="F28" s="61"/>
      <c r="G28" s="61"/>
      <c r="H28" s="61"/>
      <c r="I28" s="61"/>
      <c r="J28" s="61"/>
      <c r="K28" s="128"/>
    </row>
    <row r="29" spans="2:11" x14ac:dyDescent="0.25">
      <c r="B29" s="127" t="s">
        <v>363</v>
      </c>
      <c r="C29" s="61"/>
      <c r="D29" s="61"/>
      <c r="E29" s="61"/>
      <c r="F29" s="61"/>
      <c r="G29" s="61"/>
      <c r="H29" s="61"/>
      <c r="I29" s="61"/>
      <c r="J29" s="61"/>
      <c r="K29" s="128"/>
    </row>
    <row r="30" spans="2:11" x14ac:dyDescent="0.25">
      <c r="B30" s="127" t="s">
        <v>364</v>
      </c>
      <c r="C30" s="61"/>
      <c r="D30" s="61"/>
      <c r="E30" s="61"/>
      <c r="F30" s="61"/>
      <c r="G30" s="61"/>
      <c r="H30" s="61"/>
      <c r="I30" s="61"/>
      <c r="J30" s="61"/>
      <c r="K30" s="128"/>
    </row>
    <row r="31" spans="2:11" x14ac:dyDescent="0.25">
      <c r="B31" s="127" t="s">
        <v>365</v>
      </c>
      <c r="C31" s="61"/>
      <c r="D31" s="61"/>
      <c r="E31" s="61"/>
      <c r="F31" s="61"/>
      <c r="G31" s="61"/>
      <c r="H31" s="61"/>
      <c r="I31" s="61"/>
      <c r="J31" s="61"/>
      <c r="K31" s="128"/>
    </row>
    <row r="32" spans="2:11" x14ac:dyDescent="0.25">
      <c r="B32" s="127" t="s">
        <v>366</v>
      </c>
      <c r="C32" s="61"/>
      <c r="D32" s="61"/>
      <c r="E32" s="61"/>
      <c r="F32" s="61"/>
      <c r="G32" s="61"/>
      <c r="H32" s="61"/>
      <c r="I32" s="61"/>
      <c r="J32" s="61"/>
      <c r="K32" s="128"/>
    </row>
    <row r="33" spans="2:11" ht="15.75" thickBot="1" x14ac:dyDescent="0.3">
      <c r="B33" s="130" t="s">
        <v>367</v>
      </c>
      <c r="C33" s="131"/>
      <c r="D33" s="131"/>
      <c r="E33" s="131"/>
      <c r="F33" s="131"/>
      <c r="G33" s="131"/>
      <c r="H33" s="131"/>
      <c r="I33" s="131"/>
      <c r="J33" s="131"/>
      <c r="K33" s="132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Dati</vt:lpstr>
      <vt:lpstr>Calcoli eqilib.</vt:lpstr>
      <vt:lpstr>Ref. state</vt:lpstr>
      <vt:lpstr>Err. rel.</vt:lpstr>
      <vt:lpstr>Heat Capacity</vt:lpstr>
      <vt:lpstr>Surface tension</vt:lpstr>
      <vt:lpstr>Viscosity</vt:lpstr>
      <vt:lpstr>Thermal cond.</vt:lpstr>
      <vt:lpstr>Grafici</vt:lpstr>
      <vt:lpstr>References</vt:lpstr>
    </vt:vector>
  </TitlesOfParts>
  <Company>Politecnico di Milano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Cozzi</dc:creator>
  <cp:lastModifiedBy>Luca Cozzi</cp:lastModifiedBy>
  <dcterms:created xsi:type="dcterms:W3CDTF">2020-10-01T08:30:15Z</dcterms:created>
  <dcterms:modified xsi:type="dcterms:W3CDTF">2021-05-04T09:00:43Z</dcterms:modified>
</cp:coreProperties>
</file>